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Z:\2026\2026_NOXH_N01_SGR_HN\05_BCNCKT\05.4_Du_Toan\05.4.2_Du_toan\05.4.2_L1\"/>
    </mc:Choice>
  </mc:AlternateContent>
  <xr:revisionPtr revIDLastSave="0" documentId="13_ncr:1_{35DDCC97-FAAA-482F-A50F-B43FDA355CA4}" xr6:coauthVersionLast="47" xr6:coauthVersionMax="47" xr10:uidLastSave="{00000000-0000-0000-0000-000000000000}"/>
  <bookViews>
    <workbookView xWindow="-20610" yWindow="-1590" windowWidth="20730" windowHeight="11040" tabRatio="832" activeTab="2" xr2:uid="{00000000-000D-0000-FFFF-FFFF00000000}"/>
  </bookViews>
  <sheets>
    <sheet name="ĐẦU VÀO" sheetId="10" r:id="rId1"/>
    <sheet name="CHỈ TIÊU QH" sheetId="7" r:id="rId2"/>
    <sheet name="NHA_NOXH" sheetId="2" r:id="rId3"/>
    <sheet name="TẦNG 1-3" sheetId="13" state="hidden" r:id="rId4"/>
    <sheet name="HẦM" sheetId="14" r:id="rId5"/>
    <sheet name="TẦNG 1-6(HH)" sheetId="19" r:id="rId6"/>
    <sheet name="TẦNG 7-35(NOXH)" sheetId="23" r:id="rId7"/>
    <sheet name="TẦNG 7-35(NOXH) (2)" sheetId="27" r:id="rId8"/>
    <sheet name="BANG CT SS" sheetId="24" r:id="rId9"/>
    <sheet name="CÂN BẰNG SỬ DỤNG ĐẤT " sheetId="25" r:id="rId10"/>
    <sheet name="Bảng số liệu quy hoạch" sheetId="26" r:id="rId11"/>
    <sheet name="NHA_DVTM" sheetId="17" state="hidden" r:id="rId12"/>
  </sheets>
  <definedNames>
    <definedName name="_xlnm.Print_Area" localSheetId="1">'CHỈ TIÊU QH'!#REF!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7" l="1" a="1"/>
  <c r="K35" i="17"/>
  <c r="I28" i="17"/>
  <c r="H28" i="17"/>
  <c r="G28" i="17"/>
  <c r="E28" i="17"/>
  <c r="C28" i="17"/>
  <c r="G27" i="17"/>
  <c r="E27" i="17"/>
  <c r="G26" i="17"/>
  <c r="E26" i="17"/>
  <c r="D26" i="17"/>
  <c r="G25" i="17"/>
  <c r="E25" i="17"/>
  <c r="D25" i="17"/>
  <c r="C25" i="17"/>
  <c r="G24" i="17"/>
  <c r="E24" i="17"/>
  <c r="D24" i="17"/>
  <c r="C24" i="17"/>
  <c r="G23" i="17"/>
  <c r="E23" i="17"/>
  <c r="D23" i="17"/>
  <c r="C23" i="17"/>
  <c r="G22" i="17"/>
  <c r="E22" i="17"/>
  <c r="D22" i="17"/>
  <c r="C22" i="17"/>
  <c r="G21" i="17"/>
  <c r="E21" i="17"/>
  <c r="C21" i="17"/>
  <c r="G20" i="17"/>
  <c r="E20" i="17"/>
  <c r="G19" i="17"/>
  <c r="E19" i="17"/>
  <c r="G18" i="17"/>
  <c r="E18" i="17"/>
  <c r="D18" i="17"/>
  <c r="G17" i="17"/>
  <c r="E17" i="17"/>
  <c r="D17" i="17"/>
  <c r="C17" i="17"/>
  <c r="G16" i="17"/>
  <c r="E16" i="17"/>
  <c r="D16" i="17"/>
  <c r="C16" i="17"/>
  <c r="G15" i="17"/>
  <c r="E15" i="17"/>
  <c r="D15" i="17"/>
  <c r="C15" i="17"/>
  <c r="G14" i="17"/>
  <c r="E14" i="17"/>
  <c r="D14" i="17"/>
  <c r="C14" i="17"/>
  <c r="G13" i="17"/>
  <c r="E13" i="17"/>
  <c r="D13" i="17"/>
  <c r="C13" i="17"/>
  <c r="G12" i="17"/>
  <c r="E12" i="17"/>
  <c r="D12" i="17"/>
  <c r="C12" i="17"/>
  <c r="G11" i="17"/>
  <c r="E11" i="17"/>
  <c r="C11" i="17"/>
  <c r="G10" i="17"/>
  <c r="E10" i="17"/>
  <c r="C10" i="17"/>
  <c r="G9" i="17"/>
  <c r="E9" i="17"/>
  <c r="D9" i="17"/>
  <c r="C9" i="17"/>
  <c r="G8" i="17"/>
  <c r="E8" i="17"/>
  <c r="D8" i="17"/>
  <c r="C8" i="17"/>
  <c r="G7" i="17"/>
  <c r="E7" i="17"/>
  <c r="D7" i="17"/>
  <c r="C7" i="17"/>
  <c r="G6" i="17"/>
  <c r="E6" i="17"/>
  <c r="D6" i="17"/>
  <c r="C6" i="17"/>
  <c r="G5" i="17"/>
  <c r="E5" i="17"/>
  <c r="D5" i="17"/>
  <c r="C5" i="17"/>
  <c r="G4" i="17"/>
  <c r="E4" i="17"/>
  <c r="C4" i="17"/>
  <c r="G3" i="17"/>
  <c r="E3" i="17"/>
  <c r="D18" i="26"/>
  <c r="D17" i="26"/>
  <c r="D16" i="26"/>
  <c r="D15" i="26"/>
  <c r="D14" i="26"/>
  <c r="D11" i="26"/>
  <c r="D5" i="26"/>
  <c r="D4" i="26"/>
  <c r="D7" i="25"/>
  <c r="C7" i="25"/>
  <c r="D6" i="25"/>
  <c r="C6" i="25"/>
  <c r="G30" i="24"/>
  <c r="D30" i="24"/>
  <c r="C24" i="24"/>
  <c r="C23" i="24"/>
  <c r="G22" i="24"/>
  <c r="G21" i="24"/>
  <c r="C21" i="24"/>
  <c r="G20" i="24"/>
  <c r="C20" i="24"/>
  <c r="G19" i="24"/>
  <c r="G18" i="24"/>
  <c r="C18" i="24"/>
  <c r="G17" i="24"/>
  <c r="C17" i="24"/>
  <c r="G16" i="24"/>
  <c r="G15" i="24"/>
  <c r="G14" i="24"/>
  <c r="C14" i="24"/>
  <c r="G13" i="24"/>
  <c r="D13" i="24"/>
  <c r="C13" i="24"/>
  <c r="G12" i="24"/>
  <c r="D12" i="24"/>
  <c r="G11" i="24"/>
  <c r="F10" i="24"/>
  <c r="G9" i="24"/>
  <c r="F9" i="24"/>
  <c r="G8" i="24"/>
  <c r="F8" i="24"/>
  <c r="D8" i="24"/>
  <c r="E7" i="24"/>
  <c r="G5" i="24"/>
  <c r="F5" i="24"/>
  <c r="C20" i="27"/>
  <c r="D18" i="27"/>
  <c r="C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E3" i="27"/>
  <c r="D16" i="23"/>
  <c r="G14" i="23"/>
  <c r="E14" i="23"/>
  <c r="D14" i="23"/>
  <c r="C14" i="23"/>
  <c r="J12" i="23"/>
  <c r="G12" i="23"/>
  <c r="E12" i="23"/>
  <c r="D12" i="23"/>
  <c r="G11" i="23"/>
  <c r="E11" i="23"/>
  <c r="D11" i="23"/>
  <c r="G10" i="23"/>
  <c r="E10" i="23"/>
  <c r="D10" i="23"/>
  <c r="G9" i="23"/>
  <c r="E9" i="23"/>
  <c r="D9" i="23"/>
  <c r="G8" i="23"/>
  <c r="G7" i="23"/>
  <c r="E7" i="23"/>
  <c r="D7" i="23"/>
  <c r="G6" i="23"/>
  <c r="E6" i="23"/>
  <c r="D6" i="23"/>
  <c r="G5" i="23"/>
  <c r="G4" i="23"/>
  <c r="G3" i="23"/>
  <c r="E3" i="23"/>
  <c r="D3" i="23"/>
  <c r="M25" i="19"/>
  <c r="M24" i="19"/>
  <c r="H22" i="19"/>
  <c r="G22" i="19"/>
  <c r="F22" i="19"/>
  <c r="E22" i="19"/>
  <c r="D22" i="19"/>
  <c r="C22" i="19"/>
  <c r="B22" i="19"/>
  <c r="H21" i="19"/>
  <c r="G21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D40" i="14"/>
  <c r="C40" i="14"/>
  <c r="B40" i="14"/>
  <c r="D39" i="14"/>
  <c r="D38" i="14"/>
  <c r="D37" i="14"/>
  <c r="L36" i="14"/>
  <c r="D36" i="14"/>
  <c r="E32" i="14"/>
  <c r="F28" i="14"/>
  <c r="E28" i="14"/>
  <c r="H23" i="14"/>
  <c r="F23" i="14"/>
  <c r="E23" i="14"/>
  <c r="F22" i="14"/>
  <c r="E22" i="14"/>
  <c r="F21" i="14"/>
  <c r="E21" i="14"/>
  <c r="F17" i="14"/>
  <c r="E17" i="14"/>
  <c r="F12" i="14"/>
  <c r="E12" i="14"/>
  <c r="F11" i="14"/>
  <c r="E11" i="14"/>
  <c r="D10" i="14"/>
  <c r="I6" i="14"/>
  <c r="E6" i="14"/>
  <c r="D6" i="14"/>
  <c r="L5" i="14"/>
  <c r="K5" i="14"/>
  <c r="J5" i="14"/>
  <c r="I5" i="14"/>
  <c r="H5" i="14"/>
  <c r="G5" i="14"/>
  <c r="F5" i="14"/>
  <c r="D5" i="14"/>
  <c r="B5" i="14"/>
  <c r="D7" i="13"/>
  <c r="D6" i="13"/>
  <c r="E5" i="13"/>
  <c r="D5" i="13"/>
  <c r="C5" i="13"/>
  <c r="E4" i="13"/>
  <c r="D4" i="13"/>
  <c r="E3" i="13"/>
  <c r="D3" i="13"/>
  <c r="E32" i="7"/>
  <c r="G26" i="7"/>
  <c r="E25" i="7"/>
  <c r="E24" i="7"/>
  <c r="E23" i="7"/>
  <c r="E22" i="7"/>
  <c r="E21" i="7"/>
  <c r="E20" i="7"/>
  <c r="E19" i="7"/>
  <c r="L18" i="7"/>
  <c r="E18" i="7"/>
  <c r="E17" i="7"/>
  <c r="E16" i="7"/>
  <c r="E15" i="7"/>
  <c r="E14" i="7"/>
  <c r="E11" i="7"/>
  <c r="E10" i="7"/>
  <c r="F9" i="7"/>
  <c r="E9" i="7"/>
  <c r="G8" i="7"/>
  <c r="E8" i="7"/>
  <c r="E7" i="7"/>
  <c r="E6" i="7"/>
  <c r="E5" i="7"/>
  <c r="K3" i="7"/>
  <c r="E3" i="7"/>
  <c r="C26" i="10"/>
  <c r="C22" i="10"/>
  <c r="E18" i="10"/>
  <c r="C18" i="10"/>
  <c r="E6" i="10"/>
  <c r="D6" i="10"/>
  <c r="C6" i="10"/>
  <c r="E5" i="10"/>
  <c r="E4" i="10"/>
  <c r="H64" i="2"/>
  <c r="H63" i="2"/>
  <c r="I61" i="2"/>
  <c r="H61" i="2"/>
  <c r="K60" i="2"/>
  <c r="I60" i="2"/>
  <c r="H60" i="2"/>
  <c r="K59" i="2"/>
  <c r="I59" i="2"/>
  <c r="H59" i="2"/>
  <c r="L58" i="2"/>
  <c r="H58" i="2"/>
  <c r="H57" i="2"/>
  <c r="H56" i="2"/>
  <c r="K55" i="2"/>
  <c r="I55" i="2"/>
  <c r="H55" i="2"/>
  <c r="H54" i="2"/>
  <c r="H53" i="2"/>
  <c r="K52" i="2"/>
  <c r="I52" i="2"/>
  <c r="H52" i="2"/>
  <c r="K51" i="2"/>
  <c r="I51" i="2"/>
  <c r="H51" i="2"/>
  <c r="O47" i="2"/>
  <c r="N47" i="2"/>
  <c r="N46" i="2"/>
  <c r="M46" i="2"/>
  <c r="Q43" i="2"/>
  <c r="N43" i="2"/>
  <c r="M43" i="2"/>
  <c r="K43" i="2"/>
  <c r="J43" i="2"/>
  <c r="I43" i="2"/>
  <c r="H43" i="2"/>
  <c r="G43" i="2"/>
  <c r="F43" i="2"/>
  <c r="E43" i="2"/>
  <c r="D43" i="2"/>
  <c r="E42" i="2"/>
  <c r="D42" i="2"/>
  <c r="E41" i="2"/>
  <c r="D41" i="2"/>
  <c r="S40" i="2"/>
  <c r="E40" i="2"/>
  <c r="D40" i="2"/>
  <c r="E39" i="2"/>
  <c r="P38" i="2"/>
  <c r="M38" i="2"/>
  <c r="H38" i="2"/>
  <c r="P37" i="2"/>
  <c r="M37" i="2"/>
  <c r="I37" i="2"/>
  <c r="H37" i="2"/>
  <c r="C37" i="2"/>
  <c r="R36" i="2"/>
  <c r="M36" i="2"/>
  <c r="I36" i="2"/>
  <c r="H36" i="2"/>
  <c r="D36" i="2"/>
  <c r="C36" i="2"/>
  <c r="M35" i="2"/>
  <c r="H35" i="2"/>
  <c r="C35" i="2"/>
  <c r="R34" i="2"/>
  <c r="M34" i="2"/>
  <c r="H34" i="2"/>
  <c r="C34" i="2"/>
  <c r="M33" i="2"/>
  <c r="C33" i="2"/>
  <c r="P32" i="2"/>
  <c r="M32" i="2"/>
  <c r="J32" i="2"/>
  <c r="F32" i="2"/>
  <c r="E32" i="2"/>
  <c r="D32" i="2"/>
  <c r="C32" i="2"/>
  <c r="N31" i="2"/>
  <c r="M31" i="2"/>
  <c r="J31" i="2"/>
  <c r="F31" i="2"/>
  <c r="E31" i="2"/>
  <c r="D31" i="2"/>
  <c r="C31" i="2"/>
  <c r="N30" i="2"/>
  <c r="M30" i="2"/>
  <c r="J30" i="2"/>
  <c r="F30" i="2"/>
  <c r="E30" i="2"/>
  <c r="D30" i="2"/>
  <c r="C30" i="2"/>
  <c r="T29" i="2"/>
  <c r="O29" i="2"/>
  <c r="N29" i="2"/>
  <c r="M29" i="2"/>
  <c r="J29" i="2"/>
  <c r="F29" i="2"/>
  <c r="E29" i="2"/>
  <c r="D29" i="2"/>
  <c r="C29" i="2"/>
  <c r="N28" i="2"/>
  <c r="M28" i="2"/>
  <c r="J28" i="2"/>
  <c r="F28" i="2"/>
  <c r="E28" i="2"/>
  <c r="D28" i="2"/>
  <c r="C28" i="2"/>
  <c r="N27" i="2"/>
  <c r="M27" i="2"/>
  <c r="J27" i="2"/>
  <c r="F27" i="2"/>
  <c r="E27" i="2"/>
  <c r="D27" i="2"/>
  <c r="C27" i="2"/>
  <c r="N26" i="2"/>
  <c r="M26" i="2"/>
  <c r="J26" i="2"/>
  <c r="F26" i="2"/>
  <c r="E26" i="2"/>
  <c r="D26" i="2"/>
  <c r="C26" i="2"/>
  <c r="P25" i="2"/>
  <c r="N25" i="2"/>
  <c r="M25" i="2"/>
  <c r="J25" i="2"/>
  <c r="F25" i="2"/>
  <c r="E25" i="2"/>
  <c r="D25" i="2"/>
  <c r="C25" i="2"/>
  <c r="N24" i="2"/>
  <c r="M24" i="2"/>
  <c r="J24" i="2"/>
  <c r="F24" i="2"/>
  <c r="E24" i="2"/>
  <c r="D24" i="2"/>
  <c r="C24" i="2"/>
  <c r="N23" i="2"/>
  <c r="M23" i="2"/>
  <c r="J23" i="2"/>
  <c r="F23" i="2"/>
  <c r="E23" i="2"/>
  <c r="D23" i="2"/>
  <c r="C23" i="2"/>
  <c r="P22" i="2"/>
  <c r="O22" i="2"/>
  <c r="N22" i="2"/>
  <c r="M22" i="2"/>
  <c r="J22" i="2"/>
  <c r="F22" i="2"/>
  <c r="E22" i="2"/>
  <c r="D22" i="2"/>
  <c r="C22" i="2"/>
  <c r="T21" i="2"/>
  <c r="N21" i="2"/>
  <c r="M21" i="2"/>
  <c r="J21" i="2"/>
  <c r="F21" i="2"/>
  <c r="E21" i="2"/>
  <c r="D21" i="2"/>
  <c r="C21" i="2"/>
  <c r="Q20" i="2"/>
  <c r="P20" i="2"/>
  <c r="O20" i="2"/>
  <c r="N20" i="2"/>
  <c r="M20" i="2"/>
  <c r="D20" i="2"/>
  <c r="C20" i="2"/>
  <c r="N19" i="2"/>
  <c r="M19" i="2"/>
  <c r="J19" i="2"/>
  <c r="F19" i="2"/>
  <c r="E19" i="2"/>
  <c r="D19" i="2"/>
  <c r="C19" i="2"/>
  <c r="N18" i="2"/>
  <c r="M18" i="2"/>
  <c r="J18" i="2"/>
  <c r="F18" i="2"/>
  <c r="E18" i="2"/>
  <c r="D18" i="2"/>
  <c r="C18" i="2"/>
  <c r="R17" i="2"/>
  <c r="N17" i="2"/>
  <c r="M17" i="2"/>
  <c r="J17" i="2"/>
  <c r="F17" i="2"/>
  <c r="E17" i="2"/>
  <c r="D17" i="2"/>
  <c r="C17" i="2"/>
  <c r="R16" i="2"/>
  <c r="N16" i="2"/>
  <c r="M16" i="2"/>
  <c r="J16" i="2"/>
  <c r="F16" i="2"/>
  <c r="E16" i="2"/>
  <c r="D16" i="2"/>
  <c r="C16" i="2"/>
  <c r="R15" i="2"/>
  <c r="N15" i="2"/>
  <c r="M15" i="2"/>
  <c r="J15" i="2"/>
  <c r="F15" i="2"/>
  <c r="E15" i="2"/>
  <c r="D15" i="2"/>
  <c r="C15" i="2"/>
  <c r="R14" i="2"/>
  <c r="N14" i="2"/>
  <c r="M14" i="2"/>
  <c r="J14" i="2"/>
  <c r="F14" i="2"/>
  <c r="E14" i="2"/>
  <c r="D14" i="2"/>
  <c r="C14" i="2"/>
  <c r="O13" i="2"/>
  <c r="N13" i="2"/>
  <c r="M13" i="2"/>
  <c r="J13" i="2"/>
  <c r="F13" i="2"/>
  <c r="E13" i="2"/>
  <c r="D13" i="2"/>
  <c r="C13" i="2"/>
  <c r="N12" i="2"/>
  <c r="M12" i="2"/>
  <c r="J12" i="2"/>
  <c r="F12" i="2"/>
  <c r="E12" i="2"/>
  <c r="D12" i="2"/>
  <c r="C12" i="2"/>
  <c r="N11" i="2"/>
  <c r="M11" i="2"/>
  <c r="J11" i="2"/>
  <c r="F11" i="2"/>
  <c r="E11" i="2"/>
  <c r="D11" i="2"/>
  <c r="C11" i="2"/>
  <c r="N10" i="2"/>
  <c r="M10" i="2"/>
  <c r="J10" i="2"/>
  <c r="F10" i="2"/>
  <c r="E10" i="2"/>
  <c r="D10" i="2"/>
  <c r="C10" i="2"/>
  <c r="S9" i="2"/>
  <c r="N9" i="2"/>
  <c r="M9" i="2"/>
  <c r="J9" i="2"/>
  <c r="F9" i="2"/>
  <c r="E9" i="2"/>
  <c r="D9" i="2"/>
  <c r="C9" i="2"/>
  <c r="P8" i="2"/>
  <c r="N8" i="2"/>
  <c r="M8" i="2"/>
  <c r="J8" i="2"/>
  <c r="F8" i="2"/>
  <c r="E8" i="2"/>
  <c r="D8" i="2"/>
  <c r="C8" i="2"/>
  <c r="S7" i="2"/>
  <c r="N7" i="2"/>
  <c r="M7" i="2"/>
  <c r="J7" i="2"/>
  <c r="F7" i="2"/>
  <c r="E7" i="2"/>
  <c r="D7" i="2"/>
  <c r="C7" i="2"/>
  <c r="N6" i="2"/>
  <c r="M6" i="2"/>
  <c r="J6" i="2"/>
  <c r="F6" i="2"/>
  <c r="E6" i="2"/>
  <c r="D6" i="2"/>
  <c r="C6" i="2"/>
  <c r="N5" i="2"/>
  <c r="M5" i="2"/>
  <c r="J5" i="2"/>
  <c r="F5" i="2"/>
  <c r="E5" i="2"/>
  <c r="D5" i="2"/>
  <c r="C5" i="2"/>
  <c r="P4" i="2"/>
  <c r="N4" i="2"/>
  <c r="M4" i="2"/>
  <c r="J4" i="2"/>
  <c r="F4" i="2"/>
  <c r="E4" i="2"/>
  <c r="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<sst xmlns="http://schemas.openxmlformats.org/spreadsheetml/2006/main" count="475" uniqueCount="309">
  <si>
    <t>ĐẦU VÀO</t>
  </si>
  <si>
    <t xml:space="preserve">MẬT ĐỘ XÂY DỰNG </t>
  </si>
  <si>
    <t>MẬT ĐỘ ĐẤT</t>
  </si>
  <si>
    <t>DIỆN TÍCH XD</t>
  </si>
  <si>
    <t xml:space="preserve">ĐẤT </t>
  </si>
  <si>
    <t>Nhà trẻ</t>
  </si>
  <si>
    <t>Đất ở</t>
  </si>
  <si>
    <t>DÂN SỐ</t>
  </si>
  <si>
    <t>QH</t>
  </si>
  <si>
    <t>HỆ SỐ SỬ DỤNG ĐẤT</t>
  </si>
  <si>
    <t>BẢNG TÍNH</t>
  </si>
  <si>
    <t>THANG MÁY</t>
  </si>
  <si>
    <t>TC CH/TM</t>
  </si>
  <si>
    <t>CẦN BỐ TRÍ</t>
  </si>
  <si>
    <t>DIỆN TÍCH CÂY XANH</t>
  </si>
  <si>
    <t>TỔNG</t>
  </si>
  <si>
    <t>DIỆN TÍCH HẠ TẦNG</t>
  </si>
  <si>
    <t>GHI CHÚ</t>
  </si>
  <si>
    <t>TIÊU CHUẨN</t>
  </si>
  <si>
    <t>SỐ ĐIỀN</t>
  </si>
  <si>
    <t>STT</t>
  </si>
  <si>
    <t>HẠNG MỤC</t>
  </si>
  <si>
    <t>ĐƠN VỊ</t>
  </si>
  <si>
    <t>NHÀ Ở XÃ HỘI</t>
  </si>
  <si>
    <t>TRƯỜNG MẦM NON</t>
  </si>
  <si>
    <t>So sánh với quy hoạch
 TMB 1/500 (công trình nhà ở xã hội )</t>
  </si>
  <si>
    <t>Ghi chú</t>
  </si>
  <si>
    <t>DIỆN TÍCH SỬ DỤNG ĐẤT CỦA DỰ ÁN: 4.420M2</t>
  </si>
  <si>
    <t>Diện tích đất</t>
  </si>
  <si>
    <t>m²</t>
  </si>
  <si>
    <t>Phù hợp</t>
  </si>
  <si>
    <t xml:space="preserve">Diện tích xây dựng công trình </t>
  </si>
  <si>
    <t>Phần đế</t>
  </si>
  <si>
    <t>Phần tháp</t>
  </si>
  <si>
    <t>Diện tích xây dựng tầng hầm</t>
  </si>
  <si>
    <t>Mật độ xây dựng</t>
  </si>
  <si>
    <t>%</t>
  </si>
  <si>
    <t>Phù hợp với mật độ gộp của ô đất</t>
  </si>
  <si>
    <t>Tổng diện tích sàn nhà ở cao tầng</t>
  </si>
  <si>
    <t>Tổng diện tích sàn (phần nổi)</t>
  </si>
  <si>
    <t>Hệ số sử dụng đất</t>
  </si>
  <si>
    <t>Lần</t>
  </si>
  <si>
    <t>Tầng cao</t>
  </si>
  <si>
    <t>Tầng</t>
  </si>
  <si>
    <t>Tầng Hầm</t>
  </si>
  <si>
    <t>Diện tích sàn căn hộ NOXH</t>
  </si>
  <si>
    <t>Diện tích sàn dịch vụ thương mại</t>
  </si>
  <si>
    <t>Diện tích sàn công cộng ( SHCĐ)</t>
  </si>
  <si>
    <t>Diện tích phụ trợ, tiện ích, kĩ thuật</t>
  </si>
  <si>
    <t>Tổng diện tích sàn xây dựng tầng hầm</t>
  </si>
  <si>
    <t>Diện tích đỗ xe</t>
  </si>
  <si>
    <t>Diện tích sàn lánh nạn</t>
  </si>
  <si>
    <t>Diện tích sàn tầng tum</t>
  </si>
  <si>
    <t>Số lượng căn hộ</t>
  </si>
  <si>
    <t>Căn hộ</t>
  </si>
  <si>
    <t>Dân số</t>
  </si>
  <si>
    <t>Người</t>
  </si>
  <si>
    <t>Tổng yêu cầu</t>
  </si>
  <si>
    <t>Bao gồm xe máy</t>
  </si>
  <si>
    <t>Diện tích cây xanh</t>
  </si>
  <si>
    <t>Diện tích sân đường nội bộ</t>
  </si>
  <si>
    <t>Quy chuẩn</t>
  </si>
  <si>
    <t>BẢNG THỐNG KÊ DIỆN TÍCH CÔNG TRÌNH VÀ CÁC CHỈ TIÊU CHÍNH (NOXH)</t>
  </si>
  <si>
    <t>GFA
(m2)</t>
  </si>
  <si>
    <t>NSA
(m2)</t>
  </si>
  <si>
    <t>Số căn hộ
(căn)</t>
  </si>
  <si>
    <t>SHCĐ (m2)</t>
  </si>
  <si>
    <t>DVTM (m2)</t>
  </si>
  <si>
    <t>Số căn DV (căn)</t>
  </si>
  <si>
    <t>Dân Số</t>
  </si>
  <si>
    <t>Chiều cao</t>
  </si>
  <si>
    <t>Tầng ở</t>
  </si>
  <si>
    <t>THÁP</t>
  </si>
  <si>
    <t>Tum</t>
  </si>
  <si>
    <t>TẦNG 7 - TẦNG 35</t>
  </si>
  <si>
    <t>căn hộ</t>
  </si>
  <si>
    <t>A</t>
  </si>
  <si>
    <t>sàn nổi</t>
  </si>
  <si>
    <t>lánh nạn</t>
  </si>
  <si>
    <t>ĐẾ</t>
  </si>
  <si>
    <t>tiện ích</t>
  </si>
  <si>
    <t>văn phòng</t>
  </si>
  <si>
    <t>shophouse</t>
  </si>
  <si>
    <t>HẦM</t>
  </si>
  <si>
    <t>B1</t>
  </si>
  <si>
    <t>hầm để xe</t>
  </si>
  <si>
    <t>25 m</t>
  </si>
  <si>
    <t>B2</t>
  </si>
  <si>
    <t>B3</t>
  </si>
  <si>
    <t>B4</t>
  </si>
  <si>
    <t>Tổng</t>
  </si>
  <si>
    <t>BẢNG TIÊU CHÍ</t>
  </si>
  <si>
    <t>PATK</t>
  </si>
  <si>
    <t>QH/TC</t>
  </si>
  <si>
    <t>ĐẠT</t>
  </si>
  <si>
    <t>Diện tích đất (m2)</t>
  </si>
  <si>
    <t>Diện tích đất nhà trẻ (m2)</t>
  </si>
  <si>
    <t>Diện tích xây dựng nhà trẻ (m2)</t>
  </si>
  <si>
    <t>Diện tích đất xây dựng nhà ở (m2)</t>
  </si>
  <si>
    <t>Diện tích xây dựng (m2)</t>
  </si>
  <si>
    <t>Mật độ xây dựng (m2)</t>
  </si>
  <si>
    <t>Tổng diện tích sàn (không bao gồm tầng hầm và tum, tầng lánh nạn)</t>
  </si>
  <si>
    <t>Tổng diện tích sàn (m2)</t>
  </si>
  <si>
    <t>Hệ số sử dụng đất (m2)</t>
  </si>
  <si>
    <t>Tổng số căn hộ nhà xã hội (căn)</t>
  </si>
  <si>
    <t>Tổng diện tích sàn hữu dụng nhà ở xã hội (m2)</t>
  </si>
  <si>
    <t>Tổng diện tích sàn hữu dụng nhà ở thương mại (m2)</t>
  </si>
  <si>
    <t>Diện tích phòng SHCĐ (m2)</t>
  </si>
  <si>
    <t>Diện tích để xe trong nhà + ngoài trời</t>
  </si>
  <si>
    <t xml:space="preserve">BẢNG THỐNG KÊ TẦNG ĐIỂN HÌNH </t>
  </si>
  <si>
    <t>Tên căn</t>
  </si>
  <si>
    <t>Diện tích thông thủy (m2)/phòng</t>
  </si>
  <si>
    <t>Số lượng (căn)</t>
  </si>
  <si>
    <t>Diện tích thông thủy (m2)/tầng</t>
  </si>
  <si>
    <t>Tỷ lệ</t>
  </si>
  <si>
    <t>Loại căn</t>
  </si>
  <si>
    <t>Loại 1</t>
  </si>
  <si>
    <t>1PN</t>
  </si>
  <si>
    <t>Loại 4</t>
  </si>
  <si>
    <t>2PN</t>
  </si>
  <si>
    <t>Diện tích sàn tầng điển hình (m2)</t>
  </si>
  <si>
    <t>Hiệu suất sử dụng</t>
  </si>
  <si>
    <t xml:space="preserve"> </t>
  </si>
  <si>
    <t>BẢNG TÍNH DIỆN TÍCH ĐỂ XE</t>
  </si>
  <si>
    <t>NỘI DUNG</t>
  </si>
  <si>
    <t>Diện tích sàn xây dựng (không tính tầng lánh nạn và tum)</t>
  </si>
  <si>
    <t xml:space="preserve">Tiêu chuẩn(%) theo quyết định 1218/QĐ UBND 2022 </t>
  </si>
  <si>
    <t>Diện tích để xe cần đáp ứng (m2)</t>
  </si>
  <si>
    <t>Trong nhà</t>
  </si>
  <si>
    <t>Ngoài trời</t>
  </si>
  <si>
    <t>Diện tích sàn tầng hầm theo phương án thiết kế (m2)</t>
  </si>
  <si>
    <t>Diện tích hữu dụng để xe theo phương án thiết kế (85% diện tích sàn hầm) (m2)</t>
  </si>
  <si>
    <t>NOXH</t>
  </si>
  <si>
    <t>TÍNH TOÁN SỐ LƯỢNG XE MÁY</t>
  </si>
  <si>
    <t xml:space="preserve">YÊU CẦU </t>
  </si>
  <si>
    <t xml:space="preserve">PATK </t>
  </si>
  <si>
    <t>ĐÁP ỨNG</t>
  </si>
  <si>
    <t>ghi chú</t>
  </si>
  <si>
    <t>Tổng số lượng căn hộ</t>
  </si>
  <si>
    <t>Diện tích xe máy/1 căn hộ</t>
  </si>
  <si>
    <t>QCVN 04:2024/BXD</t>
  </si>
  <si>
    <t>Số lượng Slot để xe</t>
  </si>
  <si>
    <t>TCVN 4451:2012</t>
  </si>
  <si>
    <t>Slot đỗ xe máy trong hầm</t>
  </si>
  <si>
    <t>Diện tích đỗ xe máy trong hầm tương ứng</t>
  </si>
  <si>
    <t>Slot đỗ xe máy ngoài hầm</t>
  </si>
  <si>
    <t>Diện tích đỗ xe máy ngoài hầm tương ứng</t>
  </si>
  <si>
    <t>Slot điểm sạc xe điện nếu có (30% tổng số xe máy)</t>
  </si>
  <si>
    <t>mỗi điểm sạc cho 3 xe/ngày</t>
  </si>
  <si>
    <t>TÍNH TOÁN SỐ LƯỢNG XE OTO</t>
  </si>
  <si>
    <t>Tổng diện tích đỗ xe hữu dụng</t>
  </si>
  <si>
    <t>Diện tích đỗ ô tô hữu dụng</t>
  </si>
  <si>
    <t>Tổng số slot đỗ ô tô cần đáp ứng</t>
  </si>
  <si>
    <t>Slot trạm sạc xe điện nếu có (30% tổng số ô tô)</t>
  </si>
  <si>
    <t>XE MÁY</t>
  </si>
  <si>
    <t>Ô TÔ</t>
  </si>
  <si>
    <t>20/11/2026</t>
  </si>
  <si>
    <t>BẢNG THỐNG KÊ TẦNG 1-6 (HH)</t>
  </si>
  <si>
    <t>Tầng 1 (m2)</t>
  </si>
  <si>
    <t>Tầng 2 (m2)</t>
  </si>
  <si>
    <t>Tầng 3 (m2)</t>
  </si>
  <si>
    <t>Tầng 4 (m2)</t>
  </si>
  <si>
    <t>Tầng 5 (m2)</t>
  </si>
  <si>
    <t>Tầng 6 (m2)</t>
  </si>
  <si>
    <t>Tổng diện tích(m2)</t>
  </si>
  <si>
    <t>CĂN DV1</t>
  </si>
  <si>
    <t>CĂN DV2</t>
  </si>
  <si>
    <t>CĂN DV3</t>
  </si>
  <si>
    <t>CĂN DV4</t>
  </si>
  <si>
    <t>CĂN DV5</t>
  </si>
  <si>
    <t>CĂN DV6</t>
  </si>
  <si>
    <t>CĂN DV7</t>
  </si>
  <si>
    <t>CĂN DV8</t>
  </si>
  <si>
    <t>CĂN DV9</t>
  </si>
  <si>
    <t>CĂN DV10</t>
  </si>
  <si>
    <t>CĂN DV11</t>
  </si>
  <si>
    <t>CĂN DV12</t>
  </si>
  <si>
    <t>CĂN DV13</t>
  </si>
  <si>
    <t>CĂN DV14</t>
  </si>
  <si>
    <t>CĂN DV15</t>
  </si>
  <si>
    <t>VP QUẢN LÝ</t>
  </si>
  <si>
    <t>VP CHO THUÊ</t>
  </si>
  <si>
    <t>KHU VỆ SINH</t>
  </si>
  <si>
    <t>TIỆN ÍCH THỂ THAO, BỂ BƠI</t>
  </si>
  <si>
    <t>Diện tích tường xây,
giao thông hộp kĩ thuật,...(m2)</t>
  </si>
  <si>
    <t>Loại</t>
  </si>
  <si>
    <t>BẢNG THỐNG KÊ TẦNG ĐIỂN HÌNH (3-18), (20-35)</t>
  </si>
  <si>
    <t>Diện tích thông thủy (m2)/căn</t>
  </si>
  <si>
    <t>Dân số/loại</t>
  </si>
  <si>
    <t>Dân số/tầng</t>
  </si>
  <si>
    <t>25-40</t>
  </si>
  <si>
    <t>40-55</t>
  </si>
  <si>
    <t>55-70</t>
  </si>
  <si>
    <t>70-77</t>
  </si>
  <si>
    <t xml:space="preserve">BẢNG THỐNG KÊ DIỆN TÍCH CĂN HỘ TẦNG ĐIỂN HÌNH </t>
  </si>
  <si>
    <t>Tên căn hộ</t>
  </si>
  <si>
    <t>Diện tích thông thủy 
(m2)/căn</t>
  </si>
  <si>
    <t>Số lượng (Căn)</t>
  </si>
  <si>
    <t>Diện tích tường xây, giao thông, 
hộp kĩ thuật (m2)</t>
  </si>
  <si>
    <t>CH-01</t>
  </si>
  <si>
    <t>3 NGỦ</t>
  </si>
  <si>
    <t>CH-02</t>
  </si>
  <si>
    <t>2 NGỦ</t>
  </si>
  <si>
    <t>CH-03</t>
  </si>
  <si>
    <t>CH-04</t>
  </si>
  <si>
    <t>CH-05</t>
  </si>
  <si>
    <t>CH-06</t>
  </si>
  <si>
    <t>CH-07</t>
  </si>
  <si>
    <t>CH-08</t>
  </si>
  <si>
    <t>CH-09</t>
  </si>
  <si>
    <t>CH-10</t>
  </si>
  <si>
    <t>CH-11</t>
  </si>
  <si>
    <t>CH-12</t>
  </si>
  <si>
    <t>CH-13</t>
  </si>
  <si>
    <t>CH-14</t>
  </si>
  <si>
    <t>CH-15</t>
  </si>
  <si>
    <t>DIỆN TÍCH SÀN XÂY DỰNG (m2)</t>
  </si>
  <si>
    <t>HIỆU SUẤT SỬ DỤNG (%)</t>
  </si>
  <si>
    <t>BẢNG CHỈ TIÊU QUY HOẠCH SỬ DỤNG ĐẤT TRƯỚC VÀ SAU ĐIỀU CHỈNH</t>
  </si>
  <si>
    <t>TT</t>
  </si>
  <si>
    <t>Hạng mục</t>
  </si>
  <si>
    <t>Theo QHCT, tỷ lệ 1/500 đã được UBND Q.Cầu Giấy phê duyệt</t>
  </si>
  <si>
    <t>Theo QHPK H2-2</t>
  </si>
  <si>
    <t>Theo VB số 6725/QHKT-NSH ngày 24/12/2025</t>
  </si>
  <si>
    <t>Nội dung đề xuất dự án</t>
  </si>
  <si>
    <t>Ký hiệu ô đất quy hoạch</t>
  </si>
  <si>
    <t>N01</t>
  </si>
  <si>
    <t>Chức năng sử dụng đất</t>
  </si>
  <si>
    <t>Nhà ở cao tầng</t>
  </si>
  <si>
    <t>Nhà ở xã hội</t>
  </si>
  <si>
    <t>Diện tích nghiên cứu lập quy hoạch</t>
  </si>
  <si>
    <t>Diện tích xây dựng công trình</t>
  </si>
  <si>
    <t xml:space="preserve"> - Nhà cao tầng</t>
  </si>
  <si>
    <t xml:space="preserve"> - Nhà trẻ</t>
  </si>
  <si>
    <t>Đảm bảo kiến trúc tổng thể</t>
  </si>
  <si>
    <t>Diện tích đất cây xanh, sân dường nội bộ</t>
  </si>
  <si>
    <t>Tổng diện tích sàn xây dựng (không bao gồm diện tích sàn tầng hầm và tầng tum)</t>
  </si>
  <si>
    <t>Bổ sung diện tích theo phần tăng dân số</t>
  </si>
  <si>
    <t>Tổng diện tích sàn tầng hầm</t>
  </si>
  <si>
    <t>Đáp ứng nhu cầu đỗ xe</t>
  </si>
  <si>
    <t>Mật độ xây dựng chung</t>
  </si>
  <si>
    <t>MĐXD bao gồm Nhà cao tầng + Nhà trẻ</t>
  </si>
  <si>
    <t>Phù hợp QCXD - 01</t>
  </si>
  <si>
    <t>Số tầng cao (không tính tầng tum, tầng hầm)</t>
  </si>
  <si>
    <t>25 tầng</t>
  </si>
  <si>
    <t>Tối đa 35 tầng</t>
  </si>
  <si>
    <t>35 tầng</t>
  </si>
  <si>
    <t>Số căn hộ/ nhà</t>
  </si>
  <si>
    <t>Tính toán theo quyết định số 34/2024/QĐ-UBND ngày 27/5/2024 của UBND Thành phố</t>
  </si>
  <si>
    <t>BẢNG CÂN BẰNG QUY HOẠCH SỬ DỤNG ĐẤT</t>
  </si>
  <si>
    <t>LOẠI ĐẤT</t>
  </si>
  <si>
    <t>DIỆN TÍCH ĐẤT</t>
  </si>
  <si>
    <t>TỶ LỆ</t>
  </si>
  <si>
    <t>CHIỀU CAO CÔNG TRÌNH TỐI ĐA 
( Văn bản số 880/TC-QC ngày 12/08/2026)</t>
  </si>
  <si>
    <t>(m2)</t>
  </si>
  <si>
    <t>(m)</t>
  </si>
  <si>
    <t>TỔNG DIỆN TÍCH QUY HOẠCH</t>
  </si>
  <si>
    <t xml:space="preserve">ĐẤT XÂY DỰNG CÔNG TRÌNH </t>
  </si>
  <si>
    <t>ĐẤT CÂY XANH, GIAO THÔNG, SÂN, ĐƯỜNG</t>
  </si>
  <si>
    <t>SỐ LIỆU</t>
  </si>
  <si>
    <t>Diện tích đất nghiên cứu lập quy hoạch tổng mặt bằng</t>
  </si>
  <si>
    <t>m2</t>
  </si>
  <si>
    <t>Diện tích đất xây dựng trường mầm non</t>
  </si>
  <si>
    <t>Diện tích đất xây dựng nhà ở cho cán bộ chiến sĩ</t>
  </si>
  <si>
    <t>Mật độ xây dựng (gộp)</t>
  </si>
  <si>
    <t>Bao gồm diện tích xây dựng nhà ở cho cán bộ chiến sĩ và trường mầm non</t>
  </si>
  <si>
    <t>Tầng cao công trình</t>
  </si>
  <si>
    <t>04 tầng và 35 tầng</t>
  </si>
  <si>
    <t>Trường mầm non</t>
  </si>
  <si>
    <t>04 tầng</t>
  </si>
  <si>
    <t>Phù hợp QCXDVN, thông tư của bộ giáo dục và đào tạo (văn bản hợp nhất số 14)</t>
  </si>
  <si>
    <t>Nhà ở cho cán bộ chiến sĩ</t>
  </si>
  <si>
    <t>Tầng hầm</t>
  </si>
  <si>
    <t>Tổng diện tích xây dựng</t>
  </si>
  <si>
    <t>Tổng diện tích xây dựng sàn nổi</t>
  </si>
  <si>
    <t>Tổng diện tích xây dựng sàn hầm</t>
  </si>
  <si>
    <t>Bao gồm diện tích xây dựng nhà ở
cho cán bộ chiến sĩ và trường mầm non</t>
  </si>
  <si>
    <t>Căn</t>
  </si>
  <si>
    <t>Dân số dự kiến</t>
  </si>
  <si>
    <t>BẢNG CHỈ TIÊU CÔNG TRÌNH NOXH</t>
  </si>
  <si>
    <t>TÊN CĂN</t>
  </si>
  <si>
    <r>
      <rPr>
        <b/>
        <i/>
        <sz val="11"/>
        <color theme="1"/>
        <rFont val="Arial"/>
        <charset val="134"/>
      </rPr>
      <t xml:space="preserve">DIỆN TÍCH
</t>
    </r>
    <r>
      <rPr>
        <b/>
        <i/>
        <sz val="9"/>
        <color theme="1"/>
        <rFont val="Arial"/>
        <charset val="134"/>
      </rPr>
      <t>(m2)</t>
    </r>
  </si>
  <si>
    <r>
      <rPr>
        <b/>
        <i/>
        <sz val="11"/>
        <color theme="1"/>
        <rFont val="Arial"/>
        <charset val="134"/>
      </rPr>
      <t xml:space="preserve">MẬT ĐỘ </t>
    </r>
    <r>
      <rPr>
        <b/>
        <i/>
        <sz val="9"/>
        <color theme="1"/>
        <rFont val="Arial"/>
        <charset val="134"/>
      </rPr>
      <t>(%)</t>
    </r>
  </si>
  <si>
    <t>TỔNG DIỆN TÍCH</t>
  </si>
  <si>
    <t>TẦNG CAO</t>
  </si>
  <si>
    <t>TỔNG DIỆN TÍCH(căn)</t>
  </si>
  <si>
    <t>TỔNG MĐXD</t>
  </si>
  <si>
    <t>SỐ LƯỢNG</t>
  </si>
  <si>
    <t>A1</t>
  </si>
  <si>
    <t>A2</t>
  </si>
  <si>
    <t>A3</t>
  </si>
  <si>
    <t>A4</t>
  </si>
  <si>
    <t>A5</t>
  </si>
  <si>
    <t>A6</t>
  </si>
  <si>
    <t>A7</t>
  </si>
  <si>
    <t>A8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</si>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</sst>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_(* #,##0.00_);_(* \(#,##0.00\);_(* &quot;-&quot;??_);_(@_)"/>
    <numFmt numFmtId="168" formatCode="_(* #,##0.0_);_(* \(#,##0.0\);_(* &quot;-&quot;??_);_(@_)"/>
    <numFmt numFmtId="169" formatCode="_(* #,##0_);_(* \(#,##0\);_(* &quot;-&quot;??_);_(@_)"/>
    <numFmt numFmtId="170" formatCode="#,##0.0"/>
    <numFmt numFmtId="171" formatCode="0.00_ "/>
    <numFmt numFmtId="172" formatCode="0_ "/>
    <numFmt numFmtId="173" formatCode="0.0%"/>
    <numFmt numFmtId="174" formatCode="0.0"/>
    <numFmt numFmtId="175" formatCode="0.0_ "/>
    <numFmt numFmtId="176" formatCode="m/d/yyyy;@"/>
    <numFmt numFmtId="177" formatCode="_(* #,##0.0_);_(* \(#,##0.0\);_(* &quot;-&quot;?_);_(@_)"/>
    <numFmt numFmtId="178" formatCode="0.000"/>
    <numFmt numFmtId="179" formatCode="_-* #,##0_-;\-* #,##0_-;_-* &quot;-&quot;??_-;_-@_-"/>
    <numFmt numFmtId="180" formatCode="_-* #,##0.0_-;\-* #,##0.0_-;_-* &quot;-&quot;??.0_-;_-@_-"/>
  </numFmts>
  <fonts count="47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i/>
      <sz val="11"/>
      <color theme="1"/>
      <name val="Arial"/>
      <charset val="134"/>
    </font>
    <font>
      <i/>
      <sz val="11"/>
      <color theme="1"/>
      <name val="Arial"/>
      <charset val="134"/>
    </font>
    <font>
      <b/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sz val="13"/>
      <color theme="1"/>
      <name val="Arial"/>
      <charset val="134"/>
    </font>
    <font>
      <b/>
      <sz val="12"/>
      <color theme="1"/>
      <name val="Arial"/>
      <charset val="134"/>
    </font>
    <font>
      <i/>
      <sz val="12"/>
      <color theme="1"/>
      <name val="Arial"/>
      <charset val="134"/>
    </font>
    <font>
      <sz val="12"/>
      <color theme="1"/>
      <name val="Arial"/>
      <charset val="134"/>
    </font>
    <font>
      <b/>
      <sz val="12"/>
      <color rgb="FFFF0000"/>
      <name val="Arial"/>
      <charset val="134"/>
    </font>
    <font>
      <b/>
      <i/>
      <sz val="12"/>
      <color theme="1"/>
      <name val="Arial"/>
      <charset val="134"/>
    </font>
    <font>
      <sz val="10"/>
      <color theme="1"/>
      <name val=".VnArialH"/>
      <charset val="134"/>
    </font>
    <font>
      <sz val="10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sz val="10"/>
      <color rgb="FF0070C0"/>
      <name val="Times New Roman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0"/>
      <color theme="1"/>
      <name val=".VnArialH"/>
      <charset val="134"/>
    </font>
    <font>
      <b/>
      <sz val="10"/>
      <color rgb="FF0070C0"/>
      <name val="Calibri"/>
      <charset val="134"/>
      <scheme val="minor"/>
    </font>
    <font>
      <b/>
      <sz val="10"/>
      <color rgb="FF0070C0"/>
      <name val="Arial"/>
      <charset val="134"/>
    </font>
    <font>
      <i/>
      <sz val="12"/>
      <color theme="1"/>
      <name val="Calibri"/>
      <charset val="134"/>
      <scheme val="minor"/>
    </font>
    <font>
      <sz val="10"/>
      <color rgb="FFFF0000"/>
      <name val="Arial"/>
      <charset val="134"/>
    </font>
    <font>
      <sz val="10"/>
      <name val="Arial"/>
      <charset val="134"/>
    </font>
    <font>
      <b/>
      <sz val="11"/>
      <color theme="8" tint="-0.249977111117893"/>
      <name val="Arial"/>
      <charset val="134"/>
    </font>
    <font>
      <sz val="11"/>
      <name val="Arial"/>
      <charset val="134"/>
    </font>
    <font>
      <i/>
      <sz val="11"/>
      <color theme="0" tint="-0.499984740745262"/>
      <name val="Arial"/>
      <charset val="134"/>
    </font>
    <font>
      <b/>
      <sz val="11"/>
      <color rgb="FF0070C0"/>
      <name val="Arial"/>
      <charset val="134"/>
    </font>
    <font>
      <sz val="11"/>
      <color rgb="FFFF0000"/>
      <name val="Arial"/>
      <charset val="134"/>
    </font>
    <font>
      <b/>
      <i/>
      <sz val="10"/>
      <color theme="1"/>
      <name val="Arial"/>
      <charset val="134"/>
    </font>
    <font>
      <b/>
      <sz val="11"/>
      <color rgb="FFFF0000"/>
      <name val="Arial"/>
      <charset val="134"/>
    </font>
    <font>
      <b/>
      <sz val="11"/>
      <name val="Arial"/>
      <charset val="134"/>
    </font>
    <font>
      <sz val="11"/>
      <color indexed="8"/>
      <name val="Calibri"/>
      <charset val="134"/>
    </font>
    <font>
      <b/>
      <i/>
      <sz val="9"/>
      <color theme="1"/>
      <name val="Arial"/>
      <charset val="134"/>
    </font>
    <font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165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65" fontId="44" fillId="0" borderId="0" applyFont="0" applyFill="0" applyBorder="0" applyAlignment="0" applyProtection="0"/>
    <xf numFmtId="9" fontId="44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8" fontId="0" fillId="0" borderId="0" xfId="1" applyNumberFormat="1" applyFont="1" applyFill="1" applyAlignment="1">
      <alignment horizontal="center" vertical="center"/>
    </xf>
    <xf numFmtId="37" fontId="0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5" fontId="0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0" borderId="4" xfId="1" applyNumberFormat="1" applyFont="1" applyFill="1" applyBorder="1" applyAlignment="1">
      <alignment horizontal="center" vertical="center" wrapText="1"/>
    </xf>
    <xf numFmtId="37" fontId="4" fillId="0" borderId="4" xfId="1" applyNumberFormat="1" applyFont="1" applyFill="1" applyBorder="1" applyAlignment="1">
      <alignment horizontal="center" vertical="center" wrapText="1"/>
    </xf>
    <xf numFmtId="37" fontId="4" fillId="0" borderId="5" xfId="1" applyNumberFormat="1" applyFont="1" applyFill="1" applyBorder="1" applyAlignment="1">
      <alignment horizontal="center" vertical="center" wrapText="1"/>
    </xf>
    <xf numFmtId="37" fontId="4" fillId="0" borderId="6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" fontId="3" fillId="2" borderId="7" xfId="1" applyNumberFormat="1" applyFont="1" applyFill="1" applyBorder="1" applyAlignment="1">
      <alignment horizontal="center" vertical="center"/>
    </xf>
    <xf numFmtId="37" fontId="3" fillId="2" borderId="2" xfId="1" applyNumberFormat="1" applyFont="1" applyFill="1" applyBorder="1" applyAlignment="1">
      <alignment vertical="center"/>
    </xf>
    <xf numFmtId="37" fontId="3" fillId="2" borderId="8" xfId="1" applyNumberFormat="1" applyFont="1" applyFill="1" applyBorder="1" applyAlignment="1">
      <alignment vertical="center"/>
    </xf>
    <xf numFmtId="37" fontId="3" fillId="2" borderId="9" xfId="1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4" fontId="3" fillId="2" borderId="12" xfId="1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" fontId="3" fillId="2" borderId="15" xfId="1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4" fontId="3" fillId="3" borderId="7" xfId="1" applyNumberFormat="1" applyFont="1" applyFill="1" applyBorder="1" applyAlignment="1">
      <alignment horizontal="center" vertical="center"/>
    </xf>
    <xf numFmtId="37" fontId="3" fillId="3" borderId="2" xfId="1" applyNumberFormat="1" applyFont="1" applyFill="1" applyBorder="1" applyAlignment="1">
      <alignment vertical="center"/>
    </xf>
    <xf numFmtId="0" fontId="2" fillId="3" borderId="12" xfId="0" applyFont="1" applyFill="1" applyBorder="1" applyAlignment="1">
      <alignment horizontal="center" vertical="center"/>
    </xf>
    <xf numFmtId="4" fontId="3" fillId="3" borderId="12" xfId="1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4" fontId="3" fillId="3" borderId="15" xfId="1" applyNumberFormat="1" applyFont="1" applyFill="1" applyBorder="1" applyAlignment="1">
      <alignment horizontal="center" vertical="center"/>
    </xf>
    <xf numFmtId="37" fontId="3" fillId="3" borderId="4" xfId="1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4" fontId="3" fillId="4" borderId="7" xfId="1" applyNumberFormat="1" applyFont="1" applyFill="1" applyBorder="1" applyAlignment="1">
      <alignment horizontal="center" vertical="center"/>
    </xf>
    <xf numFmtId="37" fontId="3" fillId="4" borderId="2" xfId="1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horizontal="center" vertical="center"/>
    </xf>
    <xf numFmtId="4" fontId="3" fillId="4" borderId="12" xfId="1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4" fontId="3" fillId="4" borderId="15" xfId="1" applyNumberFormat="1" applyFont="1" applyFill="1" applyBorder="1" applyAlignment="1">
      <alignment horizontal="center" vertical="center"/>
    </xf>
    <xf numFmtId="37" fontId="3" fillId="4" borderId="4" xfId="1" applyNumberFormat="1" applyFont="1" applyFill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4" fontId="3" fillId="5" borderId="7" xfId="1" applyNumberFormat="1" applyFont="1" applyFill="1" applyBorder="1" applyAlignment="1">
      <alignment horizontal="center" vertical="center"/>
    </xf>
    <xf numFmtId="37" fontId="3" fillId="5" borderId="2" xfId="1" applyNumberFormat="1" applyFont="1" applyFill="1" applyBorder="1" applyAlignment="1">
      <alignment vertical="center"/>
    </xf>
    <xf numFmtId="0" fontId="2" fillId="5" borderId="12" xfId="0" applyFont="1" applyFill="1" applyBorder="1" applyAlignment="1">
      <alignment horizontal="center" vertical="center"/>
    </xf>
    <xf numFmtId="4" fontId="3" fillId="5" borderId="12" xfId="1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4" fontId="3" fillId="5" borderId="15" xfId="1" applyNumberFormat="1" applyFont="1" applyFill="1" applyBorder="1" applyAlignment="1">
      <alignment horizontal="center" vertical="center"/>
    </xf>
    <xf numFmtId="37" fontId="3" fillId="5" borderId="4" xfId="1" applyNumberFormat="1" applyFont="1" applyFill="1" applyBorder="1" applyAlignment="1">
      <alignment vertical="center"/>
    </xf>
    <xf numFmtId="37" fontId="3" fillId="2" borderId="5" xfId="1" applyNumberFormat="1" applyFont="1" applyFill="1" applyBorder="1" applyAlignment="1">
      <alignment vertical="center"/>
    </xf>
    <xf numFmtId="37" fontId="3" fillId="2" borderId="6" xfId="1" applyNumberFormat="1" applyFont="1" applyFill="1" applyBorder="1" applyAlignment="1">
      <alignment vertical="center"/>
    </xf>
    <xf numFmtId="4" fontId="2" fillId="0" borderId="17" xfId="1" applyNumberFormat="1" applyFont="1" applyFill="1" applyBorder="1" applyAlignment="1">
      <alignment horizontal="center" vertical="center"/>
    </xf>
    <xf numFmtId="3" fontId="2" fillId="0" borderId="18" xfId="1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vertical="center"/>
    </xf>
    <xf numFmtId="169" fontId="3" fillId="0" borderId="0" xfId="1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168" fontId="2" fillId="0" borderId="0" xfId="1" applyNumberFormat="1" applyFont="1" applyBorder="1" applyAlignment="1">
      <alignment horizontal="center" vertical="center"/>
    </xf>
    <xf numFmtId="37" fontId="2" fillId="0" borderId="0" xfId="1" applyNumberFormat="1" applyFont="1" applyBorder="1" applyAlignment="1">
      <alignment horizontal="center" vertical="center"/>
    </xf>
    <xf numFmtId="168" fontId="2" fillId="0" borderId="0" xfId="1" applyNumberFormat="1" applyFont="1" applyBorder="1" applyAlignment="1">
      <alignment vertical="center"/>
    </xf>
    <xf numFmtId="168" fontId="6" fillId="0" borderId="0" xfId="1" applyNumberFormat="1" applyFont="1" applyBorder="1" applyAlignment="1">
      <alignment horizontal="center" vertical="center"/>
    </xf>
    <xf numFmtId="37" fontId="6" fillId="0" borderId="0" xfId="1" applyNumberFormat="1" applyFont="1" applyBorder="1" applyAlignment="1">
      <alignment horizontal="center" vertical="center"/>
    </xf>
    <xf numFmtId="168" fontId="6" fillId="0" borderId="0" xfId="1" applyNumberFormat="1" applyFont="1" applyBorder="1" applyAlignment="1">
      <alignment vertical="center"/>
    </xf>
    <xf numFmtId="168" fontId="7" fillId="0" borderId="0" xfId="1" applyNumberFormat="1" applyFont="1" applyBorder="1" applyAlignment="1">
      <alignment horizontal="center" vertical="center"/>
    </xf>
    <xf numFmtId="165" fontId="7" fillId="0" borderId="0" xfId="1" applyFont="1" applyBorder="1" applyAlignment="1">
      <alignment horizontal="center" vertical="center"/>
    </xf>
    <xf numFmtId="37" fontId="7" fillId="0" borderId="0" xfId="1" applyNumberFormat="1" applyFont="1" applyBorder="1" applyAlignment="1">
      <alignment horizontal="center" vertical="center"/>
    </xf>
    <xf numFmtId="168" fontId="7" fillId="0" borderId="0" xfId="1" applyNumberFormat="1" applyFont="1" applyBorder="1" applyAlignment="1">
      <alignment vertical="center"/>
    </xf>
    <xf numFmtId="3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8" fontId="0" fillId="0" borderId="0" xfId="1" applyNumberFormat="1" applyFont="1" applyFill="1" applyBorder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68" fontId="4" fillId="0" borderId="0" xfId="1" applyNumberFormat="1" applyFont="1" applyFill="1" applyBorder="1" applyAlignment="1">
      <alignment horizontal="center" vertical="center" wrapText="1"/>
    </xf>
    <xf numFmtId="37" fontId="4" fillId="0" borderId="0" xfId="1" applyNumberFormat="1" applyFont="1" applyFill="1" applyBorder="1" applyAlignment="1">
      <alignment horizontal="center" vertical="center" wrapText="1"/>
    </xf>
    <xf numFmtId="4" fontId="3" fillId="0" borderId="0" xfId="1" applyNumberFormat="1" applyFont="1" applyFill="1" applyBorder="1" applyAlignment="1">
      <alignment horizontal="center" vertical="center"/>
    </xf>
    <xf numFmtId="37" fontId="3" fillId="0" borderId="0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4" fontId="2" fillId="0" borderId="0" xfId="1" applyNumberFormat="1" applyFont="1" applyFill="1" applyBorder="1" applyAlignment="1">
      <alignment horizontal="center" vertical="center"/>
    </xf>
    <xf numFmtId="37" fontId="2" fillId="0" borderId="0" xfId="1" applyNumberFormat="1" applyFont="1" applyFill="1" applyBorder="1" applyAlignment="1">
      <alignment horizontal="center" vertical="center"/>
    </xf>
    <xf numFmtId="170" fontId="0" fillId="0" borderId="0" xfId="0" applyNumberFormat="1"/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vertical="center"/>
    </xf>
    <xf numFmtId="0" fontId="10" fillId="7" borderId="20" xfId="0" applyFont="1" applyFill="1" applyBorder="1" applyAlignment="1">
      <alignment horizontal="center" vertical="center"/>
    </xf>
    <xf numFmtId="170" fontId="9" fillId="7" borderId="20" xfId="0" applyNumberFormat="1" applyFont="1" applyFill="1" applyBorder="1" applyAlignment="1">
      <alignment horizontal="center" vertical="center"/>
    </xf>
    <xf numFmtId="0" fontId="9" fillId="7" borderId="21" xfId="0" applyFont="1" applyFill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170" fontId="9" fillId="0" borderId="1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vertical="center"/>
    </xf>
    <xf numFmtId="9" fontId="10" fillId="7" borderId="12" xfId="0" applyNumberFormat="1" applyFont="1" applyFill="1" applyBorder="1" applyAlignment="1">
      <alignment horizontal="center" vertical="center"/>
    </xf>
    <xf numFmtId="171" fontId="9" fillId="7" borderId="12" xfId="0" applyNumberFormat="1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horizontal="center" vertical="center"/>
    </xf>
    <xf numFmtId="170" fontId="9" fillId="7" borderId="12" xfId="0" applyNumberFormat="1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vertical="center"/>
    </xf>
    <xf numFmtId="0" fontId="10" fillId="0" borderId="23" xfId="0" applyFont="1" applyBorder="1" applyAlignment="1">
      <alignment vertical="center" wrapText="1"/>
    </xf>
    <xf numFmtId="3" fontId="9" fillId="7" borderId="12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vertical="center"/>
    </xf>
    <xf numFmtId="0" fontId="10" fillId="7" borderId="15" xfId="0" applyFont="1" applyFill="1" applyBorder="1" applyAlignment="1">
      <alignment horizontal="center" vertical="center"/>
    </xf>
    <xf numFmtId="3" fontId="9" fillId="7" borderId="15" xfId="0" applyNumberFormat="1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vertical="center"/>
    </xf>
    <xf numFmtId="0" fontId="8" fillId="0" borderId="12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2" xfId="0" applyFont="1" applyBorder="1"/>
    <xf numFmtId="172" fontId="9" fillId="0" borderId="12" xfId="0" applyNumberFormat="1" applyFont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13" fillId="0" borderId="12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8" fontId="13" fillId="0" borderId="12" xfId="1" applyNumberFormat="1" applyFont="1" applyFill="1" applyBorder="1" applyAlignment="1">
      <alignment horizontal="right" vertical="top" wrapText="1"/>
    </xf>
    <xf numFmtId="168" fontId="13" fillId="0" borderId="12" xfId="1" applyNumberFormat="1" applyFont="1" applyFill="1" applyBorder="1" applyAlignment="1">
      <alignment vertical="center" wrapText="1"/>
    </xf>
    <xf numFmtId="168" fontId="13" fillId="0" borderId="12" xfId="1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 wrapText="1"/>
    </xf>
    <xf numFmtId="0" fontId="15" fillId="0" borderId="12" xfId="0" applyFont="1" applyBorder="1" applyAlignment="1">
      <alignment horizontal="center" vertical="center" wrapText="1"/>
    </xf>
    <xf numFmtId="168" fontId="15" fillId="0" borderId="12" xfId="1" applyNumberFormat="1" applyFont="1" applyFill="1" applyBorder="1" applyAlignment="1">
      <alignment horizontal="center" vertical="center" wrapText="1"/>
    </xf>
    <xf numFmtId="168" fontId="16" fillId="0" borderId="12" xfId="1" applyNumberFormat="1" applyFont="1" applyFill="1" applyBorder="1" applyAlignment="1">
      <alignment horizontal="center" vertical="center" wrapText="1"/>
    </xf>
    <xf numFmtId="173" fontId="15" fillId="0" borderId="12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169" fontId="13" fillId="0" borderId="12" xfId="1" applyNumberFormat="1" applyFont="1" applyBorder="1" applyAlignment="1">
      <alignment horizontal="right" vertical="center" wrapText="1"/>
    </xf>
    <xf numFmtId="0" fontId="15" fillId="0" borderId="12" xfId="0" applyFont="1" applyBorder="1" applyAlignment="1">
      <alignment horizontal="left" vertical="center" wrapText="1"/>
    </xf>
    <xf numFmtId="169" fontId="15" fillId="0" borderId="12" xfId="1" applyNumberFormat="1" applyFont="1" applyBorder="1" applyAlignment="1">
      <alignment horizontal="right" vertical="center" wrapText="1"/>
    </xf>
    <xf numFmtId="3" fontId="15" fillId="0" borderId="12" xfId="0" applyNumberFormat="1" applyFont="1" applyBorder="1" applyAlignment="1">
      <alignment horizontal="right" vertical="center" wrapText="1"/>
    </xf>
    <xf numFmtId="9" fontId="13" fillId="0" borderId="12" xfId="0" applyNumberFormat="1" applyFont="1" applyBorder="1" applyAlignment="1">
      <alignment horizontal="right" vertical="center" wrapText="1"/>
    </xf>
    <xf numFmtId="10" fontId="13" fillId="0" borderId="12" xfId="0" applyNumberFormat="1" applyFont="1" applyBorder="1" applyAlignment="1">
      <alignment horizontal="right" vertical="center" wrapText="1"/>
    </xf>
    <xf numFmtId="173" fontId="13" fillId="0" borderId="12" xfId="0" applyNumberFormat="1" applyFont="1" applyBorder="1" applyAlignment="1">
      <alignment horizontal="right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9" fontId="14" fillId="0" borderId="12" xfId="0" applyNumberFormat="1" applyFont="1" applyBorder="1" applyAlignment="1">
      <alignment horizontal="right" vertical="center" wrapText="1"/>
    </xf>
    <xf numFmtId="10" fontId="14" fillId="0" borderId="12" xfId="0" applyNumberFormat="1" applyFont="1" applyBorder="1" applyAlignment="1">
      <alignment horizontal="right" vertical="center" wrapText="1"/>
    </xf>
    <xf numFmtId="173" fontId="14" fillId="0" borderId="12" xfId="0" applyNumberFormat="1" applyFont="1" applyBorder="1" applyAlignment="1">
      <alignment horizontal="right" vertical="center" wrapText="1"/>
    </xf>
    <xf numFmtId="0" fontId="14" fillId="0" borderId="12" xfId="0" applyFont="1" applyBorder="1" applyAlignment="1">
      <alignment horizontal="right" vertical="center" wrapText="1"/>
    </xf>
    <xf numFmtId="168" fontId="14" fillId="0" borderId="12" xfId="1" applyNumberFormat="1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21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2" fontId="25" fillId="0" borderId="12" xfId="2" applyNumberFormat="1" applyFont="1" applyFill="1" applyBorder="1" applyAlignment="1">
      <alignment horizontal="center" vertical="center"/>
    </xf>
    <xf numFmtId="12" fontId="23" fillId="0" borderId="0" xfId="2" applyNumberFormat="1" applyFont="1" applyFill="1" applyBorder="1" applyAlignment="1">
      <alignment vertical="center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74" fontId="28" fillId="0" borderId="0" xfId="0" applyNumberFormat="1" applyFont="1" applyAlignment="1">
      <alignment vertical="center"/>
    </xf>
    <xf numFmtId="174" fontId="2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2" fillId="0" borderId="12" xfId="0" applyFont="1" applyBorder="1"/>
    <xf numFmtId="0" fontId="21" fillId="0" borderId="12" xfId="0" applyFont="1" applyBorder="1" applyAlignment="1">
      <alignment horizontal="center"/>
    </xf>
    <xf numFmtId="0" fontId="21" fillId="0" borderId="12" xfId="0" applyFont="1" applyBorder="1"/>
    <xf numFmtId="175" fontId="22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2" fontId="19" fillId="0" borderId="0" xfId="0" applyNumberFormat="1" applyFont="1"/>
    <xf numFmtId="2" fontId="19" fillId="0" borderId="0" xfId="0" applyNumberFormat="1" applyFont="1" applyAlignment="1">
      <alignment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3" fillId="0" borderId="25" xfId="0" applyFont="1" applyBorder="1" applyAlignment="1">
      <alignment horizontal="center" vertical="center"/>
    </xf>
    <xf numFmtId="0" fontId="29" fillId="8" borderId="7" xfId="0" applyFont="1" applyFill="1" applyBorder="1" applyAlignment="1">
      <alignment horizontal="center" vertical="center"/>
    </xf>
    <xf numFmtId="1" fontId="29" fillId="0" borderId="7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173" fontId="23" fillId="0" borderId="7" xfId="2" applyNumberFormat="1" applyFont="1" applyFill="1" applyBorder="1" applyAlignment="1">
      <alignment vertical="center"/>
    </xf>
    <xf numFmtId="12" fontId="23" fillId="0" borderId="7" xfId="2" applyNumberFormat="1" applyFont="1" applyFill="1" applyBorder="1" applyAlignment="1">
      <alignment vertical="center"/>
    </xf>
    <xf numFmtId="0" fontId="26" fillId="0" borderId="35" xfId="0" applyFont="1" applyBorder="1" applyAlignment="1">
      <alignment horizontal="center" vertical="center" wrapText="1"/>
    </xf>
    <xf numFmtId="0" fontId="29" fillId="8" borderId="12" xfId="0" applyFont="1" applyFill="1" applyBorder="1" applyAlignment="1">
      <alignment horizontal="center" vertical="center"/>
    </xf>
    <xf numFmtId="1" fontId="29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173" fontId="23" fillId="0" borderId="12" xfId="2" applyNumberFormat="1" applyFont="1" applyFill="1" applyBorder="1" applyAlignment="1">
      <alignment vertical="center"/>
    </xf>
    <xf numFmtId="12" fontId="23" fillId="0" borderId="12" xfId="2" applyNumberFormat="1" applyFont="1" applyFill="1" applyBorder="1" applyAlignment="1">
      <alignment vertical="center"/>
    </xf>
    <xf numFmtId="0" fontId="26" fillId="0" borderId="23" xfId="0" applyFont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center" vertical="center"/>
    </xf>
    <xf numFmtId="1" fontId="29" fillId="0" borderId="15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73" fontId="23" fillId="0" borderId="15" xfId="2" applyNumberFormat="1" applyFont="1" applyFill="1" applyBorder="1" applyAlignment="1">
      <alignment vertical="center"/>
    </xf>
    <xf numFmtId="12" fontId="23" fillId="0" borderId="15" xfId="2" applyNumberFormat="1" applyFont="1" applyFill="1" applyBorder="1" applyAlignment="1">
      <alignment vertical="center"/>
    </xf>
    <xf numFmtId="0" fontId="26" fillId="0" borderId="25" xfId="0" applyFont="1" applyBorder="1" applyAlignment="1">
      <alignment horizontal="center" vertical="center" wrapText="1"/>
    </xf>
    <xf numFmtId="0" fontId="29" fillId="9" borderId="7" xfId="0" applyFont="1" applyFill="1" applyBorder="1" applyAlignment="1">
      <alignment horizontal="center" vertical="center"/>
    </xf>
    <xf numFmtId="0" fontId="29" fillId="9" borderId="12" xfId="0" applyFont="1" applyFill="1" applyBorder="1" applyAlignment="1">
      <alignment horizontal="center" vertical="center"/>
    </xf>
    <xf numFmtId="0" fontId="29" fillId="9" borderId="15" xfId="0" applyFont="1" applyFill="1" applyBorder="1" applyAlignment="1">
      <alignment horizontal="center" vertical="center"/>
    </xf>
    <xf numFmtId="0" fontId="29" fillId="10" borderId="12" xfId="0" applyFont="1" applyFill="1" applyBorder="1" applyAlignment="1">
      <alignment horizontal="center" vertical="center"/>
    </xf>
    <xf numFmtId="0" fontId="29" fillId="10" borderId="29" xfId="0" applyFont="1" applyFill="1" applyBorder="1" applyAlignment="1">
      <alignment horizontal="center" vertical="center"/>
    </xf>
    <xf numFmtId="1" fontId="29" fillId="0" borderId="29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173" fontId="23" fillId="0" borderId="29" xfId="2" applyNumberFormat="1" applyFont="1" applyFill="1" applyBorder="1" applyAlignment="1">
      <alignment vertical="center"/>
    </xf>
    <xf numFmtId="12" fontId="23" fillId="0" borderId="29" xfId="2" applyNumberFormat="1" applyFont="1" applyFill="1" applyBorder="1" applyAlignment="1">
      <alignment vertical="center"/>
    </xf>
    <xf numFmtId="0" fontId="29" fillId="4" borderId="7" xfId="0" applyFont="1" applyFill="1" applyBorder="1" applyAlignment="1">
      <alignment horizontal="center" vertical="center"/>
    </xf>
    <xf numFmtId="0" fontId="29" fillId="4" borderId="15" xfId="0" applyFont="1" applyFill="1" applyBorder="1" applyAlignment="1">
      <alignment horizontal="center" vertical="center"/>
    </xf>
    <xf numFmtId="2" fontId="23" fillId="0" borderId="20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73" fontId="23" fillId="0" borderId="20" xfId="2" applyNumberFormat="1" applyFont="1" applyFill="1" applyBorder="1" applyAlignment="1">
      <alignment horizontal="center" vertical="center"/>
    </xf>
    <xf numFmtId="173" fontId="23" fillId="0" borderId="20" xfId="2" applyNumberFormat="1" applyFont="1" applyFill="1" applyBorder="1" applyAlignment="1">
      <alignment vertical="center"/>
    </xf>
    <xf numFmtId="12" fontId="23" fillId="0" borderId="20" xfId="2" applyNumberFormat="1" applyFont="1" applyFill="1" applyBorder="1" applyAlignment="1">
      <alignment vertical="center"/>
    </xf>
    <xf numFmtId="0" fontId="27" fillId="0" borderId="20" xfId="0" applyFont="1" applyBorder="1" applyAlignment="1">
      <alignment vertical="center"/>
    </xf>
    <xf numFmtId="174" fontId="29" fillId="0" borderId="12" xfId="0" applyNumberFormat="1" applyFont="1" applyBorder="1" applyAlignment="1">
      <alignment horizontal="center" vertical="center"/>
    </xf>
    <xf numFmtId="174" fontId="28" fillId="0" borderId="12" xfId="0" applyNumberFormat="1" applyFont="1" applyBorder="1" applyAlignment="1">
      <alignment vertical="center"/>
    </xf>
    <xf numFmtId="174" fontId="29" fillId="0" borderId="12" xfId="0" applyNumberFormat="1" applyFont="1" applyBorder="1" applyAlignment="1">
      <alignment vertical="center"/>
    </xf>
    <xf numFmtId="0" fontId="23" fillId="0" borderId="39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7" fillId="0" borderId="22" xfId="0" applyFont="1" applyBorder="1" applyAlignment="1">
      <alignment horizontal="left" vertical="center" indent="1"/>
    </xf>
    <xf numFmtId="174" fontId="34" fillId="0" borderId="12" xfId="0" applyNumberFormat="1" applyFont="1" applyBorder="1" applyAlignment="1">
      <alignment horizontal="center" vertical="center"/>
    </xf>
    <xf numFmtId="174" fontId="27" fillId="0" borderId="26" xfId="0" applyNumberFormat="1" applyFont="1" applyBorder="1" applyAlignment="1">
      <alignment horizontal="center" vertical="center"/>
    </xf>
    <xf numFmtId="1" fontId="27" fillId="0" borderId="26" xfId="0" applyNumberFormat="1" applyFont="1" applyBorder="1" applyAlignment="1">
      <alignment horizontal="center" vertical="center"/>
    </xf>
    <xf numFmtId="174" fontId="27" fillId="0" borderId="23" xfId="0" applyNumberFormat="1" applyFont="1" applyBorder="1" applyAlignment="1">
      <alignment horizontal="center" vertical="center"/>
    </xf>
    <xf numFmtId="174" fontId="35" fillId="0" borderId="26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174" fontId="34" fillId="0" borderId="26" xfId="0" applyNumberFormat="1" applyFont="1" applyBorder="1" applyAlignment="1">
      <alignment horizontal="center" vertical="center"/>
    </xf>
    <xf numFmtId="1" fontId="29" fillId="0" borderId="26" xfId="0" applyNumberFormat="1" applyFont="1" applyBorder="1" applyAlignment="1">
      <alignment horizontal="center" vertical="center"/>
    </xf>
    <xf numFmtId="174" fontId="29" fillId="0" borderId="26" xfId="0" applyNumberFormat="1" applyFont="1" applyBorder="1" applyAlignment="1">
      <alignment horizontal="center" vertical="center"/>
    </xf>
    <xf numFmtId="1" fontId="34" fillId="0" borderId="26" xfId="0" applyNumberFormat="1" applyFont="1" applyBorder="1" applyAlignment="1">
      <alignment horizontal="center" vertical="center"/>
    </xf>
    <xf numFmtId="1" fontId="27" fillId="0" borderId="12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vertical="center"/>
    </xf>
    <xf numFmtId="174" fontId="27" fillId="0" borderId="12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23" fillId="0" borderId="39" xfId="0" applyFont="1" applyBorder="1" applyAlignment="1">
      <alignment horizontal="left" vertical="center" wrapText="1"/>
    </xf>
    <xf numFmtId="0" fontId="23" fillId="0" borderId="2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74" fontId="29" fillId="0" borderId="36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174" fontId="29" fillId="0" borderId="25" xfId="0" applyNumberFormat="1" applyFont="1" applyBorder="1" applyAlignment="1">
      <alignment horizontal="center" vertical="center"/>
    </xf>
    <xf numFmtId="174" fontId="1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3" fillId="0" borderId="22" xfId="0" applyFont="1" applyBorder="1" applyAlignment="1">
      <alignment horizontal="left" vertical="center" indent="1"/>
    </xf>
    <xf numFmtId="4" fontId="27" fillId="0" borderId="12" xfId="0" applyNumberFormat="1" applyFont="1" applyBorder="1" applyAlignment="1">
      <alignment horizontal="center" vertical="center"/>
    </xf>
    <xf numFmtId="1" fontId="32" fillId="0" borderId="12" xfId="0" applyNumberFormat="1" applyFont="1" applyBorder="1" applyAlignment="1">
      <alignment horizontal="center" vertical="center"/>
    </xf>
    <xf numFmtId="1" fontId="29" fillId="0" borderId="39" xfId="0" applyNumberFormat="1" applyFont="1" applyBorder="1" applyAlignment="1">
      <alignment horizontal="center" vertical="center"/>
    </xf>
    <xf numFmtId="1" fontId="35" fillId="0" borderId="29" xfId="0" applyNumberFormat="1" applyFont="1" applyBorder="1" applyAlignment="1">
      <alignment horizontal="center" vertical="center"/>
    </xf>
    <xf numFmtId="174" fontId="28" fillId="0" borderId="48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5" xfId="0" applyFont="1" applyBorder="1" applyAlignment="1">
      <alignment vertical="center"/>
    </xf>
    <xf numFmtId="2" fontId="23" fillId="0" borderId="15" xfId="0" applyNumberFormat="1" applyFont="1" applyBorder="1" applyAlignment="1">
      <alignment horizontal="center" vertical="center"/>
    </xf>
    <xf numFmtId="174" fontId="23" fillId="0" borderId="34" xfId="0" applyNumberFormat="1" applyFont="1" applyBorder="1" applyAlignment="1">
      <alignment horizontal="center" vertical="center"/>
    </xf>
    <xf numFmtId="174" fontId="27" fillId="0" borderId="49" xfId="0" applyNumberFormat="1" applyFont="1" applyBorder="1"/>
    <xf numFmtId="174" fontId="3" fillId="0" borderId="0" xfId="0" applyNumberFormat="1" applyFont="1"/>
    <xf numFmtId="0" fontId="2" fillId="3" borderId="4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36" fillId="0" borderId="12" xfId="0" applyFont="1" applyBorder="1"/>
    <xf numFmtId="0" fontId="3" fillId="0" borderId="12" xfId="0" applyFont="1" applyBorder="1" applyAlignment="1">
      <alignment vertical="center"/>
    </xf>
    <xf numFmtId="174" fontId="37" fillId="0" borderId="12" xfId="0" applyNumberFormat="1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1" fontId="3" fillId="0" borderId="12" xfId="0" applyNumberFormat="1" applyFont="1" applyBorder="1" applyAlignment="1">
      <alignment vertical="center"/>
    </xf>
    <xf numFmtId="0" fontId="3" fillId="0" borderId="12" xfId="0" applyFont="1" applyBorder="1"/>
    <xf numFmtId="1" fontId="3" fillId="0" borderId="12" xfId="0" applyNumberFormat="1" applyFont="1" applyBorder="1"/>
    <xf numFmtId="0" fontId="39" fillId="0" borderId="12" xfId="0" applyFont="1" applyBorder="1"/>
    <xf numFmtId="1" fontId="37" fillId="0" borderId="12" xfId="0" applyNumberFormat="1" applyFont="1" applyBorder="1"/>
    <xf numFmtId="0" fontId="39" fillId="0" borderId="29" xfId="0" applyFont="1" applyBorder="1"/>
    <xf numFmtId="0" fontId="3" fillId="0" borderId="29" xfId="0" applyFont="1" applyBorder="1"/>
    <xf numFmtId="0" fontId="37" fillId="0" borderId="29" xfId="0" applyFont="1" applyBorder="1"/>
    <xf numFmtId="9" fontId="39" fillId="0" borderId="15" xfId="0" applyNumberFormat="1" applyFont="1" applyBorder="1"/>
    <xf numFmtId="1" fontId="3" fillId="0" borderId="15" xfId="0" applyNumberFormat="1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0" fontId="3" fillId="0" borderId="20" xfId="0" applyFont="1" applyBorder="1"/>
    <xf numFmtId="174" fontId="3" fillId="0" borderId="20" xfId="0" applyNumberFormat="1" applyFont="1" applyBorder="1" applyAlignment="1">
      <alignment vertical="center"/>
    </xf>
    <xf numFmtId="1" fontId="40" fillId="0" borderId="20" xfId="0" applyNumberFormat="1" applyFont="1" applyBorder="1" applyAlignment="1">
      <alignment vertical="center"/>
    </xf>
    <xf numFmtId="174" fontId="3" fillId="0" borderId="12" xfId="0" applyNumberFormat="1" applyFont="1" applyBorder="1" applyAlignment="1">
      <alignment vertical="center"/>
    </xf>
    <xf numFmtId="1" fontId="37" fillId="0" borderId="29" xfId="0" applyNumberFormat="1" applyFont="1" applyBorder="1"/>
    <xf numFmtId="0" fontId="3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/>
    </xf>
    <xf numFmtId="0" fontId="23" fillId="0" borderId="2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7" fillId="12" borderId="12" xfId="0" applyFont="1" applyFill="1" applyBorder="1" applyAlignment="1">
      <alignment horizontal="left" vertical="center" indent="1"/>
    </xf>
    <xf numFmtId="0" fontId="27" fillId="12" borderId="12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left" vertical="center" indent="1"/>
    </xf>
    <xf numFmtId="0" fontId="27" fillId="13" borderId="12" xfId="0" applyFont="1" applyFill="1" applyBorder="1" applyAlignment="1">
      <alignment horizontal="center" vertical="center"/>
    </xf>
    <xf numFmtId="0" fontId="23" fillId="0" borderId="12" xfId="0" applyFont="1" applyBorder="1" applyAlignment="1">
      <alignment vertical="center"/>
    </xf>
    <xf numFmtId="2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3" fontId="23" fillId="0" borderId="12" xfId="2" applyNumberFormat="1" applyFont="1" applyFill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174" fontId="0" fillId="0" borderId="0" xfId="1" applyNumberFormat="1" applyFont="1" applyAlignment="1">
      <alignment horizontal="center" vertical="center"/>
    </xf>
    <xf numFmtId="168" fontId="41" fillId="0" borderId="20" xfId="1" applyNumberFormat="1" applyFont="1" applyFill="1" applyBorder="1" applyAlignment="1">
      <alignment horizontal="center" vertical="center" wrapText="1"/>
    </xf>
    <xf numFmtId="37" fontId="41" fillId="0" borderId="20" xfId="1" applyNumberFormat="1" applyFont="1" applyFill="1" applyBorder="1" applyAlignment="1">
      <alignment horizontal="center" vertical="center" wrapText="1"/>
    </xf>
    <xf numFmtId="174" fontId="41" fillId="0" borderId="46" xfId="1" applyNumberFormat="1" applyFont="1" applyFill="1" applyBorder="1" applyAlignment="1">
      <alignment horizontal="center" vertical="center" wrapText="1"/>
    </xf>
    <xf numFmtId="37" fontId="41" fillId="0" borderId="46" xfId="1" applyNumberFormat="1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textRotation="90"/>
    </xf>
    <xf numFmtId="168" fontId="34" fillId="0" borderId="12" xfId="1" applyNumberFormat="1" applyFont="1" applyFill="1" applyBorder="1" applyAlignment="1">
      <alignment horizontal="center" vertical="center"/>
    </xf>
    <xf numFmtId="168" fontId="27" fillId="0" borderId="12" xfId="1" applyNumberFormat="1" applyFont="1" applyFill="1" applyBorder="1" applyAlignment="1">
      <alignment horizontal="center" vertical="center"/>
    </xf>
    <xf numFmtId="37" fontId="27" fillId="0" borderId="12" xfId="1" applyNumberFormat="1" applyFont="1" applyFill="1" applyBorder="1" applyAlignment="1">
      <alignment horizontal="center" vertical="center"/>
    </xf>
    <xf numFmtId="1" fontId="27" fillId="0" borderId="12" xfId="1" applyNumberFormat="1" applyFont="1" applyFill="1" applyBorder="1" applyAlignment="1">
      <alignment horizontal="center" vertical="center"/>
    </xf>
    <xf numFmtId="174" fontId="27" fillId="0" borderId="26" xfId="1" applyNumberFormat="1" applyFont="1" applyFill="1" applyBorder="1" applyAlignment="1">
      <alignment horizontal="center" vertical="center"/>
    </xf>
    <xf numFmtId="1" fontId="27" fillId="0" borderId="26" xfId="1" applyNumberFormat="1" applyFont="1" applyFill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3" fillId="14" borderId="12" xfId="0" applyFont="1" applyFill="1" applyBorder="1" applyAlignment="1">
      <alignment horizontal="center" vertical="center"/>
    </xf>
    <xf numFmtId="168" fontId="27" fillId="14" borderId="12" xfId="1" applyNumberFormat="1" applyFont="1" applyFill="1" applyBorder="1" applyAlignment="1">
      <alignment horizontal="center" vertical="center"/>
    </xf>
    <xf numFmtId="37" fontId="27" fillId="14" borderId="12" xfId="1" applyNumberFormat="1" applyFont="1" applyFill="1" applyBorder="1" applyAlignment="1">
      <alignment horizontal="center" vertical="center"/>
    </xf>
    <xf numFmtId="1" fontId="27" fillId="14" borderId="12" xfId="1" applyNumberFormat="1" applyFont="1" applyFill="1" applyBorder="1" applyAlignment="1">
      <alignment horizontal="center" vertical="center"/>
    </xf>
    <xf numFmtId="174" fontId="27" fillId="14" borderId="26" xfId="1" applyNumberFormat="1" applyFont="1" applyFill="1" applyBorder="1" applyAlignment="1">
      <alignment horizontal="center" vertical="center"/>
    </xf>
    <xf numFmtId="1" fontId="27" fillId="14" borderId="26" xfId="1" applyNumberFormat="1" applyFont="1" applyFill="1" applyBorder="1" applyAlignment="1">
      <alignment horizontal="center" vertical="center"/>
    </xf>
    <xf numFmtId="0" fontId="35" fillId="14" borderId="23" xfId="0" applyFont="1" applyFill="1" applyBorder="1" applyAlignment="1">
      <alignment horizontal="center" vertical="center"/>
    </xf>
    <xf numFmtId="174" fontId="34" fillId="14" borderId="12" xfId="1" applyNumberFormat="1" applyFont="1" applyFill="1" applyBorder="1" applyAlignment="1">
      <alignment horizontal="center" vertical="center"/>
    </xf>
    <xf numFmtId="174" fontId="29" fillId="14" borderId="12" xfId="1" applyNumberFormat="1" applyFont="1" applyFill="1" applyBorder="1" applyAlignment="1">
      <alignment horizontal="center" vertical="center"/>
    </xf>
    <xf numFmtId="2" fontId="27" fillId="14" borderId="26" xfId="1" applyNumberFormat="1" applyFont="1" applyFill="1" applyBorder="1" applyAlignment="1">
      <alignment horizontal="center" vertical="center"/>
    </xf>
    <xf numFmtId="168" fontId="27" fillId="14" borderId="12" xfId="0" applyNumberFormat="1" applyFont="1" applyFill="1" applyBorder="1" applyAlignment="1">
      <alignment horizontal="center" vertical="center"/>
    </xf>
    <xf numFmtId="37" fontId="27" fillId="14" borderId="12" xfId="0" applyNumberFormat="1" applyFont="1" applyFill="1" applyBorder="1" applyAlignment="1">
      <alignment horizontal="center" vertical="center"/>
    </xf>
    <xf numFmtId="2" fontId="27" fillId="14" borderId="12" xfId="0" applyNumberFormat="1" applyFont="1" applyFill="1" applyBorder="1" applyAlignment="1">
      <alignment vertical="center"/>
    </xf>
    <xf numFmtId="174" fontId="27" fillId="14" borderId="26" xfId="0" applyNumberFormat="1" applyFont="1" applyFill="1" applyBorder="1" applyAlignment="1">
      <alignment horizontal="center" vertical="center"/>
    </xf>
    <xf numFmtId="2" fontId="27" fillId="14" borderId="26" xfId="0" applyNumberFormat="1" applyFont="1" applyFill="1" applyBorder="1" applyAlignment="1">
      <alignment vertical="center"/>
    </xf>
    <xf numFmtId="0" fontId="34" fillId="14" borderId="23" xfId="0" applyFont="1" applyFill="1" applyBorder="1" applyAlignment="1">
      <alignment horizontal="center" vertical="center"/>
    </xf>
    <xf numFmtId="1" fontId="27" fillId="14" borderId="26" xfId="0" applyNumberFormat="1" applyFont="1" applyFill="1" applyBorder="1" applyAlignment="1">
      <alignment vertical="center"/>
    </xf>
    <xf numFmtId="174" fontId="34" fillId="14" borderId="26" xfId="1" applyNumberFormat="1" applyFont="1" applyFill="1" applyBorder="1" applyAlignment="1">
      <alignment horizontal="center" vertical="center"/>
    </xf>
    <xf numFmtId="168" fontId="35" fillId="0" borderId="29" xfId="1" applyNumberFormat="1" applyFont="1" applyFill="1" applyBorder="1" applyAlignment="1">
      <alignment horizontal="center" vertical="center"/>
    </xf>
    <xf numFmtId="168" fontId="27" fillId="0" borderId="29" xfId="1" applyNumberFormat="1" applyFont="1" applyFill="1" applyBorder="1" applyAlignment="1">
      <alignment horizontal="center" vertical="center"/>
    </xf>
    <xf numFmtId="37" fontId="27" fillId="0" borderId="29" xfId="1" applyNumberFormat="1" applyFont="1" applyFill="1" applyBorder="1" applyAlignment="1">
      <alignment horizontal="center" vertical="center"/>
    </xf>
    <xf numFmtId="1" fontId="27" fillId="0" borderId="29" xfId="1" applyNumberFormat="1" applyFont="1" applyFill="1" applyBorder="1" applyAlignment="1">
      <alignment horizontal="center" vertical="center"/>
    </xf>
    <xf numFmtId="174" fontId="27" fillId="0" borderId="40" xfId="1" applyNumberFormat="1" applyFont="1" applyFill="1" applyBorder="1" applyAlignment="1">
      <alignment horizontal="center" vertical="center"/>
    </xf>
    <xf numFmtId="1" fontId="27" fillId="0" borderId="40" xfId="1" applyNumberFormat="1" applyFont="1" applyFill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168" fontId="23" fillId="0" borderId="15" xfId="1" applyNumberFormat="1" applyFont="1" applyFill="1" applyBorder="1" applyAlignment="1">
      <alignment horizontal="center" vertical="center"/>
    </xf>
    <xf numFmtId="37" fontId="23" fillId="0" borderId="15" xfId="1" applyNumberFormat="1" applyFont="1" applyFill="1" applyBorder="1" applyAlignment="1">
      <alignment horizontal="center" vertical="center"/>
    </xf>
    <xf numFmtId="170" fontId="23" fillId="0" borderId="15" xfId="1" applyNumberFormat="1" applyFont="1" applyFill="1" applyBorder="1" applyAlignment="1">
      <alignment horizontal="center" vertical="center"/>
    </xf>
    <xf numFmtId="174" fontId="23" fillId="0" borderId="15" xfId="1" applyNumberFormat="1" applyFont="1" applyFill="1" applyBorder="1" applyAlignment="1">
      <alignment horizontal="center" vertical="center"/>
    </xf>
    <xf numFmtId="3" fontId="23" fillId="0" borderId="34" xfId="1" applyNumberFormat="1" applyFont="1" applyFill="1" applyBorder="1" applyAlignment="1">
      <alignment horizontal="center" vertical="center"/>
    </xf>
    <xf numFmtId="2" fontId="23" fillId="0" borderId="25" xfId="0" applyNumberFormat="1" applyFont="1" applyBorder="1" applyAlignment="1">
      <alignment horizontal="center" vertical="center"/>
    </xf>
    <xf numFmtId="2" fontId="26" fillId="0" borderId="16" xfId="0" applyNumberFormat="1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77" fontId="42" fillId="0" borderId="0" xfId="0" applyNumberFormat="1" applyFont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  <xf numFmtId="174" fontId="42" fillId="0" borderId="0" xfId="0" applyNumberFormat="1" applyFont="1" applyAlignment="1">
      <alignment vertical="center"/>
    </xf>
    <xf numFmtId="177" fontId="42" fillId="0" borderId="0" xfId="0" applyNumberFormat="1" applyFont="1" applyAlignment="1">
      <alignment vertical="center"/>
    </xf>
    <xf numFmtId="174" fontId="2" fillId="8" borderId="7" xfId="0" applyNumberFormat="1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174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26" xfId="0" applyFont="1" applyBorder="1" applyAlignment="1">
      <alignment vertical="center"/>
    </xf>
    <xf numFmtId="3" fontId="3" fillId="0" borderId="26" xfId="0" applyNumberFormat="1" applyFont="1" applyBorder="1" applyAlignment="1">
      <alignment vertical="center"/>
    </xf>
    <xf numFmtId="178" fontId="3" fillId="0" borderId="12" xfId="0" applyNumberFormat="1" applyFont="1" applyBorder="1" applyAlignment="1">
      <alignment vertical="center"/>
    </xf>
    <xf numFmtId="174" fontId="3" fillId="0" borderId="26" xfId="0" applyNumberFormat="1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174" fontId="3" fillId="0" borderId="0" xfId="0" applyNumberFormat="1" applyFont="1" applyAlignment="1">
      <alignment vertical="center"/>
    </xf>
    <xf numFmtId="173" fontId="3" fillId="0" borderId="0" xfId="2" applyNumberFormat="1" applyFont="1" applyAlignment="1">
      <alignment vertical="center"/>
    </xf>
    <xf numFmtId="37" fontId="2" fillId="0" borderId="0" xfId="0" applyNumberFormat="1" applyFont="1" applyAlignment="1">
      <alignment vertical="center"/>
    </xf>
    <xf numFmtId="0" fontId="3" fillId="15" borderId="0" xfId="0" applyFont="1" applyFill="1" applyAlignment="1">
      <alignment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 wrapText="1"/>
    </xf>
    <xf numFmtId="0" fontId="43" fillId="16" borderId="12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170" fontId="2" fillId="0" borderId="12" xfId="0" applyNumberFormat="1" applyFont="1" applyBorder="1" applyAlignment="1">
      <alignment horizontal="right" vertical="center"/>
    </xf>
    <xf numFmtId="170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right" vertical="center"/>
    </xf>
    <xf numFmtId="3" fontId="3" fillId="0" borderId="12" xfId="0" applyNumberFormat="1" applyFont="1" applyBorder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170" fontId="5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4" fontId="2" fillId="0" borderId="12" xfId="0" applyNumberFormat="1" applyFont="1" applyBorder="1" applyAlignment="1">
      <alignment horizontal="right" vertical="center"/>
    </xf>
    <xf numFmtId="179" fontId="5" fillId="0" borderId="12" xfId="1" applyNumberFormat="1" applyFont="1" applyBorder="1" applyAlignment="1">
      <alignment horizontal="right" vertical="center"/>
    </xf>
    <xf numFmtId="3" fontId="3" fillId="0" borderId="0" xfId="0" applyNumberFormat="1" applyFont="1" applyAlignment="1">
      <alignment vertical="center"/>
    </xf>
    <xf numFmtId="179" fontId="2" fillId="0" borderId="12" xfId="1" applyNumberFormat="1" applyFont="1" applyBorder="1" applyAlignment="1">
      <alignment horizontal="right" vertical="center"/>
    </xf>
    <xf numFmtId="180" fontId="2" fillId="0" borderId="12" xfId="1" applyNumberFormat="1" applyFont="1" applyBorder="1" applyAlignment="1">
      <alignment horizontal="right" vertical="center"/>
    </xf>
    <xf numFmtId="0" fontId="2" fillId="15" borderId="12" xfId="0" applyFont="1" applyFill="1" applyBorder="1" applyAlignment="1">
      <alignment vertical="center"/>
    </xf>
    <xf numFmtId="0" fontId="3" fillId="15" borderId="12" xfId="0" applyFont="1" applyFill="1" applyBorder="1" applyAlignment="1">
      <alignment horizontal="center" vertical="center"/>
    </xf>
    <xf numFmtId="3" fontId="2" fillId="15" borderId="12" xfId="0" applyNumberFormat="1" applyFont="1" applyFill="1" applyBorder="1" applyAlignment="1">
      <alignment horizontal="right" vertical="center"/>
    </xf>
    <xf numFmtId="1" fontId="2" fillId="0" borderId="12" xfId="0" applyNumberFormat="1" applyFont="1" applyBorder="1" applyAlignment="1">
      <alignment horizontal="right" vertical="center"/>
    </xf>
    <xf numFmtId="170" fontId="4" fillId="0" borderId="12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42" fillId="0" borderId="30" xfId="0" applyFont="1" applyBorder="1" applyAlignment="1">
      <alignment horizontal="center" vertical="center"/>
    </xf>
    <xf numFmtId="174" fontId="3" fillId="0" borderId="2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74" fontId="42" fillId="0" borderId="30" xfId="0" applyNumberFormat="1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174" fontId="42" fillId="0" borderId="20" xfId="0" applyNumberFormat="1" applyFont="1" applyBorder="1" applyAlignment="1">
      <alignment horizontal="center" vertical="center"/>
    </xf>
    <xf numFmtId="0" fontId="3" fillId="0" borderId="6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2" fillId="0" borderId="62" xfId="0" applyFont="1" applyBorder="1" applyAlignment="1">
      <alignment vertical="center"/>
    </xf>
    <xf numFmtId="0" fontId="2" fillId="0" borderId="35" xfId="0" applyFont="1" applyBorder="1" applyAlignment="1">
      <alignment horizontal="center" vertical="center"/>
    </xf>
    <xf numFmtId="2" fontId="42" fillId="0" borderId="25" xfId="0" applyNumberFormat="1" applyFont="1" applyBorder="1" applyAlignment="1">
      <alignment vertical="center"/>
    </xf>
    <xf numFmtId="0" fontId="2" fillId="0" borderId="67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37" fontId="3" fillId="0" borderId="15" xfId="0" applyNumberFormat="1" applyFont="1" applyBorder="1" applyAlignment="1">
      <alignment vertical="center"/>
    </xf>
    <xf numFmtId="0" fontId="39" fillId="0" borderId="15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vertical="center"/>
    </xf>
    <xf numFmtId="0" fontId="3" fillId="0" borderId="25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2" fontId="3" fillId="0" borderId="16" xfId="0" applyNumberFormat="1" applyFont="1" applyBorder="1" applyAlignment="1">
      <alignment vertical="center"/>
    </xf>
    <xf numFmtId="0" fontId="3" fillId="0" borderId="67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26" fillId="0" borderId="12" xfId="0" quotePrefix="1" applyFont="1" applyBorder="1" applyAlignment="1">
      <alignment horizontal="center" vertical="center" wrapText="1"/>
    </xf>
    <xf numFmtId="0" fontId="26" fillId="0" borderId="35" xfId="0" quotePrefix="1" applyFont="1" applyBorder="1" applyAlignment="1">
      <alignment horizontal="center" vertical="center" wrapText="1"/>
    </xf>
    <xf numFmtId="0" fontId="26" fillId="0" borderId="23" xfId="0" quotePrefix="1" applyFont="1" applyBorder="1" applyAlignment="1">
      <alignment horizontal="center" vertical="center" wrapText="1"/>
    </xf>
    <xf numFmtId="0" fontId="26" fillId="0" borderId="36" xfId="0" quotePrefix="1" applyFont="1" applyBorder="1" applyAlignment="1">
      <alignment horizontal="center" vertical="center" wrapText="1"/>
    </xf>
    <xf numFmtId="0" fontId="2" fillId="9" borderId="41" xfId="0" applyFont="1" applyFill="1" applyBorder="1" applyAlignment="1">
      <alignment horizontal="center" vertical="center"/>
    </xf>
    <xf numFmtId="0" fontId="2" fillId="9" borderId="42" xfId="0" applyFont="1" applyFill="1" applyBorder="1" applyAlignment="1">
      <alignment horizontal="center" vertical="center"/>
    </xf>
    <xf numFmtId="0" fontId="2" fillId="9" borderId="5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1" fillId="0" borderId="38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3" fillId="0" borderId="39" xfId="0" applyFont="1" applyBorder="1" applyAlignment="1">
      <alignment horizontal="center" vertical="center" textRotation="90"/>
    </xf>
    <xf numFmtId="0" fontId="23" fillId="0" borderId="11" xfId="0" applyFont="1" applyBorder="1" applyAlignment="1">
      <alignment horizontal="center" vertical="center" textRotation="90"/>
    </xf>
    <xf numFmtId="17" fontId="23" fillId="0" borderId="29" xfId="0" applyNumberFormat="1" applyFont="1" applyBorder="1" applyAlignment="1">
      <alignment horizontal="center" vertical="center" textRotation="90"/>
    </xf>
    <xf numFmtId="0" fontId="23" fillId="0" borderId="30" xfId="0" applyFont="1" applyBorder="1" applyAlignment="1">
      <alignment horizontal="center" vertical="center" textRotation="90"/>
    </xf>
    <xf numFmtId="0" fontId="2" fillId="0" borderId="43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textRotation="90" wrapText="1"/>
    </xf>
    <xf numFmtId="0" fontId="23" fillId="0" borderId="59" xfId="0" applyFont="1" applyBorder="1" applyAlignment="1">
      <alignment horizontal="center" vertical="center" textRotation="90" wrapText="1"/>
    </xf>
    <xf numFmtId="0" fontId="23" fillId="0" borderId="62" xfId="0" applyFont="1" applyBorder="1" applyAlignment="1">
      <alignment horizontal="center" vertical="center" textRotation="90" wrapText="1"/>
    </xf>
    <xf numFmtId="0" fontId="23" fillId="0" borderId="60" xfId="0" applyFont="1" applyBorder="1" applyAlignment="1">
      <alignment horizontal="center" vertical="center" textRotation="90" wrapText="1"/>
    </xf>
    <xf numFmtId="0" fontId="23" fillId="0" borderId="55" xfId="0" applyFont="1" applyBorder="1" applyAlignment="1">
      <alignment horizontal="center" vertical="center" textRotation="90" wrapText="1"/>
    </xf>
    <xf numFmtId="0" fontId="23" fillId="0" borderId="57" xfId="0" applyFont="1" applyBorder="1" applyAlignment="1">
      <alignment horizontal="center" vertical="center" textRotation="90" wrapText="1"/>
    </xf>
    <xf numFmtId="0" fontId="23" fillId="14" borderId="40" xfId="0" applyFont="1" applyFill="1" applyBorder="1" applyAlignment="1">
      <alignment horizontal="center" vertical="center" textRotation="90"/>
    </xf>
    <xf numFmtId="0" fontId="23" fillId="14" borderId="59" xfId="0" applyFont="1" applyFill="1" applyBorder="1" applyAlignment="1">
      <alignment horizontal="center" vertical="center" textRotation="90"/>
    </xf>
    <xf numFmtId="0" fontId="23" fillId="14" borderId="45" xfId="0" applyFont="1" applyFill="1" applyBorder="1" applyAlignment="1">
      <alignment horizontal="center" vertical="center" textRotation="90"/>
    </xf>
    <xf numFmtId="0" fontId="23" fillId="14" borderId="60" xfId="0" applyFont="1" applyFill="1" applyBorder="1" applyAlignment="1">
      <alignment horizontal="center" vertical="center" textRotation="90"/>
    </xf>
    <xf numFmtId="0" fontId="23" fillId="14" borderId="46" xfId="0" applyFont="1" applyFill="1" applyBorder="1" applyAlignment="1">
      <alignment horizontal="center" vertical="center" textRotation="90"/>
    </xf>
    <xf numFmtId="0" fontId="23" fillId="14" borderId="57" xfId="0" applyFont="1" applyFill="1" applyBorder="1" applyAlignment="1">
      <alignment horizontal="center" vertical="center" textRotation="90"/>
    </xf>
    <xf numFmtId="0" fontId="2" fillId="0" borderId="3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2" fillId="15" borderId="12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174" fontId="29" fillId="0" borderId="12" xfId="0" applyNumberFormat="1" applyFont="1" applyBorder="1" applyAlignment="1">
      <alignment horizontal="center" vertical="center"/>
    </xf>
    <xf numFmtId="0" fontId="29" fillId="0" borderId="27" xfId="0" quotePrefix="1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10" fontId="29" fillId="0" borderId="12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11" borderId="41" xfId="0" applyFont="1" applyFill="1" applyBorder="1" applyAlignment="1">
      <alignment horizontal="center"/>
    </xf>
    <xf numFmtId="0" fontId="2" fillId="11" borderId="42" xfId="0" applyFont="1" applyFill="1" applyBorder="1" applyAlignment="1">
      <alignment horizontal="center"/>
    </xf>
    <xf numFmtId="0" fontId="2" fillId="11" borderId="43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6" borderId="4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3" fillId="6" borderId="22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 wrapText="1"/>
    </xf>
    <xf numFmtId="174" fontId="27" fillId="0" borderId="24" xfId="0" applyNumberFormat="1" applyFont="1" applyBorder="1" applyAlignment="1">
      <alignment horizontal="center"/>
    </xf>
    <xf numFmtId="174" fontId="27" fillId="0" borderId="15" xfId="0" applyNumberFormat="1" applyFont="1" applyBorder="1" applyAlignment="1">
      <alignment horizont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3" fontId="3" fillId="0" borderId="31" xfId="0" applyNumberFormat="1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51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8" fillId="0" borderId="51" xfId="0" applyFont="1" applyBorder="1" applyAlignment="1">
      <alignment horizontal="right"/>
    </xf>
    <xf numFmtId="0" fontId="38" fillId="0" borderId="27" xfId="0" applyFont="1" applyBorder="1" applyAlignment="1">
      <alignment horizontal="right"/>
    </xf>
    <xf numFmtId="0" fontId="38" fillId="0" borderId="28" xfId="0" applyFont="1" applyBorder="1" applyAlignment="1">
      <alignment horizontal="right"/>
    </xf>
    <xf numFmtId="0" fontId="3" fillId="0" borderId="52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3" fillId="6" borderId="30" xfId="0" applyFont="1" applyFill="1" applyBorder="1" applyAlignment="1">
      <alignment horizontal="center" vertical="center" wrapText="1"/>
    </xf>
    <xf numFmtId="0" fontId="23" fillId="6" borderId="20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6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23" fillId="3" borderId="38" xfId="0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6" xfId="0" quotePrefix="1" applyFont="1" applyBorder="1" applyAlignment="1">
      <alignment horizontal="center" vertical="center"/>
    </xf>
    <xf numFmtId="10" fontId="23" fillId="0" borderId="26" xfId="0" applyNumberFormat="1" applyFont="1" applyBorder="1" applyAlignment="1">
      <alignment horizontal="center" vertical="center"/>
    </xf>
    <xf numFmtId="10" fontId="23" fillId="0" borderId="27" xfId="0" applyNumberFormat="1" applyFont="1" applyBorder="1" applyAlignment="1">
      <alignment horizontal="center" vertical="center"/>
    </xf>
    <xf numFmtId="10" fontId="23" fillId="0" borderId="28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textRotation="90"/>
    </xf>
    <xf numFmtId="0" fontId="31" fillId="0" borderId="11" xfId="0" applyFont="1" applyBorder="1" applyAlignment="1">
      <alignment horizontal="center" vertical="center" textRotation="90"/>
    </xf>
    <xf numFmtId="0" fontId="31" fillId="0" borderId="14" xfId="0" applyFont="1" applyBorder="1" applyAlignment="1">
      <alignment horizontal="center" vertical="center" textRotation="90"/>
    </xf>
    <xf numFmtId="12" fontId="32" fillId="0" borderId="2" xfId="2" applyNumberFormat="1" applyFont="1" applyFill="1" applyBorder="1" applyAlignment="1">
      <alignment vertical="center"/>
    </xf>
    <xf numFmtId="12" fontId="32" fillId="0" borderId="30" xfId="2" applyNumberFormat="1" applyFont="1" applyFill="1" applyBorder="1" applyAlignment="1">
      <alignment vertical="center"/>
    </xf>
    <xf numFmtId="12" fontId="32" fillId="0" borderId="17" xfId="2" applyNumberFormat="1" applyFont="1" applyFill="1" applyBorder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top"/>
    </xf>
    <xf numFmtId="0" fontId="13" fillId="0" borderId="12" xfId="0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4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11" xfId="0" applyFont="1" applyFill="1" applyBorder="1" applyAlignment="1">
      <alignment horizontal="center" vertical="center" textRotation="90"/>
    </xf>
    <xf numFmtId="0" fontId="2" fillId="3" borderId="14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 textRotation="90"/>
    </xf>
    <xf numFmtId="0" fontId="2" fillId="4" borderId="11" xfId="0" applyFont="1" applyFill="1" applyBorder="1" applyAlignment="1">
      <alignment horizontal="center" vertical="center" textRotation="90"/>
    </xf>
    <xf numFmtId="0" fontId="2" fillId="4" borderId="14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11" xfId="0" applyFont="1" applyFill="1" applyBorder="1" applyAlignment="1">
      <alignment horizontal="center" vertical="center" textRotation="90"/>
    </xf>
    <xf numFmtId="0" fontId="2" fillId="5" borderId="14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1" fontId="3" fillId="0" borderId="10" xfId="1" applyNumberFormat="1" applyFont="1" applyFill="1" applyBorder="1" applyAlignment="1">
      <alignment horizontal="center" vertical="center"/>
    </xf>
    <xf numFmtId="1" fontId="3" fillId="0" borderId="13" xfId="1" applyNumberFormat="1" applyFont="1" applyFill="1" applyBorder="1" applyAlignment="1">
      <alignment horizontal="center" vertical="center"/>
    </xf>
    <xf numFmtId="1" fontId="3" fillId="0" borderId="16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3" xr:uid="{00000000-0005-0000-0000-000031000000}"/>
    <cellStyle name="Normal" xfId="0" builtinId="0"/>
    <cellStyle name="Percent" xfId="2" builtinId="5"/>
    <cellStyle name="Percent 2" xfId="4" xr:uid="{00000000-0005-0000-0000-000032000000}"/>
  </cellStyles>
  <dxfs count="0"/>
  <tableStyles count="0" defaultTableStyle="TableStyleMedium2" defaultPivotStyle="PivotStyleLight16"/>
  <colors>
    <mruColors>
      <color rgb="FFC8A7D1"/>
      <color rgb="FF60983E"/>
      <color rgb="FFCC3399"/>
      <color rgb="FFEAD7F5"/>
      <color rgb="FF4C77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2"/>
  <sheetViews>
    <sheetView workbookViewId="0">
      <selection activeCell="E5" sqref="E5"/>
    </sheetView>
  </sheetViews>
  <sheetFormatPr defaultColWidth="9.140625" defaultRowHeight="14.25"/>
  <cols>
    <col min="1" max="1" width="16.140625" style="10" customWidth="1"/>
    <col min="2" max="2" width="15.85546875" style="10" customWidth="1"/>
    <col min="3" max="3" width="13.85546875" style="10" customWidth="1"/>
    <col min="4" max="4" width="16" style="60" customWidth="1"/>
    <col min="5" max="5" width="14.140625" style="10" customWidth="1"/>
    <col min="6" max="6" width="15.85546875" style="10" customWidth="1"/>
    <col min="7" max="7" width="13.140625" style="10" customWidth="1"/>
    <col min="8" max="8" width="19.7109375" style="10" customWidth="1"/>
    <col min="9" max="9" width="12.85546875" style="10" customWidth="1"/>
    <col min="10" max="10" width="15.7109375" style="10" customWidth="1"/>
    <col min="11" max="16384" width="9.140625" style="10"/>
  </cols>
  <sheetData>
    <row r="2" spans="1:6" ht="15">
      <c r="A2" s="494" t="s">
        <v>0</v>
      </c>
      <c r="B2" s="489" t="s">
        <v>1</v>
      </c>
      <c r="C2" s="490"/>
      <c r="D2" s="490"/>
      <c r="E2" s="491"/>
      <c r="F2" s="8"/>
    </row>
    <row r="3" spans="1:6" ht="45" customHeight="1">
      <c r="A3" s="494"/>
      <c r="B3" s="413"/>
      <c r="C3" s="380"/>
      <c r="D3" s="380" t="s">
        <v>2</v>
      </c>
      <c r="E3" s="414" t="s">
        <v>3</v>
      </c>
    </row>
    <row r="4" spans="1:6" ht="18.75" customHeight="1">
      <c r="A4" s="494"/>
      <c r="B4" s="415" t="s">
        <v>4</v>
      </c>
      <c r="C4" s="416">
        <v>4420</v>
      </c>
      <c r="D4" s="416">
        <v>50</v>
      </c>
      <c r="E4" s="417">
        <f>C4*D4/100</f>
        <v>2210</v>
      </c>
    </row>
    <row r="5" spans="1:6" ht="18.75" customHeight="1">
      <c r="A5" s="494"/>
      <c r="B5" s="418" t="s">
        <v>5</v>
      </c>
      <c r="C5" s="416">
        <v>450</v>
      </c>
      <c r="D5" s="419"/>
      <c r="E5" s="417">
        <f>D5*C4/100</f>
        <v>0</v>
      </c>
    </row>
    <row r="6" spans="1:6" ht="15">
      <c r="A6" s="494"/>
      <c r="B6" s="415" t="s">
        <v>6</v>
      </c>
      <c r="C6" s="420">
        <f>C4-C5</f>
        <v>3970</v>
      </c>
      <c r="D6" s="421">
        <f>D4-D5</f>
        <v>50</v>
      </c>
      <c r="E6" s="417">
        <f>D6*C4/100</f>
        <v>2210</v>
      </c>
    </row>
    <row r="7" spans="1:6">
      <c r="A7" s="494"/>
      <c r="B7" s="422"/>
      <c r="E7" s="423"/>
    </row>
    <row r="8" spans="1:6">
      <c r="A8" s="494"/>
      <c r="B8" s="422"/>
      <c r="E8" s="423"/>
    </row>
    <row r="9" spans="1:6" ht="15">
      <c r="A9" s="494"/>
      <c r="B9" s="489" t="s">
        <v>7</v>
      </c>
      <c r="C9" s="491"/>
      <c r="D9" s="9"/>
      <c r="E9" s="424"/>
      <c r="F9" s="8"/>
    </row>
    <row r="10" spans="1:6" ht="15">
      <c r="A10" s="494"/>
      <c r="B10" s="413" t="s">
        <v>8</v>
      </c>
      <c r="C10" s="425"/>
      <c r="D10" s="426"/>
      <c r="E10" s="423"/>
    </row>
    <row r="11" spans="1:6">
      <c r="A11" s="494"/>
      <c r="B11" s="422"/>
      <c r="E11" s="423"/>
    </row>
    <row r="12" spans="1:6" ht="15" customHeight="1">
      <c r="A12" s="494"/>
      <c r="B12" s="427"/>
      <c r="C12" s="8"/>
      <c r="D12" s="9"/>
      <c r="E12" s="424"/>
    </row>
    <row r="13" spans="1:6" ht="15" customHeight="1">
      <c r="A13" s="494"/>
      <c r="B13" s="492" t="s">
        <v>9</v>
      </c>
      <c r="C13" s="493"/>
      <c r="D13" s="9"/>
      <c r="E13" s="424"/>
    </row>
    <row r="14" spans="1:6" ht="15" customHeight="1">
      <c r="A14" s="494"/>
      <c r="B14" s="413" t="s">
        <v>8</v>
      </c>
      <c r="C14" s="429">
        <v>13</v>
      </c>
      <c r="D14" s="430"/>
      <c r="E14" s="431"/>
    </row>
    <row r="15" spans="1:6" ht="15" customHeight="1">
      <c r="B15" s="8"/>
      <c r="C15" s="8"/>
      <c r="D15" s="9"/>
      <c r="E15" s="8"/>
    </row>
    <row r="17" spans="1:5" ht="15">
      <c r="A17" s="495" t="s">
        <v>10</v>
      </c>
      <c r="B17" s="496" t="s">
        <v>11</v>
      </c>
      <c r="C17" s="432"/>
      <c r="D17" s="432" t="s">
        <v>12</v>
      </c>
      <c r="E17" s="428" t="s">
        <v>13</v>
      </c>
    </row>
    <row r="18" spans="1:5" ht="15">
      <c r="A18" s="495"/>
      <c r="B18" s="497"/>
      <c r="C18" s="433">
        <f>NHA_NOXH!F43</f>
        <v>420</v>
      </c>
      <c r="D18" s="434">
        <v>70</v>
      </c>
      <c r="E18" s="435">
        <f>C18/D18</f>
        <v>6</v>
      </c>
    </row>
    <row r="19" spans="1:5">
      <c r="A19" s="495"/>
      <c r="B19" s="422"/>
      <c r="E19" s="423"/>
    </row>
    <row r="20" spans="1:5">
      <c r="A20" s="495"/>
      <c r="B20" s="422"/>
      <c r="E20" s="423"/>
    </row>
    <row r="21" spans="1:5" ht="15">
      <c r="A21" s="495"/>
      <c r="B21" s="489" t="s">
        <v>14</v>
      </c>
      <c r="C21" s="491"/>
      <c r="D21" s="9"/>
      <c r="E21" s="424"/>
    </row>
    <row r="22" spans="1:5" ht="15">
      <c r="A22" s="495"/>
      <c r="B22" s="413" t="s">
        <v>15</v>
      </c>
      <c r="C22" s="436">
        <f>C6*0.2</f>
        <v>794</v>
      </c>
      <c r="E22" s="437"/>
    </row>
    <row r="23" spans="1:5">
      <c r="A23" s="495"/>
      <c r="B23" s="422"/>
      <c r="E23" s="423"/>
    </row>
    <row r="24" spans="1:5">
      <c r="A24" s="495"/>
      <c r="B24" s="422"/>
      <c r="E24" s="423"/>
    </row>
    <row r="25" spans="1:5" ht="15">
      <c r="A25" s="495"/>
      <c r="B25" s="489" t="s">
        <v>16</v>
      </c>
      <c r="C25" s="491"/>
      <c r="E25" s="423"/>
    </row>
    <row r="26" spans="1:5" ht="15">
      <c r="A26" s="495"/>
      <c r="B26" s="413" t="s">
        <v>15</v>
      </c>
      <c r="C26" s="438" t="e">
        <f>C6-E6-C22-HẦM!#REF!</f>
        <v>#REF!</v>
      </c>
      <c r="D26" s="439"/>
      <c r="E26" s="440"/>
    </row>
    <row r="32" spans="1:5" ht="15">
      <c r="A32" s="17" t="s">
        <v>17</v>
      </c>
      <c r="B32" s="441" t="s">
        <v>18</v>
      </c>
      <c r="C32" s="442" t="s">
        <v>19</v>
      </c>
    </row>
  </sheetData>
  <mergeCells count="8">
    <mergeCell ref="A2:A14"/>
    <mergeCell ref="A17:A26"/>
    <mergeCell ref="B17:B18"/>
    <mergeCell ref="B2:E2"/>
    <mergeCell ref="B9:C9"/>
    <mergeCell ref="B13:C13"/>
    <mergeCell ref="B21:C21"/>
    <mergeCell ref="B25:C2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zoomScale="85" zoomScaleNormal="85" zoomScaleSheetLayoutView="115" workbookViewId="0">
      <selection activeCell="E11" sqref="E11"/>
    </sheetView>
  </sheetViews>
  <sheetFormatPr defaultColWidth="9.140625" defaultRowHeight="15"/>
  <cols>
    <col min="1" max="1" width="14.140625" style="8" customWidth="1"/>
    <col min="2" max="2" width="5.140625" style="10" customWidth="1"/>
    <col min="3" max="3" width="52.28515625" style="10" customWidth="1"/>
    <col min="4" max="4" width="9.85546875" style="10" customWidth="1"/>
    <col min="5" max="5" width="17" style="10" customWidth="1"/>
    <col min="6" max="6" width="17.28515625" style="10" customWidth="1"/>
    <col min="7" max="7" width="11.7109375" style="10" customWidth="1"/>
    <col min="8" max="8" width="18.85546875" style="10" customWidth="1"/>
    <col min="9" max="9" width="13.42578125" style="10" customWidth="1"/>
    <col min="10" max="18" width="9.85546875" style="10" customWidth="1"/>
    <col min="19" max="16384" width="9.140625" style="10"/>
  </cols>
  <sheetData>
    <row r="1" spans="1:12" ht="84" customHeight="1">
      <c r="A1" s="500"/>
      <c r="B1" s="386" t="s">
        <v>20</v>
      </c>
      <c r="C1" s="386" t="s">
        <v>21</v>
      </c>
      <c r="D1" s="386" t="s">
        <v>22</v>
      </c>
      <c r="E1" s="387" t="s">
        <v>23</v>
      </c>
      <c r="F1" s="387" t="s">
        <v>24</v>
      </c>
      <c r="G1" s="387" t="s">
        <v>15</v>
      </c>
      <c r="H1" s="387" t="s">
        <v>25</v>
      </c>
      <c r="I1" s="388" t="s">
        <v>26</v>
      </c>
    </row>
    <row r="2" spans="1:12" s="385" customFormat="1" ht="35.25" hidden="1" customHeight="1">
      <c r="A2" s="500"/>
      <c r="B2" s="389"/>
      <c r="C2" s="498" t="s">
        <v>27</v>
      </c>
      <c r="D2" s="499"/>
      <c r="E2" s="499"/>
      <c r="F2" s="499"/>
      <c r="G2" s="499"/>
      <c r="H2" s="499"/>
      <c r="I2" s="390"/>
    </row>
    <row r="3" spans="1:12" ht="26.25" customHeight="1">
      <c r="A3" s="500"/>
      <c r="B3" s="374">
        <v>1</v>
      </c>
      <c r="C3" s="391" t="s">
        <v>28</v>
      </c>
      <c r="D3" s="392" t="s">
        <v>29</v>
      </c>
      <c r="E3" s="393">
        <f>G3-F3</f>
        <v>3977</v>
      </c>
      <c r="F3" s="394">
        <v>420</v>
      </c>
      <c r="G3" s="394">
        <v>4397</v>
      </c>
      <c r="H3" s="394">
        <v>4397</v>
      </c>
      <c r="I3" s="395" t="s">
        <v>30</v>
      </c>
      <c r="K3" s="10">
        <f>E3*20%</f>
        <v>795.4</v>
      </c>
    </row>
    <row r="4" spans="1:12" ht="26.25" customHeight="1">
      <c r="A4" s="500"/>
      <c r="B4" s="374">
        <v>2</v>
      </c>
      <c r="C4" s="391" t="s">
        <v>31</v>
      </c>
      <c r="D4" s="392" t="s">
        <v>29</v>
      </c>
      <c r="E4" s="394">
        <v>1708.7</v>
      </c>
      <c r="F4" s="394">
        <v>420</v>
      </c>
      <c r="G4" s="394"/>
      <c r="H4" s="394">
        <v>1710</v>
      </c>
      <c r="I4" s="395" t="s">
        <v>30</v>
      </c>
    </row>
    <row r="5" spans="1:12" ht="26.25" hidden="1" customHeight="1">
      <c r="A5" s="500"/>
      <c r="B5" s="396"/>
      <c r="C5" s="397" t="s">
        <v>32</v>
      </c>
      <c r="D5" s="396" t="s">
        <v>29</v>
      </c>
      <c r="E5" s="398">
        <f>E4</f>
        <v>1708.7</v>
      </c>
      <c r="F5" s="394"/>
      <c r="G5" s="394"/>
      <c r="H5" s="394"/>
      <c r="I5" s="395"/>
    </row>
    <row r="6" spans="1:12" ht="26.25" hidden="1" customHeight="1">
      <c r="A6" s="500"/>
      <c r="B6" s="396"/>
      <c r="C6" s="397" t="s">
        <v>33</v>
      </c>
      <c r="D6" s="396" t="s">
        <v>29</v>
      </c>
      <c r="E6" s="398">
        <f>NHA_NOXH!D32</f>
        <v>1433.1</v>
      </c>
      <c r="F6" s="394"/>
      <c r="G6" s="394"/>
      <c r="H6" s="394"/>
      <c r="I6" s="395"/>
    </row>
    <row r="7" spans="1:12" ht="26.25" hidden="1" customHeight="1">
      <c r="A7" s="500"/>
      <c r="B7" s="374"/>
      <c r="C7" s="397" t="s">
        <v>34</v>
      </c>
      <c r="D7" s="392" t="s">
        <v>29</v>
      </c>
      <c r="E7" s="399">
        <f>HẦM!E5</f>
        <v>3600</v>
      </c>
      <c r="F7" s="394"/>
      <c r="G7" s="394"/>
      <c r="H7" s="394"/>
      <c r="I7" s="395"/>
    </row>
    <row r="8" spans="1:12" ht="62.1" customHeight="1">
      <c r="A8" s="500"/>
      <c r="B8" s="374">
        <v>3</v>
      </c>
      <c r="C8" s="391" t="s">
        <v>35</v>
      </c>
      <c r="D8" s="392" t="s">
        <v>36</v>
      </c>
      <c r="E8" s="400">
        <f>E5/E3*100</f>
        <v>42.964546140306801</v>
      </c>
      <c r="F8" s="394"/>
      <c r="G8" s="400">
        <f>(E4+F4)/G3*100</f>
        <v>48.4125540141005</v>
      </c>
      <c r="H8" s="400">
        <v>48.44</v>
      </c>
      <c r="I8" s="401" t="s">
        <v>37</v>
      </c>
    </row>
    <row r="9" spans="1:12" ht="26.25" hidden="1" customHeight="1">
      <c r="A9" s="500"/>
      <c r="B9" s="374">
        <v>5</v>
      </c>
      <c r="C9" s="391" t="s">
        <v>38</v>
      </c>
      <c r="D9" s="392" t="s">
        <v>29</v>
      </c>
      <c r="E9" s="400">
        <f>NHA_NOXH!D43</f>
        <v>65927.600000000006</v>
      </c>
      <c r="F9" s="394">
        <f>420*3.3</f>
        <v>1386</v>
      </c>
      <c r="G9" s="394"/>
      <c r="H9" s="394"/>
      <c r="I9" s="395"/>
    </row>
    <row r="10" spans="1:12" ht="27" customHeight="1">
      <c r="A10" s="500"/>
      <c r="B10" s="374">
        <v>4</v>
      </c>
      <c r="C10" s="402" t="s">
        <v>39</v>
      </c>
      <c r="D10" s="392" t="s">
        <v>29</v>
      </c>
      <c r="E10" s="394">
        <f>NHA_NOXH!O20</f>
        <v>51527.6</v>
      </c>
      <c r="F10" s="394"/>
      <c r="G10" s="394"/>
      <c r="H10" s="394">
        <v>51862</v>
      </c>
      <c r="I10" s="395" t="s">
        <v>30</v>
      </c>
    </row>
    <row r="11" spans="1:12" ht="26.25" customHeight="1">
      <c r="A11" s="500"/>
      <c r="B11" s="374">
        <v>5</v>
      </c>
      <c r="C11" s="391" t="s">
        <v>40</v>
      </c>
      <c r="D11" s="392" t="s">
        <v>41</v>
      </c>
      <c r="E11" s="403">
        <f>NHA_NOXH!P20/E3</f>
        <v>12.657329645461401</v>
      </c>
      <c r="F11" s="394"/>
      <c r="G11" s="394"/>
      <c r="H11" s="394"/>
      <c r="I11" s="395"/>
    </row>
    <row r="12" spans="1:12" ht="26.25" customHeight="1">
      <c r="A12" s="500"/>
      <c r="B12" s="374">
        <v>6</v>
      </c>
      <c r="C12" s="391" t="s">
        <v>42</v>
      </c>
      <c r="D12" s="374" t="s">
        <v>43</v>
      </c>
      <c r="E12" s="400">
        <v>35</v>
      </c>
      <c r="F12" s="394">
        <v>4</v>
      </c>
      <c r="G12" s="394"/>
      <c r="H12" s="400">
        <v>35</v>
      </c>
      <c r="I12" s="395" t="s">
        <v>30</v>
      </c>
    </row>
    <row r="13" spans="1:12" ht="26.25" customHeight="1">
      <c r="A13" s="500"/>
      <c r="B13" s="374">
        <v>7</v>
      </c>
      <c r="C13" s="391" t="s">
        <v>44</v>
      </c>
      <c r="D13" s="374" t="s">
        <v>43</v>
      </c>
      <c r="E13" s="400">
        <v>4</v>
      </c>
      <c r="F13" s="394"/>
      <c r="G13" s="394"/>
      <c r="H13" s="400">
        <v>4</v>
      </c>
      <c r="I13" s="395" t="s">
        <v>30</v>
      </c>
    </row>
    <row r="14" spans="1:12" ht="26.25" hidden="1" customHeight="1">
      <c r="A14" s="500"/>
      <c r="B14" s="396"/>
      <c r="C14" s="397" t="s">
        <v>45</v>
      </c>
      <c r="D14" s="396" t="s">
        <v>29</v>
      </c>
      <c r="E14" s="398">
        <f>NHA_NOXH!E43</f>
        <v>29265.599999999999</v>
      </c>
      <c r="F14" s="394"/>
      <c r="G14" s="394"/>
      <c r="H14" s="394"/>
      <c r="I14" s="395"/>
    </row>
    <row r="15" spans="1:12" ht="26.25" hidden="1" customHeight="1">
      <c r="A15" s="500"/>
      <c r="B15" s="396"/>
      <c r="C15" s="397" t="s">
        <v>46</v>
      </c>
      <c r="D15" s="396" t="s">
        <v>29</v>
      </c>
      <c r="E15" s="398">
        <f>'TẦNG 1-6(HH)'!H22</f>
        <v>5957.6</v>
      </c>
      <c r="F15" s="394"/>
      <c r="G15" s="394"/>
      <c r="H15" s="394"/>
      <c r="I15" s="395"/>
    </row>
    <row r="16" spans="1:12" ht="26.25" hidden="1" customHeight="1">
      <c r="A16" s="500"/>
      <c r="B16" s="396"/>
      <c r="C16" s="397" t="s">
        <v>47</v>
      </c>
      <c r="D16" s="396" t="s">
        <v>29</v>
      </c>
      <c r="E16" s="404">
        <f>NHA_NOXH!G34</f>
        <v>0</v>
      </c>
      <c r="F16" s="394"/>
      <c r="G16" s="394"/>
      <c r="H16" s="394"/>
      <c r="I16" s="395"/>
      <c r="L16" s="405"/>
    </row>
    <row r="17" spans="1:12" ht="26.25" hidden="1" customHeight="1">
      <c r="A17" s="500"/>
      <c r="B17" s="392"/>
      <c r="C17" s="397" t="s">
        <v>48</v>
      </c>
      <c r="D17" s="396" t="s">
        <v>29</v>
      </c>
      <c r="E17" s="404">
        <f>+E10-E14-E15-E16</f>
        <v>16304.4</v>
      </c>
      <c r="F17" s="394"/>
      <c r="G17" s="394"/>
      <c r="H17" s="394"/>
      <c r="I17" s="395"/>
    </row>
    <row r="18" spans="1:12" ht="26.25" customHeight="1">
      <c r="A18" s="500"/>
      <c r="B18" s="374">
        <v>8</v>
      </c>
      <c r="C18" s="391" t="s">
        <v>49</v>
      </c>
      <c r="D18" s="396" t="s">
        <v>29</v>
      </c>
      <c r="E18" s="406">
        <f>HẦM!E6</f>
        <v>14400</v>
      </c>
      <c r="F18" s="394"/>
      <c r="G18" s="394"/>
      <c r="H18" s="400">
        <v>14400</v>
      </c>
      <c r="I18" s="395" t="s">
        <v>30</v>
      </c>
      <c r="L18" s="10">
        <f>4397*20%</f>
        <v>879.4</v>
      </c>
    </row>
    <row r="19" spans="1:12" ht="26.25" customHeight="1">
      <c r="A19" s="500"/>
      <c r="B19" s="374">
        <v>9</v>
      </c>
      <c r="C19" s="391" t="s">
        <v>50</v>
      </c>
      <c r="D19" s="396" t="s">
        <v>29</v>
      </c>
      <c r="E19" s="406">
        <f>HẦM!I6</f>
        <v>12240</v>
      </c>
      <c r="F19" s="394"/>
      <c r="G19" s="394"/>
      <c r="H19" s="394"/>
      <c r="I19" s="395"/>
    </row>
    <row r="20" spans="1:12" ht="26.25" customHeight="1">
      <c r="A20" s="500"/>
      <c r="B20" s="374">
        <v>10</v>
      </c>
      <c r="C20" s="391" t="s">
        <v>51</v>
      </c>
      <c r="D20" s="396" t="s">
        <v>29</v>
      </c>
      <c r="E20" s="407">
        <f>NHA_NOXH!D20</f>
        <v>1433.1</v>
      </c>
      <c r="F20" s="394"/>
      <c r="G20" s="394"/>
      <c r="H20" s="394"/>
      <c r="I20" s="395"/>
    </row>
    <row r="21" spans="1:12" ht="26.25" customHeight="1">
      <c r="A21" s="500"/>
      <c r="B21" s="374">
        <v>11</v>
      </c>
      <c r="C21" s="391" t="s">
        <v>52</v>
      </c>
      <c r="D21" s="396" t="s">
        <v>29</v>
      </c>
      <c r="E21" s="406">
        <f>NHA_NOXH!D3</f>
        <v>154</v>
      </c>
      <c r="F21" s="394"/>
      <c r="G21" s="394"/>
      <c r="H21" s="400">
        <v>430</v>
      </c>
      <c r="I21" s="395" t="s">
        <v>30</v>
      </c>
    </row>
    <row r="22" spans="1:12" ht="26.25" customHeight="1">
      <c r="A22" s="500"/>
      <c r="B22" s="389">
        <v>12</v>
      </c>
      <c r="C22" s="408" t="s">
        <v>53</v>
      </c>
      <c r="D22" s="409" t="s">
        <v>54</v>
      </c>
      <c r="E22" s="410">
        <f>NHA_NOXH!F43</f>
        <v>420</v>
      </c>
      <c r="F22" s="394"/>
      <c r="G22" s="394"/>
      <c r="H22" s="400">
        <v>420</v>
      </c>
      <c r="I22" s="395" t="s">
        <v>30</v>
      </c>
    </row>
    <row r="23" spans="1:12" ht="26.25" customHeight="1">
      <c r="A23" s="500"/>
      <c r="B23" s="374">
        <v>13</v>
      </c>
      <c r="C23" s="391" t="s">
        <v>55</v>
      </c>
      <c r="D23" s="392" t="s">
        <v>56</v>
      </c>
      <c r="E23" s="411">
        <f>NHA_NOXH!J43</f>
        <v>1288</v>
      </c>
      <c r="F23" s="394"/>
      <c r="G23" s="394"/>
      <c r="H23" s="400">
        <v>1288</v>
      </c>
      <c r="I23" s="395" t="s">
        <v>30</v>
      </c>
    </row>
    <row r="24" spans="1:12" ht="26.25" hidden="1" customHeight="1">
      <c r="A24" s="500"/>
      <c r="B24" s="374">
        <v>9</v>
      </c>
      <c r="C24" s="397" t="s">
        <v>57</v>
      </c>
      <c r="D24" s="396"/>
      <c r="E24" s="412">
        <f>HẦM!F22</f>
        <v>9630</v>
      </c>
      <c r="F24" s="394"/>
      <c r="G24" s="394"/>
      <c r="H24" s="394"/>
      <c r="I24" s="395"/>
    </row>
    <row r="25" spans="1:12" ht="26.25" hidden="1" customHeight="1">
      <c r="A25" s="500"/>
      <c r="B25" s="389">
        <v>10</v>
      </c>
      <c r="C25" s="397" t="s">
        <v>58</v>
      </c>
      <c r="D25" s="396"/>
      <c r="E25" s="412">
        <f>+E22*6</f>
        <v>2520</v>
      </c>
      <c r="F25" s="394"/>
      <c r="G25" s="394"/>
      <c r="H25" s="394"/>
      <c r="I25" s="395"/>
    </row>
    <row r="26" spans="1:12" ht="24.75" customHeight="1">
      <c r="A26" s="500"/>
      <c r="B26" s="374">
        <v>14</v>
      </c>
      <c r="C26" s="391" t="s">
        <v>59</v>
      </c>
      <c r="D26" s="392" t="s">
        <v>29</v>
      </c>
      <c r="E26" s="393">
        <v>792</v>
      </c>
      <c r="F26" s="394">
        <v>106</v>
      </c>
      <c r="G26" s="394">
        <f>F26+E26</f>
        <v>898</v>
      </c>
      <c r="H26" s="394"/>
      <c r="I26" s="395"/>
    </row>
    <row r="27" spans="1:12" ht="27" customHeight="1">
      <c r="A27" s="500"/>
      <c r="B27" s="389">
        <v>15</v>
      </c>
      <c r="C27" s="391" t="s">
        <v>60</v>
      </c>
      <c r="D27" s="392" t="s">
        <v>29</v>
      </c>
      <c r="E27" s="393">
        <v>1076</v>
      </c>
      <c r="F27" s="394"/>
      <c r="G27" s="394"/>
      <c r="H27" s="394"/>
      <c r="I27" s="395"/>
    </row>
    <row r="28" spans="1:12" ht="14.25">
      <c r="A28" s="501"/>
    </row>
    <row r="29" spans="1:12" ht="14.25">
      <c r="A29" s="501"/>
    </row>
    <row r="30" spans="1:12" ht="14.25">
      <c r="A30" s="501"/>
    </row>
    <row r="31" spans="1:12" ht="14.25">
      <c r="A31" s="501"/>
    </row>
    <row r="32" spans="1:12" ht="14.25">
      <c r="A32" s="502"/>
      <c r="E32" s="10">
        <f>E10+E18</f>
        <v>65927.600000000006</v>
      </c>
    </row>
    <row r="33" spans="1:1" ht="18" customHeight="1">
      <c r="A33" s="503" t="s">
        <v>61</v>
      </c>
    </row>
    <row r="34" spans="1:1" ht="18" customHeight="1">
      <c r="A34" s="501"/>
    </row>
    <row r="35" spans="1:1" ht="18" customHeight="1">
      <c r="A35" s="501"/>
    </row>
    <row r="36" spans="1:1" ht="18" customHeight="1">
      <c r="A36" s="502"/>
    </row>
  </sheetData>
  <mergeCells count="3">
    <mergeCell ref="C2:H2"/>
    <mergeCell ref="A1:A32"/>
    <mergeCell ref="A33:A36"/>
  </mergeCells>
  <pageMargins left="0.7" right="0.7" top="0.75" bottom="0.75" header="0.3" footer="0.3"/>
  <pageSetup scale="17" orientation="portrait" horizontalDpi="203" verticalDpi="20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Y83"/>
  <sheetViews>
    <sheetView tabSelected="1" topLeftCell="A19" zoomScale="85" zoomScaleNormal="85" workbookViewId="0">
      <selection activeCell="K36" sqref="K36"/>
    </sheetView>
  </sheetViews>
  <sheetFormatPr defaultColWidth="9.140625" defaultRowHeight="15" customHeight="1"/>
  <cols>
    <col min="1" max="2" width="8.140625" style="1" customWidth="1"/>
    <col min="3" max="3" width="11.7109375" style="1" customWidth="1"/>
    <col min="4" max="4" width="16.5703125" style="2" customWidth="1"/>
    <col min="5" max="5" width="11.7109375" style="3" customWidth="1"/>
    <col min="6" max="7" width="11.7109375" style="4" customWidth="1"/>
    <col min="8" max="8" width="10.42578125" style="313" customWidth="1"/>
    <col min="9" max="9" width="9.5703125" style="313" customWidth="1"/>
    <col min="10" max="10" width="9.5703125" style="4" customWidth="1"/>
    <col min="11" max="11" width="9.5703125" style="1" customWidth="1"/>
    <col min="12" max="12" width="13.42578125" style="6" customWidth="1"/>
    <col min="13" max="14" width="9.7109375" style="6" customWidth="1"/>
    <col min="15" max="17" width="11.7109375" style="1" customWidth="1"/>
    <col min="18" max="18" width="10.5703125" style="7" customWidth="1"/>
    <col min="19" max="19" width="16.140625" style="7" customWidth="1"/>
    <col min="20" max="20" width="11.140625" style="1" customWidth="1"/>
    <col min="21" max="21" width="39.42578125" style="1" customWidth="1"/>
    <col min="22" max="22" width="20.5703125" style="1" customWidth="1"/>
    <col min="23" max="23" width="17.5703125" style="1" customWidth="1"/>
    <col min="24" max="25" width="13.28515625" style="1" customWidth="1"/>
    <col min="26" max="16384" width="9.140625" style="1"/>
  </cols>
  <sheetData>
    <row r="1" spans="1:25" ht="27" customHeight="1">
      <c r="A1" s="447" t="s">
        <v>62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9"/>
      <c r="M1" s="9"/>
      <c r="N1" s="9"/>
      <c r="O1" s="471"/>
      <c r="P1" s="8"/>
      <c r="Q1" s="450"/>
      <c r="R1" s="450"/>
      <c r="S1" s="450"/>
      <c r="T1" s="450"/>
      <c r="U1" s="10"/>
      <c r="V1" s="10"/>
      <c r="W1" s="10"/>
      <c r="X1" s="10"/>
      <c r="Y1" s="10"/>
    </row>
    <row r="2" spans="1:25" ht="30" customHeight="1">
      <c r="A2" s="451" t="s">
        <v>43</v>
      </c>
      <c r="B2" s="452"/>
      <c r="C2" s="453"/>
      <c r="D2" s="314" t="s">
        <v>63</v>
      </c>
      <c r="E2" s="314" t="s">
        <v>64</v>
      </c>
      <c r="F2" s="315" t="s">
        <v>65</v>
      </c>
      <c r="G2" s="315" t="s">
        <v>66</v>
      </c>
      <c r="H2" s="316" t="s">
        <v>67</v>
      </c>
      <c r="I2" s="316" t="s">
        <v>68</v>
      </c>
      <c r="J2" s="317" t="s">
        <v>69</v>
      </c>
      <c r="K2" s="318" t="s">
        <v>70</v>
      </c>
      <c r="L2" s="319"/>
      <c r="M2" s="234" t="s">
        <v>42</v>
      </c>
      <c r="N2" s="234" t="s">
        <v>71</v>
      </c>
      <c r="O2" s="471"/>
      <c r="P2" s="8"/>
      <c r="Q2" s="8"/>
      <c r="R2" s="8"/>
      <c r="S2" s="10"/>
      <c r="T2" s="10"/>
      <c r="U2" s="10"/>
      <c r="V2" s="10"/>
      <c r="W2" s="10"/>
      <c r="X2" s="10"/>
      <c r="Y2" s="10"/>
    </row>
    <row r="3" spans="1:25" ht="13.5" customHeight="1">
      <c r="A3" s="472" t="s">
        <v>72</v>
      </c>
      <c r="B3" s="320"/>
      <c r="C3" s="310" t="s">
        <v>73</v>
      </c>
      <c r="D3" s="321">
        <v>154</v>
      </c>
      <c r="E3" s="322"/>
      <c r="F3" s="323"/>
      <c r="G3" s="324"/>
      <c r="H3" s="325"/>
      <c r="I3" s="325"/>
      <c r="J3" s="326"/>
      <c r="K3" s="327">
        <v>3</v>
      </c>
      <c r="L3" s="319"/>
      <c r="M3" s="234"/>
      <c r="N3" s="234"/>
      <c r="O3" s="8"/>
      <c r="P3" s="8"/>
      <c r="Q3" s="8"/>
      <c r="R3" s="8"/>
      <c r="S3" s="10"/>
      <c r="T3" s="10"/>
      <c r="U3" s="10"/>
      <c r="V3" s="10"/>
      <c r="W3" s="10"/>
      <c r="X3" s="10"/>
      <c r="Y3" s="10"/>
    </row>
    <row r="4" spans="1:25" ht="13.5" customHeight="1">
      <c r="A4" s="473"/>
      <c r="B4" s="474" t="s">
        <v>74</v>
      </c>
      <c r="C4" s="310">
        <f t="shared" ref="C4:C14" si="0">C5+1</f>
        <v>35</v>
      </c>
      <c r="D4" s="322">
        <v>1433.1</v>
      </c>
      <c r="E4" s="322">
        <f t="shared" ref="E4:F18" si="1">E5</f>
        <v>1045.2</v>
      </c>
      <c r="F4" s="323">
        <f t="shared" si="1"/>
        <v>15</v>
      </c>
      <c r="G4" s="324"/>
      <c r="H4" s="325"/>
      <c r="I4" s="325"/>
      <c r="J4" s="326">
        <f t="shared" ref="J4:J21" si="2">J5</f>
        <v>46</v>
      </c>
      <c r="K4" s="328">
        <v>3.3</v>
      </c>
      <c r="L4" s="319" t="s">
        <v>75</v>
      </c>
      <c r="M4" s="234">
        <f t="shared" ref="M4:N14" si="3">M5</f>
        <v>1</v>
      </c>
      <c r="N4" s="234">
        <f t="shared" si="3"/>
        <v>1</v>
      </c>
      <c r="O4" s="8"/>
      <c r="P4" s="8">
        <f>D4*30%</f>
        <v>429.93</v>
      </c>
      <c r="Q4" s="8"/>
      <c r="R4" s="8"/>
      <c r="S4" s="10"/>
      <c r="T4" s="10"/>
      <c r="U4" s="10"/>
      <c r="V4" s="10"/>
      <c r="W4" s="10"/>
      <c r="X4" s="10"/>
      <c r="Y4" s="10"/>
    </row>
    <row r="5" spans="1:25" ht="13.5" customHeight="1">
      <c r="A5" s="473"/>
      <c r="B5" s="475"/>
      <c r="C5" s="310">
        <f t="shared" si="0"/>
        <v>34</v>
      </c>
      <c r="D5" s="322">
        <f>D4</f>
        <v>1433.1</v>
      </c>
      <c r="E5" s="322">
        <f t="shared" si="1"/>
        <v>1045.2</v>
      </c>
      <c r="F5" s="323">
        <f t="shared" si="1"/>
        <v>15</v>
      </c>
      <c r="G5" s="324"/>
      <c r="H5" s="325"/>
      <c r="I5" s="325"/>
      <c r="J5" s="326">
        <f t="shared" si="2"/>
        <v>46</v>
      </c>
      <c r="K5" s="328">
        <v>3.3</v>
      </c>
      <c r="L5" s="319" t="s">
        <v>75</v>
      </c>
      <c r="M5" s="234">
        <f t="shared" si="3"/>
        <v>1</v>
      </c>
      <c r="N5" s="234">
        <f t="shared" si="3"/>
        <v>1</v>
      </c>
      <c r="O5" s="8"/>
      <c r="P5" s="8"/>
      <c r="Q5" s="8"/>
      <c r="R5" s="8"/>
      <c r="S5" s="10"/>
      <c r="T5" s="10"/>
      <c r="U5" s="10"/>
      <c r="V5" s="10"/>
      <c r="W5" s="10"/>
      <c r="X5" s="10"/>
      <c r="Y5" s="10"/>
    </row>
    <row r="6" spans="1:25" ht="13.5" customHeight="1">
      <c r="A6" s="473"/>
      <c r="B6" s="475"/>
      <c r="C6" s="310">
        <f t="shared" si="0"/>
        <v>33</v>
      </c>
      <c r="D6" s="322">
        <f t="shared" ref="D6:D32" si="4">D5</f>
        <v>1433.1</v>
      </c>
      <c r="E6" s="322">
        <f t="shared" si="1"/>
        <v>1045.2</v>
      </c>
      <c r="F6" s="323">
        <f t="shared" si="1"/>
        <v>15</v>
      </c>
      <c r="G6" s="324"/>
      <c r="H6" s="325"/>
      <c r="I6" s="325"/>
      <c r="J6" s="326">
        <f t="shared" si="2"/>
        <v>46</v>
      </c>
      <c r="K6" s="328">
        <v>3.3</v>
      </c>
      <c r="L6" s="319" t="s">
        <v>75</v>
      </c>
      <c r="M6" s="234">
        <f t="shared" si="3"/>
        <v>1</v>
      </c>
      <c r="N6" s="234">
        <f t="shared" si="3"/>
        <v>1</v>
      </c>
      <c r="O6" s="8"/>
      <c r="P6" s="8"/>
      <c r="Q6" s="8"/>
      <c r="R6" s="8"/>
      <c r="S6" s="10"/>
      <c r="T6" s="10"/>
      <c r="U6" s="10"/>
      <c r="V6" s="10"/>
      <c r="W6" s="10"/>
      <c r="X6" s="10"/>
      <c r="Y6" s="10"/>
    </row>
    <row r="7" spans="1:25" ht="13.5" customHeight="1">
      <c r="A7" s="473"/>
      <c r="B7" s="475"/>
      <c r="C7" s="310">
        <f t="shared" si="0"/>
        <v>32</v>
      </c>
      <c r="D7" s="322">
        <f t="shared" si="4"/>
        <v>1433.1</v>
      </c>
      <c r="E7" s="322">
        <f t="shared" si="1"/>
        <v>1045.2</v>
      </c>
      <c r="F7" s="323">
        <f t="shared" si="1"/>
        <v>15</v>
      </c>
      <c r="G7" s="324"/>
      <c r="H7" s="325"/>
      <c r="I7" s="325"/>
      <c r="J7" s="326">
        <f t="shared" si="2"/>
        <v>46</v>
      </c>
      <c r="K7" s="328">
        <v>3.3</v>
      </c>
      <c r="L7" s="319" t="s">
        <v>75</v>
      </c>
      <c r="M7" s="234">
        <f t="shared" si="3"/>
        <v>1</v>
      </c>
      <c r="N7" s="234">
        <f t="shared" si="3"/>
        <v>1</v>
      </c>
      <c r="O7" s="8"/>
      <c r="P7" s="8"/>
      <c r="Q7" s="8"/>
      <c r="R7" s="8"/>
      <c r="S7" s="10">
        <f>SUM(H34:H38)</f>
        <v>6037.8</v>
      </c>
      <c r="T7" s="10"/>
      <c r="U7" s="10"/>
      <c r="V7" s="10"/>
      <c r="W7" s="10"/>
      <c r="X7" s="10"/>
      <c r="Y7" s="10"/>
    </row>
    <row r="8" spans="1:25" ht="13.5" customHeight="1">
      <c r="A8" s="473"/>
      <c r="B8" s="475"/>
      <c r="C8" s="310">
        <f t="shared" si="0"/>
        <v>31</v>
      </c>
      <c r="D8" s="322">
        <f t="shared" si="4"/>
        <v>1433.1</v>
      </c>
      <c r="E8" s="322">
        <f t="shared" si="1"/>
        <v>1045.2</v>
      </c>
      <c r="F8" s="323">
        <f t="shared" si="1"/>
        <v>15</v>
      </c>
      <c r="G8" s="324"/>
      <c r="H8" s="325"/>
      <c r="I8" s="325"/>
      <c r="J8" s="326">
        <f t="shared" si="2"/>
        <v>46</v>
      </c>
      <c r="K8" s="328">
        <v>3.3</v>
      </c>
      <c r="L8" s="319" t="s">
        <v>75</v>
      </c>
      <c r="M8" s="234">
        <f t="shared" si="3"/>
        <v>1</v>
      </c>
      <c r="N8" s="234">
        <f t="shared" si="3"/>
        <v>1</v>
      </c>
      <c r="O8" s="8"/>
      <c r="P8" s="8">
        <f>SUM(J4:J19)*0.3</f>
        <v>220.8</v>
      </c>
      <c r="Q8" s="8"/>
      <c r="R8" s="8"/>
      <c r="S8" s="10"/>
      <c r="T8" s="10"/>
      <c r="U8" s="10"/>
      <c r="V8" s="10"/>
      <c r="W8" s="10"/>
      <c r="X8" s="10"/>
      <c r="Y8" s="10"/>
    </row>
    <row r="9" spans="1:25" ht="13.5" customHeight="1">
      <c r="A9" s="473"/>
      <c r="B9" s="475"/>
      <c r="C9" s="310">
        <f t="shared" si="0"/>
        <v>30</v>
      </c>
      <c r="D9" s="322">
        <f t="shared" si="4"/>
        <v>1433.1</v>
      </c>
      <c r="E9" s="322">
        <f t="shared" si="1"/>
        <v>1045.2</v>
      </c>
      <c r="F9" s="323">
        <f t="shared" si="1"/>
        <v>15</v>
      </c>
      <c r="G9" s="324"/>
      <c r="H9" s="325"/>
      <c r="I9" s="325"/>
      <c r="J9" s="326">
        <f t="shared" si="2"/>
        <v>46</v>
      </c>
      <c r="K9" s="328">
        <v>3.3</v>
      </c>
      <c r="L9" s="319" t="s">
        <v>75</v>
      </c>
      <c r="M9" s="234">
        <f t="shared" si="3"/>
        <v>1</v>
      </c>
      <c r="N9" s="234">
        <f t="shared" si="3"/>
        <v>1</v>
      </c>
      <c r="O9" s="8"/>
      <c r="P9" s="8"/>
      <c r="Q9" s="8"/>
      <c r="R9" s="8"/>
      <c r="S9" s="10">
        <f>S7/E43</f>
        <v>0.206310480564212</v>
      </c>
      <c r="T9" s="10"/>
      <c r="U9" s="10"/>
      <c r="V9" s="10"/>
      <c r="W9" s="10"/>
      <c r="X9" s="10"/>
      <c r="Y9" s="10"/>
    </row>
    <row r="10" spans="1:25" ht="13.5" customHeight="1">
      <c r="A10" s="473"/>
      <c r="B10" s="475"/>
      <c r="C10" s="310">
        <f t="shared" si="0"/>
        <v>29</v>
      </c>
      <c r="D10" s="322">
        <f t="shared" si="4"/>
        <v>1433.1</v>
      </c>
      <c r="E10" s="322">
        <f t="shared" si="1"/>
        <v>1045.2</v>
      </c>
      <c r="F10" s="323">
        <f t="shared" si="1"/>
        <v>15</v>
      </c>
      <c r="G10" s="324"/>
      <c r="H10" s="325"/>
      <c r="I10" s="325"/>
      <c r="J10" s="326">
        <f t="shared" si="2"/>
        <v>46</v>
      </c>
      <c r="K10" s="328">
        <v>3.3</v>
      </c>
      <c r="L10" s="319" t="s">
        <v>75</v>
      </c>
      <c r="M10" s="234">
        <f t="shared" si="3"/>
        <v>1</v>
      </c>
      <c r="N10" s="234">
        <f t="shared" si="3"/>
        <v>1</v>
      </c>
      <c r="O10" s="8"/>
      <c r="P10" s="8"/>
      <c r="Q10" s="8"/>
      <c r="R10" s="8"/>
      <c r="S10" s="10"/>
      <c r="T10" s="10"/>
      <c r="U10" s="10"/>
      <c r="V10" s="10"/>
      <c r="W10" s="10"/>
      <c r="X10" s="10"/>
      <c r="Y10" s="10"/>
    </row>
    <row r="11" spans="1:25" ht="13.5" customHeight="1">
      <c r="A11" s="473"/>
      <c r="B11" s="475"/>
      <c r="C11" s="310">
        <f t="shared" si="0"/>
        <v>28</v>
      </c>
      <c r="D11" s="322">
        <f t="shared" si="4"/>
        <v>1433.1</v>
      </c>
      <c r="E11" s="322">
        <f t="shared" si="1"/>
        <v>1045.2</v>
      </c>
      <c r="F11" s="323">
        <f t="shared" si="1"/>
        <v>15</v>
      </c>
      <c r="G11" s="324"/>
      <c r="H11" s="325"/>
      <c r="I11" s="325"/>
      <c r="J11" s="326">
        <f t="shared" si="2"/>
        <v>46</v>
      </c>
      <c r="K11" s="328">
        <v>3.3</v>
      </c>
      <c r="L11" s="319" t="s">
        <v>75</v>
      </c>
      <c r="M11" s="234">
        <f t="shared" si="3"/>
        <v>1</v>
      </c>
      <c r="N11" s="234">
        <f t="shared" si="3"/>
        <v>1</v>
      </c>
      <c r="O11" s="8"/>
      <c r="P11" s="8"/>
      <c r="Q11" s="8"/>
      <c r="R11" s="8"/>
      <c r="S11" s="10"/>
      <c r="T11" s="10"/>
      <c r="U11" s="10"/>
      <c r="V11" s="10"/>
      <c r="W11" s="10"/>
      <c r="X11" s="10"/>
      <c r="Y11" s="10"/>
    </row>
    <row r="12" spans="1:25" ht="13.5" customHeight="1">
      <c r="A12" s="473"/>
      <c r="B12" s="475"/>
      <c r="C12" s="310">
        <f t="shared" si="0"/>
        <v>27</v>
      </c>
      <c r="D12" s="322">
        <f t="shared" si="4"/>
        <v>1433.1</v>
      </c>
      <c r="E12" s="322">
        <f t="shared" si="1"/>
        <v>1045.2</v>
      </c>
      <c r="F12" s="323">
        <f t="shared" si="1"/>
        <v>15</v>
      </c>
      <c r="G12" s="324"/>
      <c r="H12" s="325"/>
      <c r="I12" s="325"/>
      <c r="J12" s="326">
        <f t="shared" si="2"/>
        <v>46</v>
      </c>
      <c r="K12" s="328">
        <v>3.3</v>
      </c>
      <c r="L12" s="319" t="s">
        <v>75</v>
      </c>
      <c r="M12" s="234">
        <f t="shared" si="3"/>
        <v>1</v>
      </c>
      <c r="N12" s="234">
        <f t="shared" si="3"/>
        <v>1</v>
      </c>
      <c r="O12" s="8"/>
      <c r="P12" s="8"/>
      <c r="Q12" s="8"/>
      <c r="R12" s="8"/>
      <c r="S12" s="10"/>
      <c r="T12" s="10"/>
      <c r="U12" s="10"/>
      <c r="V12" s="10"/>
      <c r="W12" s="10"/>
      <c r="X12" s="10"/>
      <c r="Y12" s="10"/>
    </row>
    <row r="13" spans="1:25" ht="13.5" customHeight="1">
      <c r="A13" s="473"/>
      <c r="B13" s="475"/>
      <c r="C13" s="310">
        <f t="shared" si="0"/>
        <v>26</v>
      </c>
      <c r="D13" s="322">
        <f t="shared" si="4"/>
        <v>1433.1</v>
      </c>
      <c r="E13" s="322">
        <f t="shared" si="1"/>
        <v>1045.2</v>
      </c>
      <c r="F13" s="323">
        <f t="shared" si="1"/>
        <v>15</v>
      </c>
      <c r="G13" s="324"/>
      <c r="H13" s="325"/>
      <c r="I13" s="325"/>
      <c r="J13" s="326">
        <f t="shared" si="2"/>
        <v>46</v>
      </c>
      <c r="K13" s="328">
        <v>3.3</v>
      </c>
      <c r="L13" s="319" t="s">
        <v>75</v>
      </c>
      <c r="M13" s="234">
        <f t="shared" si="3"/>
        <v>1</v>
      </c>
      <c r="N13" s="234">
        <f t="shared" si="3"/>
        <v>1</v>
      </c>
      <c r="O13" s="8">
        <f>SUM(D4:D32)-D20</f>
        <v>40126.800000000003</v>
      </c>
      <c r="P13" s="8"/>
      <c r="Q13" s="8"/>
      <c r="R13" s="8"/>
      <c r="S13" s="10"/>
      <c r="T13" s="10"/>
      <c r="U13" s="10"/>
      <c r="V13" s="10"/>
      <c r="W13" s="10"/>
      <c r="X13" s="10"/>
      <c r="Y13" s="10"/>
    </row>
    <row r="14" spans="1:25" ht="13.5" customHeight="1">
      <c r="A14" s="473"/>
      <c r="B14" s="475"/>
      <c r="C14" s="310">
        <f t="shared" si="0"/>
        <v>25</v>
      </c>
      <c r="D14" s="322">
        <f t="shared" si="4"/>
        <v>1433.1</v>
      </c>
      <c r="E14" s="322">
        <f t="shared" si="1"/>
        <v>1045.2</v>
      </c>
      <c r="F14" s="323">
        <f t="shared" si="1"/>
        <v>15</v>
      </c>
      <c r="G14" s="324"/>
      <c r="H14" s="325"/>
      <c r="I14" s="325"/>
      <c r="J14" s="326">
        <f t="shared" si="2"/>
        <v>46</v>
      </c>
      <c r="K14" s="328">
        <v>3.3</v>
      </c>
      <c r="L14" s="319" t="s">
        <v>75</v>
      </c>
      <c r="M14" s="234">
        <f t="shared" si="3"/>
        <v>1</v>
      </c>
      <c r="N14" s="234">
        <f t="shared" si="3"/>
        <v>1</v>
      </c>
      <c r="O14" s="8"/>
      <c r="P14" s="8"/>
      <c r="Q14" s="8">
        <v>1</v>
      </c>
      <c r="R14" s="329">
        <f>SUM(D4:D19)</f>
        <v>22929.599999999999</v>
      </c>
      <c r="S14" s="10"/>
      <c r="T14" s="10"/>
      <c r="U14" s="10"/>
      <c r="V14" s="10"/>
      <c r="W14" s="10"/>
      <c r="X14" s="10"/>
      <c r="Y14" s="10"/>
    </row>
    <row r="15" spans="1:25" ht="13.5" customHeight="1">
      <c r="A15" s="473"/>
      <c r="B15" s="475"/>
      <c r="C15" s="310">
        <f t="shared" ref="C15:C23" si="5">C16+1</f>
        <v>24</v>
      </c>
      <c r="D15" s="322">
        <f t="shared" si="4"/>
        <v>1433.1</v>
      </c>
      <c r="E15" s="322">
        <f t="shared" ref="E15:F22" si="6">E16</f>
        <v>1045.2</v>
      </c>
      <c r="F15" s="323">
        <f t="shared" si="1"/>
        <v>15</v>
      </c>
      <c r="G15" s="324"/>
      <c r="H15" s="325"/>
      <c r="I15" s="325"/>
      <c r="J15" s="326">
        <f t="shared" si="2"/>
        <v>46</v>
      </c>
      <c r="K15" s="328">
        <v>3.3</v>
      </c>
      <c r="L15" s="319" t="s">
        <v>75</v>
      </c>
      <c r="M15" s="234">
        <f t="shared" ref="M15:N23" si="7">M16</f>
        <v>1</v>
      </c>
      <c r="N15" s="234">
        <f t="shared" si="7"/>
        <v>1</v>
      </c>
      <c r="O15" s="8"/>
      <c r="P15" s="8"/>
      <c r="Q15" s="8">
        <v>2</v>
      </c>
      <c r="R15" s="329">
        <f>SUM(D21:D32)</f>
        <v>17197.2</v>
      </c>
      <c r="S15" s="10"/>
      <c r="T15" s="10"/>
      <c r="U15" s="10"/>
      <c r="V15" s="10"/>
      <c r="W15" s="10"/>
      <c r="X15" s="10"/>
      <c r="Y15" s="10"/>
    </row>
    <row r="16" spans="1:25" ht="13.5" customHeight="1">
      <c r="A16" s="473"/>
      <c r="B16" s="475"/>
      <c r="C16" s="310">
        <f t="shared" si="5"/>
        <v>23</v>
      </c>
      <c r="D16" s="322">
        <f t="shared" si="4"/>
        <v>1433.1</v>
      </c>
      <c r="E16" s="322">
        <f t="shared" si="6"/>
        <v>1045.2</v>
      </c>
      <c r="F16" s="323">
        <f t="shared" si="1"/>
        <v>15</v>
      </c>
      <c r="G16" s="324"/>
      <c r="H16" s="325"/>
      <c r="I16" s="325"/>
      <c r="J16" s="326">
        <f t="shared" si="2"/>
        <v>46</v>
      </c>
      <c r="K16" s="328">
        <v>3.3</v>
      </c>
      <c r="L16" s="319" t="s">
        <v>75</v>
      </c>
      <c r="M16" s="234">
        <f t="shared" si="7"/>
        <v>1</v>
      </c>
      <c r="N16" s="234">
        <f t="shared" si="7"/>
        <v>1</v>
      </c>
      <c r="O16" s="8"/>
      <c r="P16" s="8"/>
      <c r="Q16" s="8">
        <v>3</v>
      </c>
      <c r="R16" s="329">
        <f>SUM(D33:D38)</f>
        <v>9813.7000000000007</v>
      </c>
      <c r="S16" s="10"/>
      <c r="T16" s="10"/>
      <c r="U16" s="10"/>
      <c r="V16" s="10"/>
      <c r="W16" s="10"/>
      <c r="X16" s="10"/>
      <c r="Y16" s="10"/>
    </row>
    <row r="17" spans="1:25" ht="13.5" customHeight="1">
      <c r="A17" s="473"/>
      <c r="B17" s="475"/>
      <c r="C17" s="310">
        <f t="shared" si="5"/>
        <v>22</v>
      </c>
      <c r="D17" s="322">
        <f t="shared" si="4"/>
        <v>1433.1</v>
      </c>
      <c r="E17" s="322">
        <f t="shared" si="6"/>
        <v>1045.2</v>
      </c>
      <c r="F17" s="323">
        <f t="shared" si="1"/>
        <v>15</v>
      </c>
      <c r="G17" s="324"/>
      <c r="H17" s="325"/>
      <c r="I17" s="325"/>
      <c r="J17" s="326">
        <f t="shared" si="2"/>
        <v>46</v>
      </c>
      <c r="K17" s="328">
        <v>3.3</v>
      </c>
      <c r="L17" s="319" t="s">
        <v>75</v>
      </c>
      <c r="M17" s="234">
        <f t="shared" si="7"/>
        <v>1</v>
      </c>
      <c r="N17" s="234">
        <f t="shared" si="7"/>
        <v>1</v>
      </c>
      <c r="O17" s="8"/>
      <c r="P17" s="8"/>
      <c r="Q17" s="330" t="s">
        <v>76</v>
      </c>
      <c r="R17" s="331">
        <f>R14+R15+R16</f>
        <v>49940.5</v>
      </c>
      <c r="S17" s="10"/>
      <c r="T17" s="10"/>
      <c r="U17" s="10"/>
      <c r="V17" s="10"/>
      <c r="W17" s="10"/>
      <c r="X17" s="10"/>
      <c r="Y17" s="10"/>
    </row>
    <row r="18" spans="1:25" ht="13.5" customHeight="1">
      <c r="A18" s="473"/>
      <c r="B18" s="475"/>
      <c r="C18" s="310">
        <f t="shared" si="5"/>
        <v>21</v>
      </c>
      <c r="D18" s="322">
        <f t="shared" si="4"/>
        <v>1433.1</v>
      </c>
      <c r="E18" s="322">
        <f t="shared" si="6"/>
        <v>1045.2</v>
      </c>
      <c r="F18" s="323">
        <f t="shared" si="1"/>
        <v>15</v>
      </c>
      <c r="G18" s="324"/>
      <c r="H18" s="325"/>
      <c r="I18" s="325"/>
      <c r="J18" s="326">
        <f t="shared" si="2"/>
        <v>46</v>
      </c>
      <c r="K18" s="328">
        <v>3.3</v>
      </c>
      <c r="L18" s="319" t="s">
        <v>75</v>
      </c>
      <c r="M18" s="234">
        <f t="shared" si="7"/>
        <v>1</v>
      </c>
      <c r="N18" s="234">
        <f t="shared" si="7"/>
        <v>1</v>
      </c>
      <c r="O18" s="8"/>
      <c r="P18" s="8"/>
      <c r="Q18" s="8"/>
      <c r="R18" s="8"/>
      <c r="S18" s="10"/>
      <c r="T18" s="10"/>
      <c r="U18" s="10"/>
      <c r="V18" s="10"/>
      <c r="W18" s="10"/>
      <c r="X18" s="10"/>
      <c r="Y18" s="10"/>
    </row>
    <row r="19" spans="1:25" ht="13.5" customHeight="1">
      <c r="A19" s="473"/>
      <c r="B19" s="475"/>
      <c r="C19" s="310">
        <f t="shared" si="5"/>
        <v>20</v>
      </c>
      <c r="D19" s="322">
        <f t="shared" si="4"/>
        <v>1433.1</v>
      </c>
      <c r="E19" s="322">
        <f>E21</f>
        <v>1045.2</v>
      </c>
      <c r="F19" s="323">
        <f>F21</f>
        <v>15</v>
      </c>
      <c r="G19" s="324"/>
      <c r="H19" s="325"/>
      <c r="I19" s="325"/>
      <c r="J19" s="326">
        <f>+J21</f>
        <v>46</v>
      </c>
      <c r="K19" s="328">
        <v>3.3</v>
      </c>
      <c r="L19" s="319" t="s">
        <v>75</v>
      </c>
      <c r="M19" s="234">
        <f t="shared" si="7"/>
        <v>1</v>
      </c>
      <c r="N19" s="234">
        <f t="shared" si="7"/>
        <v>1</v>
      </c>
      <c r="O19" s="8" t="s">
        <v>77</v>
      </c>
      <c r="P19" s="8"/>
      <c r="Q19" s="8"/>
      <c r="R19" s="8"/>
      <c r="S19" s="10"/>
      <c r="T19" s="10"/>
      <c r="U19" s="10"/>
      <c r="V19" s="10"/>
      <c r="W19" s="10"/>
      <c r="X19" s="10"/>
      <c r="Y19" s="10"/>
    </row>
    <row r="20" spans="1:25" ht="13.5" customHeight="1">
      <c r="A20" s="473"/>
      <c r="B20" s="475"/>
      <c r="C20" s="310">
        <f t="shared" si="5"/>
        <v>19</v>
      </c>
      <c r="D20" s="322">
        <f t="shared" si="4"/>
        <v>1433.1</v>
      </c>
      <c r="E20" s="322">
        <v>0</v>
      </c>
      <c r="F20" s="323">
        <v>0</v>
      </c>
      <c r="G20" s="324">
        <v>397.7</v>
      </c>
      <c r="H20" s="325"/>
      <c r="I20" s="325"/>
      <c r="J20" s="326"/>
      <c r="K20" s="328">
        <v>3.3</v>
      </c>
      <c r="L20" s="319" t="s">
        <v>78</v>
      </c>
      <c r="M20" s="234">
        <f t="shared" si="7"/>
        <v>1</v>
      </c>
      <c r="N20" s="234">
        <f t="shared" si="7"/>
        <v>1</v>
      </c>
      <c r="O20" s="8">
        <f>SUM(D3:D38)</f>
        <v>51527.6</v>
      </c>
      <c r="P20" s="8">
        <f>O20-D20-D3+G20</f>
        <v>50338.2</v>
      </c>
      <c r="Q20" s="332">
        <f>(R14+R15)/R17*100%</f>
        <v>0.80349215566524201</v>
      </c>
      <c r="R20" s="8"/>
      <c r="S20" s="10"/>
      <c r="T20" s="10"/>
      <c r="U20" s="10"/>
      <c r="V20" s="10"/>
      <c r="W20" s="10"/>
      <c r="X20" s="10"/>
      <c r="Y20" s="10"/>
    </row>
    <row r="21" spans="1:25" ht="13.5" customHeight="1">
      <c r="A21" s="473"/>
      <c r="B21" s="475"/>
      <c r="C21" s="310">
        <f t="shared" si="5"/>
        <v>18</v>
      </c>
      <c r="D21" s="322">
        <f t="shared" si="4"/>
        <v>1433.1</v>
      </c>
      <c r="E21" s="322">
        <f t="shared" si="6"/>
        <v>1045.2</v>
      </c>
      <c r="F21" s="323">
        <f t="shared" si="6"/>
        <v>15</v>
      </c>
      <c r="G21" s="324"/>
      <c r="H21" s="325"/>
      <c r="I21" s="325"/>
      <c r="J21" s="326">
        <f t="shared" si="2"/>
        <v>46</v>
      </c>
      <c r="K21" s="328">
        <v>3.3</v>
      </c>
      <c r="L21" s="319" t="s">
        <v>75</v>
      </c>
      <c r="M21" s="234">
        <f t="shared" si="7"/>
        <v>1</v>
      </c>
      <c r="N21" s="234">
        <f t="shared" si="7"/>
        <v>1</v>
      </c>
      <c r="O21" s="8"/>
      <c r="P21" s="8"/>
      <c r="Q21" s="8"/>
      <c r="R21" s="8"/>
      <c r="S21" s="10"/>
      <c r="T21" s="10">
        <f>SUM(D4:D19)+SUM(D21:D38)</f>
        <v>49940.5</v>
      </c>
      <c r="U21" s="10"/>
      <c r="V21" s="10"/>
      <c r="W21" s="10"/>
      <c r="X21" s="10"/>
      <c r="Y21" s="10"/>
    </row>
    <row r="22" spans="1:25" ht="13.5" customHeight="1">
      <c r="A22" s="473"/>
      <c r="B22" s="475"/>
      <c r="C22" s="310">
        <f t="shared" si="5"/>
        <v>17</v>
      </c>
      <c r="D22" s="322">
        <f t="shared" si="4"/>
        <v>1433.1</v>
      </c>
      <c r="E22" s="322">
        <f t="shared" si="6"/>
        <v>1045.2</v>
      </c>
      <c r="F22" s="323">
        <f t="shared" si="6"/>
        <v>15</v>
      </c>
      <c r="G22" s="324"/>
      <c r="H22" s="325"/>
      <c r="I22" s="325"/>
      <c r="J22" s="326">
        <f t="shared" ref="J22:J31" si="8">J23</f>
        <v>46</v>
      </c>
      <c r="K22" s="328">
        <v>3.3</v>
      </c>
      <c r="L22" s="319" t="s">
        <v>75</v>
      </c>
      <c r="M22" s="234">
        <f t="shared" si="7"/>
        <v>1</v>
      </c>
      <c r="N22" s="234">
        <f t="shared" si="7"/>
        <v>1</v>
      </c>
      <c r="O22" s="8">
        <f>O20/4397*100</f>
        <v>1171.88082783716</v>
      </c>
      <c r="P22" s="8">
        <f>P20/3977</f>
        <v>12.657329645461401</v>
      </c>
      <c r="Q22" s="8"/>
      <c r="R22" s="8"/>
      <c r="S22" s="10"/>
      <c r="T22" s="10"/>
      <c r="U22" s="10"/>
      <c r="V22" s="10"/>
      <c r="W22" s="10"/>
      <c r="X22" s="10"/>
      <c r="Y22" s="10"/>
    </row>
    <row r="23" spans="1:25" ht="13.5" customHeight="1">
      <c r="A23" s="473"/>
      <c r="B23" s="475"/>
      <c r="C23" s="310">
        <f t="shared" si="5"/>
        <v>16</v>
      </c>
      <c r="D23" s="322">
        <f t="shared" si="4"/>
        <v>1433.1</v>
      </c>
      <c r="E23" s="322">
        <f>E24</f>
        <v>1045.2</v>
      </c>
      <c r="F23" s="323">
        <f t="shared" ref="F23:F24" si="9">F24</f>
        <v>15</v>
      </c>
      <c r="G23" s="324"/>
      <c r="H23" s="325"/>
      <c r="I23" s="325"/>
      <c r="J23" s="326">
        <f t="shared" si="8"/>
        <v>46</v>
      </c>
      <c r="K23" s="328">
        <v>3.3</v>
      </c>
      <c r="L23" s="319" t="s">
        <v>75</v>
      </c>
      <c r="M23" s="234">
        <f t="shared" si="7"/>
        <v>1</v>
      </c>
      <c r="N23" s="234">
        <f t="shared" si="7"/>
        <v>1</v>
      </c>
      <c r="O23" s="8"/>
      <c r="P23" s="8"/>
      <c r="Q23" s="8"/>
      <c r="R23" s="8"/>
      <c r="S23" s="10"/>
      <c r="T23" s="10"/>
      <c r="U23" s="10"/>
      <c r="V23" s="10"/>
      <c r="W23" s="10"/>
      <c r="X23" s="10"/>
      <c r="Y23" s="10"/>
    </row>
    <row r="24" spans="1:25" ht="13.5" customHeight="1">
      <c r="A24" s="473"/>
      <c r="B24" s="475"/>
      <c r="C24" s="310">
        <f t="shared" ref="C24:C37" si="10">C25+1</f>
        <v>15</v>
      </c>
      <c r="D24" s="322">
        <f t="shared" si="4"/>
        <v>1433.1</v>
      </c>
      <c r="E24" s="322">
        <f>E25</f>
        <v>1045.2</v>
      </c>
      <c r="F24" s="323">
        <f t="shared" si="9"/>
        <v>15</v>
      </c>
      <c r="G24" s="324"/>
      <c r="H24" s="325"/>
      <c r="I24" s="325"/>
      <c r="J24" s="326">
        <f t="shared" si="8"/>
        <v>46</v>
      </c>
      <c r="K24" s="328">
        <v>3.3</v>
      </c>
      <c r="L24" s="319" t="s">
        <v>75</v>
      </c>
      <c r="M24" s="234">
        <f t="shared" ref="M24:M37" si="11">M25</f>
        <v>1</v>
      </c>
      <c r="N24" s="234">
        <f t="shared" ref="N24:N31" si="12">N25</f>
        <v>1</v>
      </c>
      <c r="O24" s="8"/>
      <c r="P24" s="8"/>
      <c r="Q24" s="8"/>
      <c r="R24" s="8"/>
      <c r="S24" s="10"/>
      <c r="T24" s="10"/>
      <c r="U24" s="10"/>
      <c r="V24" s="10"/>
      <c r="W24" s="10"/>
      <c r="X24" s="10"/>
      <c r="Y24" s="10"/>
    </row>
    <row r="25" spans="1:25" ht="13.5" customHeight="1">
      <c r="A25" s="473"/>
      <c r="B25" s="475"/>
      <c r="C25" s="310">
        <f t="shared" si="10"/>
        <v>14</v>
      </c>
      <c r="D25" s="322">
        <f t="shared" si="4"/>
        <v>1433.1</v>
      </c>
      <c r="E25" s="322">
        <f>E27</f>
        <v>1045.2</v>
      </c>
      <c r="F25" s="323">
        <f t="shared" ref="E25:F31" si="13">F26</f>
        <v>15</v>
      </c>
      <c r="G25" s="324"/>
      <c r="H25" s="325"/>
      <c r="I25" s="325"/>
      <c r="J25" s="326">
        <f t="shared" si="8"/>
        <v>46</v>
      </c>
      <c r="K25" s="328">
        <v>3.3</v>
      </c>
      <c r="L25" s="319" t="s">
        <v>75</v>
      </c>
      <c r="M25" s="234">
        <f t="shared" si="11"/>
        <v>1</v>
      </c>
      <c r="N25" s="234">
        <f t="shared" si="12"/>
        <v>1</v>
      </c>
      <c r="O25" s="8"/>
      <c r="P25" s="8">
        <f>SUM(D4:D19)+SUM(D21:D38)</f>
        <v>49940.5</v>
      </c>
      <c r="Q25" s="8"/>
      <c r="R25" s="8"/>
      <c r="S25" s="10"/>
      <c r="T25" s="10"/>
      <c r="U25" s="10"/>
      <c r="V25" s="10"/>
      <c r="W25" s="10"/>
      <c r="X25" s="10"/>
      <c r="Y25" s="10"/>
    </row>
    <row r="26" spans="1:25" ht="13.5" customHeight="1">
      <c r="A26" s="473"/>
      <c r="B26" s="475"/>
      <c r="C26" s="310">
        <f t="shared" si="10"/>
        <v>13</v>
      </c>
      <c r="D26" s="322">
        <f t="shared" si="4"/>
        <v>1433.1</v>
      </c>
      <c r="E26" s="322">
        <f t="shared" si="13"/>
        <v>1045.2</v>
      </c>
      <c r="F26" s="323">
        <f t="shared" si="13"/>
        <v>15</v>
      </c>
      <c r="G26" s="324"/>
      <c r="H26" s="325"/>
      <c r="I26" s="325"/>
      <c r="J26" s="326">
        <f t="shared" si="8"/>
        <v>46</v>
      </c>
      <c r="K26" s="328">
        <v>3.3</v>
      </c>
      <c r="L26" s="319" t="s">
        <v>75</v>
      </c>
      <c r="M26" s="234">
        <f t="shared" si="11"/>
        <v>1</v>
      </c>
      <c r="N26" s="234">
        <f t="shared" si="12"/>
        <v>1</v>
      </c>
      <c r="O26" s="8"/>
      <c r="P26" s="8"/>
      <c r="Q26" s="8"/>
      <c r="R26" s="8"/>
      <c r="S26" s="10"/>
      <c r="T26" s="10"/>
      <c r="U26" s="10"/>
      <c r="V26" s="10"/>
      <c r="W26" s="10"/>
      <c r="X26" s="10"/>
      <c r="Y26" s="10"/>
    </row>
    <row r="27" spans="1:25" ht="13.5" customHeight="1">
      <c r="A27" s="473"/>
      <c r="B27" s="475"/>
      <c r="C27" s="310">
        <f t="shared" si="10"/>
        <v>12</v>
      </c>
      <c r="D27" s="322">
        <f t="shared" si="4"/>
        <v>1433.1</v>
      </c>
      <c r="E27" s="322">
        <f t="shared" si="13"/>
        <v>1045.2</v>
      </c>
      <c r="F27" s="323">
        <f t="shared" si="13"/>
        <v>15</v>
      </c>
      <c r="G27" s="324"/>
      <c r="H27" s="325"/>
      <c r="I27" s="325"/>
      <c r="J27" s="326">
        <f t="shared" si="8"/>
        <v>46</v>
      </c>
      <c r="K27" s="328">
        <v>3.3</v>
      </c>
      <c r="L27" s="319" t="s">
        <v>75</v>
      </c>
      <c r="M27" s="234">
        <f t="shared" si="11"/>
        <v>1</v>
      </c>
      <c r="N27" s="234">
        <f t="shared" si="12"/>
        <v>1</v>
      </c>
      <c r="O27" s="8"/>
      <c r="P27" s="8"/>
      <c r="Q27" s="8"/>
      <c r="R27" s="8"/>
      <c r="S27" s="10"/>
      <c r="T27" s="10"/>
      <c r="U27" s="10"/>
      <c r="V27" s="10"/>
      <c r="W27" s="10"/>
      <c r="X27" s="10"/>
      <c r="Y27" s="10"/>
    </row>
    <row r="28" spans="1:25" ht="13.5" customHeight="1">
      <c r="A28" s="473"/>
      <c r="B28" s="475"/>
      <c r="C28" s="310">
        <f t="shared" si="10"/>
        <v>11</v>
      </c>
      <c r="D28" s="322">
        <f t="shared" si="4"/>
        <v>1433.1</v>
      </c>
      <c r="E28" s="322">
        <f t="shared" si="13"/>
        <v>1045.2</v>
      </c>
      <c r="F28" s="323">
        <f t="shared" si="13"/>
        <v>15</v>
      </c>
      <c r="G28" s="324"/>
      <c r="H28" s="325"/>
      <c r="I28" s="325"/>
      <c r="J28" s="326">
        <f t="shared" si="8"/>
        <v>46</v>
      </c>
      <c r="K28" s="328">
        <v>3.3</v>
      </c>
      <c r="L28" s="319" t="s">
        <v>75</v>
      </c>
      <c r="M28" s="234">
        <f t="shared" si="11"/>
        <v>1</v>
      </c>
      <c r="N28" s="234">
        <f t="shared" si="12"/>
        <v>1</v>
      </c>
      <c r="O28" s="8"/>
      <c r="P28" s="8"/>
      <c r="Q28" s="8"/>
      <c r="R28" s="8"/>
      <c r="S28" s="10"/>
      <c r="T28" s="10"/>
      <c r="U28" s="10"/>
      <c r="V28" s="10"/>
      <c r="W28" s="10"/>
      <c r="X28" s="10"/>
      <c r="Y28" s="10"/>
    </row>
    <row r="29" spans="1:25" ht="13.5" customHeight="1">
      <c r="A29" s="473"/>
      <c r="B29" s="475"/>
      <c r="C29" s="310">
        <f t="shared" si="10"/>
        <v>10</v>
      </c>
      <c r="D29" s="322">
        <f t="shared" si="4"/>
        <v>1433.1</v>
      </c>
      <c r="E29" s="322">
        <f t="shared" si="13"/>
        <v>1045.2</v>
      </c>
      <c r="F29" s="323">
        <f t="shared" si="13"/>
        <v>15</v>
      </c>
      <c r="G29" s="324"/>
      <c r="H29" s="325"/>
      <c r="I29" s="325"/>
      <c r="J29" s="326">
        <f t="shared" si="8"/>
        <v>46</v>
      </c>
      <c r="K29" s="328">
        <v>3.3</v>
      </c>
      <c r="L29" s="319" t="s">
        <v>75</v>
      </c>
      <c r="M29" s="234">
        <f t="shared" si="11"/>
        <v>1</v>
      </c>
      <c r="N29" s="234">
        <f t="shared" si="12"/>
        <v>1</v>
      </c>
      <c r="O29" s="8">
        <f>SUM(D33:D38)</f>
        <v>9813.7000000000007</v>
      </c>
      <c r="P29" s="8"/>
      <c r="Q29" s="8"/>
      <c r="R29" s="8"/>
      <c r="S29" s="10"/>
      <c r="T29" s="10">
        <f>SUM(D33:D38)/SUM(D4:D32)</f>
        <v>0.23613386942702</v>
      </c>
      <c r="U29" s="10"/>
      <c r="V29" s="10"/>
      <c r="W29" s="10"/>
      <c r="X29" s="10"/>
      <c r="Y29" s="10"/>
    </row>
    <row r="30" spans="1:25" ht="13.5" customHeight="1">
      <c r="A30" s="473"/>
      <c r="B30" s="475"/>
      <c r="C30" s="310">
        <f t="shared" si="10"/>
        <v>9</v>
      </c>
      <c r="D30" s="322">
        <f t="shared" si="4"/>
        <v>1433.1</v>
      </c>
      <c r="E30" s="322">
        <f t="shared" si="13"/>
        <v>1045.2</v>
      </c>
      <c r="F30" s="323">
        <f t="shared" si="13"/>
        <v>15</v>
      </c>
      <c r="G30" s="324"/>
      <c r="H30" s="325"/>
      <c r="I30" s="325"/>
      <c r="J30" s="326">
        <f t="shared" si="8"/>
        <v>46</v>
      </c>
      <c r="K30" s="328">
        <v>3.3</v>
      </c>
      <c r="L30" s="319" t="s">
        <v>75</v>
      </c>
      <c r="M30" s="234">
        <f t="shared" si="11"/>
        <v>1</v>
      </c>
      <c r="N30" s="234">
        <f t="shared" si="12"/>
        <v>1</v>
      </c>
      <c r="O30" s="8"/>
      <c r="P30" s="8"/>
      <c r="Q30" s="8"/>
      <c r="R30" s="8"/>
      <c r="S30" s="10"/>
      <c r="T30" s="10"/>
      <c r="U30" s="10"/>
      <c r="V30" s="10"/>
      <c r="W30" s="10"/>
      <c r="X30" s="10"/>
      <c r="Y30" s="10"/>
    </row>
    <row r="31" spans="1:25" ht="13.5" customHeight="1">
      <c r="A31" s="473"/>
      <c r="B31" s="475"/>
      <c r="C31" s="310">
        <f t="shared" si="10"/>
        <v>8</v>
      </c>
      <c r="D31" s="322">
        <f t="shared" si="4"/>
        <v>1433.1</v>
      </c>
      <c r="E31" s="322">
        <f t="shared" si="13"/>
        <v>1045.2</v>
      </c>
      <c r="F31" s="323">
        <f t="shared" si="13"/>
        <v>15</v>
      </c>
      <c r="G31" s="324"/>
      <c r="H31" s="325"/>
      <c r="I31" s="325"/>
      <c r="J31" s="326">
        <f t="shared" si="8"/>
        <v>46</v>
      </c>
      <c r="K31" s="328">
        <v>3.3</v>
      </c>
      <c r="L31" s="319" t="s">
        <v>75</v>
      </c>
      <c r="M31" s="234">
        <f t="shared" si="11"/>
        <v>1</v>
      </c>
      <c r="N31" s="234">
        <f t="shared" si="12"/>
        <v>1</v>
      </c>
      <c r="O31" s="8"/>
      <c r="P31" s="8"/>
      <c r="Q31" s="8"/>
      <c r="R31" s="8"/>
      <c r="S31" s="10"/>
      <c r="T31" s="10"/>
      <c r="U31" s="10"/>
      <c r="V31" s="10"/>
      <c r="W31" s="10"/>
      <c r="X31" s="10"/>
      <c r="Y31" s="10"/>
    </row>
    <row r="32" spans="1:25" ht="13.5" customHeight="1">
      <c r="A32" s="473"/>
      <c r="B32" s="475"/>
      <c r="C32" s="310">
        <f t="shared" si="10"/>
        <v>7</v>
      </c>
      <c r="D32" s="322">
        <f t="shared" si="4"/>
        <v>1433.1</v>
      </c>
      <c r="E32" s="322">
        <f>'TẦNG 7-35(NOXH) (2)'!C18</f>
        <v>1045.2</v>
      </c>
      <c r="F32" s="323">
        <f>'TẦNG 7-35(NOXH)'!C14</f>
        <v>15</v>
      </c>
      <c r="G32" s="324"/>
      <c r="H32" s="325"/>
      <c r="I32" s="325"/>
      <c r="J32" s="326">
        <f>'TẦNG 7-35(NOXH)'!G14</f>
        <v>46</v>
      </c>
      <c r="K32" s="328">
        <v>3.3</v>
      </c>
      <c r="L32" s="319" t="s">
        <v>75</v>
      </c>
      <c r="M32" s="234">
        <f t="shared" si="11"/>
        <v>1</v>
      </c>
      <c r="N32" s="234">
        <v>1</v>
      </c>
      <c r="O32" s="8"/>
      <c r="P32" s="8">
        <f>SUM(H34:H38)-R34</f>
        <v>184.67999999999699</v>
      </c>
      <c r="Q32" s="8"/>
      <c r="R32" s="8"/>
      <c r="S32" s="10"/>
      <c r="T32" s="10"/>
      <c r="U32" s="10"/>
      <c r="V32" s="10"/>
      <c r="W32" s="10"/>
      <c r="X32" s="10"/>
      <c r="Y32" s="10"/>
    </row>
    <row r="33" spans="1:25" ht="13.5" customHeight="1">
      <c r="A33" s="483" t="s">
        <v>79</v>
      </c>
      <c r="B33" s="484"/>
      <c r="C33" s="333">
        <f t="shared" si="10"/>
        <v>6</v>
      </c>
      <c r="D33" s="334">
        <v>1490</v>
      </c>
      <c r="E33" s="334"/>
      <c r="F33" s="335"/>
      <c r="G33" s="336"/>
      <c r="H33" s="337"/>
      <c r="I33" s="337"/>
      <c r="J33" s="338"/>
      <c r="K33" s="339">
        <v>6</v>
      </c>
      <c r="L33" s="319" t="s">
        <v>80</v>
      </c>
      <c r="M33" s="234">
        <f t="shared" si="11"/>
        <v>1</v>
      </c>
      <c r="N33" s="234"/>
      <c r="O33" s="8"/>
      <c r="P33" s="8"/>
      <c r="Q33" s="8"/>
      <c r="R33" s="8"/>
      <c r="S33" s="10"/>
      <c r="T33" s="10"/>
      <c r="U33" s="10"/>
      <c r="V33" s="10"/>
      <c r="W33" s="10"/>
      <c r="X33" s="10"/>
      <c r="Y33" s="10"/>
    </row>
    <row r="34" spans="1:25" ht="13.5" customHeight="1">
      <c r="A34" s="485"/>
      <c r="B34" s="486"/>
      <c r="C34" s="333">
        <f t="shared" si="10"/>
        <v>5</v>
      </c>
      <c r="D34" s="334">
        <v>1708.7</v>
      </c>
      <c r="E34" s="334"/>
      <c r="F34" s="335"/>
      <c r="G34" s="340"/>
      <c r="H34" s="337">
        <f>'TẦNG 1-6(HH)'!F22</f>
        <v>1165.9000000000001</v>
      </c>
      <c r="I34" s="337"/>
      <c r="J34" s="338"/>
      <c r="K34" s="339">
        <v>5</v>
      </c>
      <c r="L34" s="319" t="s">
        <v>81</v>
      </c>
      <c r="M34" s="234">
        <f t="shared" si="11"/>
        <v>1</v>
      </c>
      <c r="N34" s="234"/>
      <c r="O34" s="8"/>
      <c r="P34" s="332"/>
      <c r="Q34" s="8"/>
      <c r="R34" s="8">
        <f>SUM(E4:E32)*20%</f>
        <v>5853.12</v>
      </c>
      <c r="S34" s="10"/>
      <c r="T34" s="10"/>
      <c r="U34" s="10"/>
      <c r="V34" s="10"/>
      <c r="W34" s="10"/>
      <c r="X34" s="10"/>
      <c r="Y34" s="10"/>
    </row>
    <row r="35" spans="1:25" ht="13.5" customHeight="1">
      <c r="A35" s="485"/>
      <c r="B35" s="486"/>
      <c r="C35" s="333">
        <f t="shared" si="10"/>
        <v>4</v>
      </c>
      <c r="D35" s="334">
        <v>1708.7</v>
      </c>
      <c r="E35" s="334"/>
      <c r="F35" s="335"/>
      <c r="G35" s="341"/>
      <c r="H35" s="337">
        <f>'TẦNG 1-6(HH)'!E22</f>
        <v>1165.9000000000001</v>
      </c>
      <c r="I35" s="337"/>
      <c r="J35" s="342"/>
      <c r="K35" s="339">
        <v>5</v>
      </c>
      <c r="L35" s="319" t="s">
        <v>81</v>
      </c>
      <c r="M35" s="234">
        <f t="shared" si="11"/>
        <v>1</v>
      </c>
      <c r="N35" s="234"/>
      <c r="O35" s="8"/>
      <c r="P35" s="8"/>
      <c r="Q35" s="8"/>
      <c r="R35" s="8"/>
      <c r="S35" s="59"/>
      <c r="T35" s="59"/>
      <c r="U35" s="59"/>
      <c r="V35" s="59"/>
      <c r="W35" s="59"/>
      <c r="X35" s="60"/>
      <c r="Y35" s="60"/>
    </row>
    <row r="36" spans="1:25" ht="13.5" customHeight="1">
      <c r="A36" s="485"/>
      <c r="B36" s="486"/>
      <c r="C36" s="333">
        <f t="shared" si="10"/>
        <v>3</v>
      </c>
      <c r="D36" s="334">
        <f>D38</f>
        <v>1666.8</v>
      </c>
      <c r="E36" s="343"/>
      <c r="F36" s="344"/>
      <c r="G36" s="345"/>
      <c r="H36" s="337">
        <f>'TẦNG 1-6(HH)'!D22</f>
        <v>1304.5999999999999</v>
      </c>
      <c r="I36" s="346">
        <f>I38</f>
        <v>15</v>
      </c>
      <c r="J36" s="347"/>
      <c r="K36" s="348">
        <v>3.9</v>
      </c>
      <c r="L36" s="319" t="s">
        <v>82</v>
      </c>
      <c r="M36" s="234">
        <f t="shared" si="11"/>
        <v>1</v>
      </c>
      <c r="N36" s="234"/>
      <c r="O36" s="58"/>
      <c r="P36" s="58"/>
      <c r="Q36" s="58"/>
      <c r="R36" s="58">
        <f>H43-R34</f>
        <v>184.67999999999699</v>
      </c>
      <c r="S36" s="59"/>
      <c r="T36" s="59"/>
      <c r="U36" s="59"/>
      <c r="V36" s="59"/>
      <c r="W36" s="59"/>
      <c r="X36" s="60"/>
      <c r="Y36" s="60"/>
    </row>
    <row r="37" spans="1:25" ht="13.5" customHeight="1">
      <c r="A37" s="485"/>
      <c r="B37" s="486"/>
      <c r="C37" s="333">
        <f t="shared" si="10"/>
        <v>2</v>
      </c>
      <c r="D37" s="334">
        <v>1572.7</v>
      </c>
      <c r="E37" s="343"/>
      <c r="F37" s="344"/>
      <c r="G37" s="345"/>
      <c r="H37" s="337">
        <f>'TẦNG 1-6(HH)'!C22</f>
        <v>1213.5</v>
      </c>
      <c r="I37" s="346">
        <f>I38</f>
        <v>15</v>
      </c>
      <c r="J37" s="349"/>
      <c r="K37" s="348">
        <v>3.9</v>
      </c>
      <c r="L37" s="319" t="s">
        <v>82</v>
      </c>
      <c r="M37" s="234">
        <f t="shared" si="11"/>
        <v>1</v>
      </c>
      <c r="N37" s="234"/>
      <c r="O37" s="58"/>
      <c r="P37" s="58">
        <f>3970*90%</f>
        <v>3573</v>
      </c>
      <c r="Q37" s="58"/>
      <c r="R37" s="58"/>
      <c r="S37" s="59"/>
      <c r="T37" s="59"/>
      <c r="U37" s="59"/>
      <c r="V37" s="59"/>
      <c r="W37" s="59"/>
      <c r="X37" s="60"/>
      <c r="Y37" s="60"/>
    </row>
    <row r="38" spans="1:25" ht="13.5" customHeight="1">
      <c r="A38" s="487"/>
      <c r="B38" s="488"/>
      <c r="C38" s="333">
        <v>1</v>
      </c>
      <c r="D38" s="334">
        <v>1666.8</v>
      </c>
      <c r="E38" s="334"/>
      <c r="F38" s="335"/>
      <c r="G38" s="336"/>
      <c r="H38" s="337">
        <f>'TẦNG 1-6(HH)'!B22</f>
        <v>1187.9000000000001</v>
      </c>
      <c r="I38" s="350">
        <v>15</v>
      </c>
      <c r="J38" s="338"/>
      <c r="K38" s="348">
        <v>6</v>
      </c>
      <c r="L38" s="319" t="s">
        <v>82</v>
      </c>
      <c r="M38" s="234">
        <f>1</f>
        <v>1</v>
      </c>
      <c r="N38" s="234"/>
      <c r="O38" s="58"/>
      <c r="P38" s="58">
        <f>4000*90%</f>
        <v>3600</v>
      </c>
      <c r="Q38" s="58"/>
      <c r="R38" s="58"/>
      <c r="S38" s="59"/>
      <c r="T38" s="59"/>
      <c r="U38" s="59"/>
      <c r="V38" s="59"/>
      <c r="W38" s="59"/>
      <c r="X38" s="60"/>
      <c r="Y38" s="60"/>
    </row>
    <row r="39" spans="1:25" ht="13.5" customHeight="1">
      <c r="A39" s="477" t="s">
        <v>83</v>
      </c>
      <c r="B39" s="478"/>
      <c r="C39" s="301" t="s">
        <v>84</v>
      </c>
      <c r="D39" s="351">
        <v>3600</v>
      </c>
      <c r="E39" s="352">
        <f>E40</f>
        <v>3060</v>
      </c>
      <c r="F39" s="353"/>
      <c r="G39" s="354"/>
      <c r="H39" s="355"/>
      <c r="I39" s="355"/>
      <c r="J39" s="356"/>
      <c r="K39" s="357">
        <v>4.5</v>
      </c>
      <c r="L39" s="319" t="s">
        <v>85</v>
      </c>
      <c r="M39" s="234"/>
      <c r="N39" s="234" t="s">
        <v>86</v>
      </c>
      <c r="O39" s="58"/>
      <c r="P39" s="58"/>
      <c r="Q39" s="58"/>
      <c r="R39" s="58"/>
      <c r="S39" s="59"/>
      <c r="T39" s="59"/>
      <c r="U39" s="59"/>
      <c r="V39" s="59"/>
      <c r="W39" s="59"/>
      <c r="X39" s="60"/>
      <c r="Y39" s="60"/>
    </row>
    <row r="40" spans="1:25" ht="13.5" customHeight="1">
      <c r="A40" s="479"/>
      <c r="B40" s="480"/>
      <c r="C40" s="301" t="s">
        <v>87</v>
      </c>
      <c r="D40" s="351">
        <f>D39</f>
        <v>3600</v>
      </c>
      <c r="E40" s="352">
        <f>E41</f>
        <v>3060</v>
      </c>
      <c r="F40" s="353"/>
      <c r="G40" s="354"/>
      <c r="H40" s="355"/>
      <c r="I40" s="355"/>
      <c r="J40" s="356"/>
      <c r="K40" s="357">
        <v>3.6</v>
      </c>
      <c r="L40" s="319" t="s">
        <v>85</v>
      </c>
      <c r="M40" s="234"/>
      <c r="N40" s="234"/>
      <c r="O40" s="58"/>
      <c r="P40" s="58"/>
      <c r="Q40" s="58"/>
      <c r="R40" s="58"/>
      <c r="S40" s="59">
        <f>SUM(H34:H38)/E43</f>
        <v>0.206310480564212</v>
      </c>
      <c r="T40" s="59"/>
      <c r="U40" s="59"/>
      <c r="V40" s="59"/>
      <c r="W40" s="59"/>
      <c r="X40" s="60"/>
      <c r="Y40" s="60"/>
    </row>
    <row r="41" spans="1:25" ht="13.5" customHeight="1">
      <c r="A41" s="479"/>
      <c r="B41" s="480"/>
      <c r="C41" s="301" t="s">
        <v>88</v>
      </c>
      <c r="D41" s="351">
        <f>D39</f>
        <v>3600</v>
      </c>
      <c r="E41" s="352">
        <f>E42</f>
        <v>3060</v>
      </c>
      <c r="F41" s="353"/>
      <c r="G41" s="354"/>
      <c r="H41" s="355"/>
      <c r="I41" s="355"/>
      <c r="J41" s="356"/>
      <c r="K41" s="357">
        <v>3.6</v>
      </c>
      <c r="L41" s="319" t="s">
        <v>85</v>
      </c>
      <c r="M41" s="234"/>
      <c r="N41" s="234"/>
      <c r="O41" s="58"/>
      <c r="P41" s="58"/>
      <c r="Q41" s="58"/>
      <c r="R41" s="58"/>
      <c r="S41" s="59"/>
      <c r="T41" s="59"/>
      <c r="U41" s="59"/>
      <c r="V41" s="59"/>
      <c r="W41" s="59"/>
      <c r="X41" s="60"/>
      <c r="Y41" s="60"/>
    </row>
    <row r="42" spans="1:25" ht="13.5" customHeight="1">
      <c r="A42" s="481"/>
      <c r="B42" s="482"/>
      <c r="C42" s="301" t="s">
        <v>89</v>
      </c>
      <c r="D42" s="351">
        <f>D40</f>
        <v>3600</v>
      </c>
      <c r="E42" s="352">
        <f>HẦM!I5</f>
        <v>3060</v>
      </c>
      <c r="F42" s="353"/>
      <c r="G42" s="354"/>
      <c r="H42" s="355"/>
      <c r="I42" s="355"/>
      <c r="J42" s="356"/>
      <c r="K42" s="357">
        <v>3.6</v>
      </c>
      <c r="L42" s="319" t="s">
        <v>85</v>
      </c>
      <c r="M42" s="234"/>
      <c r="N42" s="234"/>
      <c r="O42" s="58"/>
      <c r="P42" s="58"/>
      <c r="Q42" s="58"/>
      <c r="R42" s="58"/>
      <c r="S42" s="59"/>
      <c r="T42" s="59"/>
      <c r="U42" s="59"/>
      <c r="V42" s="59"/>
      <c r="W42" s="59"/>
      <c r="X42" s="60"/>
      <c r="Y42" s="60"/>
    </row>
    <row r="43" spans="1:25" ht="25.5" customHeight="1">
      <c r="A43" s="454" t="s">
        <v>90</v>
      </c>
      <c r="B43" s="455"/>
      <c r="C43" s="456"/>
      <c r="D43" s="358">
        <f>SUM(D3:D42)</f>
        <v>65927.600000000006</v>
      </c>
      <c r="E43" s="358">
        <f>SUM(E3:E32)</f>
        <v>29265.599999999999</v>
      </c>
      <c r="F43" s="359">
        <f>SUM(F3:F38)</f>
        <v>420</v>
      </c>
      <c r="G43" s="360">
        <f>SUM(G3:G38)</f>
        <v>397.7</v>
      </c>
      <c r="H43" s="361">
        <f>SUM(H3:H38)</f>
        <v>6037.8</v>
      </c>
      <c r="I43" s="361">
        <f>SUM(I3:I38)</f>
        <v>45</v>
      </c>
      <c r="J43" s="362">
        <f>SUM(J4:J32)</f>
        <v>1288</v>
      </c>
      <c r="K43" s="363">
        <f>SUM(K3:K38)</f>
        <v>128.5</v>
      </c>
      <c r="L43" s="364"/>
      <c r="M43" s="365">
        <f>SUM(M3:M38)</f>
        <v>35</v>
      </c>
      <c r="N43" s="365">
        <f>SUM(N3:N38)</f>
        <v>29</v>
      </c>
      <c r="O43" s="58"/>
      <c r="P43" s="58"/>
      <c r="Q43" s="58">
        <f>H43/E43*100</f>
        <v>20.6310480564212</v>
      </c>
      <c r="R43" s="58"/>
      <c r="S43" s="59"/>
      <c r="T43" s="59"/>
      <c r="U43" s="59"/>
      <c r="V43" s="59"/>
      <c r="W43" s="59"/>
      <c r="X43" s="60"/>
      <c r="Y43" s="60"/>
    </row>
    <row r="44" spans="1:25" ht="17.25" customHeight="1">
      <c r="A44" s="476"/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17"/>
      <c r="N44" s="17"/>
      <c r="O44" s="60"/>
      <c r="P44" s="60"/>
      <c r="Q44" s="59"/>
      <c r="R44" s="59"/>
      <c r="S44" s="59"/>
      <c r="T44" s="59"/>
      <c r="U44" s="59"/>
      <c r="V44" s="59"/>
      <c r="W44" s="59"/>
      <c r="X44" s="60"/>
      <c r="Y44" s="60"/>
    </row>
    <row r="45" spans="1:25" ht="19.5" customHeight="1">
      <c r="A45" s="471"/>
      <c r="B45" s="471"/>
      <c r="C45" s="471"/>
      <c r="D45" s="471"/>
      <c r="E45" s="471"/>
      <c r="F45" s="471"/>
      <c r="G45" s="471"/>
      <c r="H45" s="471"/>
      <c r="I45" s="471"/>
      <c r="J45" s="471"/>
      <c r="K45" s="471"/>
      <c r="L45" s="471"/>
      <c r="M45" s="366"/>
      <c r="N45" s="367"/>
      <c r="O45" s="368"/>
      <c r="P45" s="369"/>
      <c r="Q45" s="332"/>
      <c r="R45" s="8"/>
      <c r="S45" s="8"/>
      <c r="T45" s="8"/>
      <c r="U45" s="8"/>
      <c r="V45" s="59"/>
      <c r="W45" s="59"/>
    </row>
    <row r="46" spans="1:25" ht="19.5" customHeight="1">
      <c r="A46" s="457" t="s">
        <v>91</v>
      </c>
      <c r="B46" s="458"/>
      <c r="C46" s="459"/>
      <c r="D46" s="459"/>
      <c r="E46" s="459"/>
      <c r="F46" s="459"/>
      <c r="G46" s="459"/>
      <c r="H46" s="370" t="s">
        <v>92</v>
      </c>
      <c r="I46" s="370" t="s">
        <v>93</v>
      </c>
      <c r="J46" s="371"/>
      <c r="K46" s="372" t="s">
        <v>94</v>
      </c>
      <c r="L46" s="9"/>
      <c r="M46" s="9">
        <f>E43*0.2</f>
        <v>5853.12</v>
      </c>
      <c r="N46" s="367">
        <f>SUM(H34:H38)</f>
        <v>6037.8</v>
      </c>
      <c r="O46" s="373"/>
      <c r="P46" s="332"/>
      <c r="Q46" s="332"/>
      <c r="R46" s="8"/>
      <c r="S46" s="8"/>
      <c r="T46" s="8"/>
      <c r="U46" s="8"/>
      <c r="V46" s="59"/>
      <c r="W46" s="59"/>
    </row>
    <row r="47" spans="1:25" ht="16.5" customHeight="1">
      <c r="A47" s="460" t="s">
        <v>95</v>
      </c>
      <c r="B47" s="461"/>
      <c r="C47" s="462"/>
      <c r="D47" s="462"/>
      <c r="E47" s="462"/>
      <c r="F47" s="462"/>
      <c r="G47" s="462"/>
      <c r="H47" s="463">
        <v>4397</v>
      </c>
      <c r="I47" s="464"/>
      <c r="J47" s="464"/>
      <c r="K47" s="465"/>
      <c r="L47" s="24"/>
      <c r="M47" s="9"/>
      <c r="N47" s="367">
        <f>M46-N46</f>
        <v>-184.67999999999699</v>
      </c>
      <c r="O47" s="8">
        <f>N47/2</f>
        <v>-92.339999999998298</v>
      </c>
      <c r="P47" s="8"/>
      <c r="Q47" s="332"/>
      <c r="R47" s="8"/>
      <c r="S47" s="8"/>
      <c r="T47" s="8"/>
      <c r="U47" s="8"/>
      <c r="V47" s="59"/>
      <c r="W47" s="59"/>
    </row>
    <row r="48" spans="1:25" ht="16.5" customHeight="1">
      <c r="A48" s="466" t="s">
        <v>96</v>
      </c>
      <c r="B48" s="467"/>
      <c r="C48" s="467"/>
      <c r="D48" s="467"/>
      <c r="E48" s="467"/>
      <c r="F48" s="467"/>
      <c r="G48" s="461"/>
      <c r="H48" s="463">
        <v>420</v>
      </c>
      <c r="I48" s="464"/>
      <c r="J48" s="464"/>
      <c r="K48" s="465"/>
      <c r="L48" s="24"/>
      <c r="M48" s="9"/>
      <c r="N48" s="9"/>
      <c r="O48" s="8"/>
      <c r="P48" s="8"/>
      <c r="Q48" s="332"/>
      <c r="R48" s="8"/>
      <c r="S48" s="8"/>
      <c r="T48" s="8"/>
      <c r="U48" s="8"/>
      <c r="V48" s="59"/>
      <c r="W48" s="59"/>
    </row>
    <row r="49" spans="1:23" ht="16.5" customHeight="1">
      <c r="A49" s="466" t="s">
        <v>97</v>
      </c>
      <c r="B49" s="467"/>
      <c r="C49" s="467"/>
      <c r="D49" s="467"/>
      <c r="E49" s="467"/>
      <c r="F49" s="467"/>
      <c r="G49" s="461"/>
      <c r="H49" s="463">
        <v>420</v>
      </c>
      <c r="I49" s="464"/>
      <c r="J49" s="464"/>
      <c r="K49" s="465"/>
      <c r="L49" s="24"/>
      <c r="M49" s="9"/>
      <c r="N49" s="9"/>
      <c r="O49" s="8"/>
      <c r="P49" s="8"/>
      <c r="Q49" s="332"/>
      <c r="R49" s="8"/>
      <c r="S49" s="8"/>
      <c r="T49" s="8"/>
      <c r="U49" s="8"/>
      <c r="V49" s="59"/>
      <c r="W49" s="59"/>
    </row>
    <row r="50" spans="1:23" ht="16.5" customHeight="1">
      <c r="A50" s="460" t="s">
        <v>98</v>
      </c>
      <c r="B50" s="461"/>
      <c r="C50" s="462"/>
      <c r="D50" s="462"/>
      <c r="E50" s="462"/>
      <c r="F50" s="462"/>
      <c r="G50" s="462"/>
      <c r="H50" s="463">
        <v>3977</v>
      </c>
      <c r="I50" s="464"/>
      <c r="J50" s="464"/>
      <c r="K50" s="465"/>
      <c r="L50" s="24"/>
      <c r="M50" s="9"/>
      <c r="N50" s="375"/>
      <c r="O50" s="332"/>
      <c r="P50" s="332"/>
      <c r="Q50" s="8"/>
      <c r="R50" s="8"/>
      <c r="S50" s="8"/>
      <c r="T50" s="8"/>
      <c r="U50" s="8"/>
      <c r="V50" s="59"/>
      <c r="W50" s="59"/>
    </row>
    <row r="51" spans="1:23" ht="16.5" customHeight="1">
      <c r="A51" s="460" t="s">
        <v>99</v>
      </c>
      <c r="B51" s="461"/>
      <c r="C51" s="462"/>
      <c r="D51" s="462"/>
      <c r="E51" s="462"/>
      <c r="F51" s="462"/>
      <c r="G51" s="462"/>
      <c r="H51" s="294">
        <f>D38+H49</f>
        <v>2086.8000000000002</v>
      </c>
      <c r="I51" s="294">
        <f>'ĐẦU VÀO'!E6</f>
        <v>2210</v>
      </c>
      <c r="J51" s="376"/>
      <c r="K51" s="277" t="str">
        <f>IF(H51&lt;I51,"ĐAT","KĐAT")</f>
        <v>ĐAT</v>
      </c>
      <c r="L51" s="24"/>
      <c r="M51" s="9"/>
      <c r="N51" s="9"/>
      <c r="O51" s="8"/>
      <c r="P51" s="8"/>
      <c r="Q51" s="8"/>
      <c r="R51" s="8"/>
      <c r="S51" s="8"/>
      <c r="T51" s="8"/>
      <c r="U51" s="8"/>
      <c r="V51" s="59"/>
      <c r="W51" s="59"/>
    </row>
    <row r="52" spans="1:23" ht="16.5" customHeight="1">
      <c r="A52" s="460" t="s">
        <v>100</v>
      </c>
      <c r="B52" s="461"/>
      <c r="C52" s="462"/>
      <c r="D52" s="462"/>
      <c r="E52" s="462"/>
      <c r="F52" s="462"/>
      <c r="G52" s="462"/>
      <c r="H52" s="294">
        <f>H51/H47*100</f>
        <v>47.4596315669775</v>
      </c>
      <c r="I52" s="294">
        <f>'ĐẦU VÀO'!D6</f>
        <v>50</v>
      </c>
      <c r="J52" s="377"/>
      <c r="K52" s="277" t="str">
        <f>IF(H52&lt;I52,"ĐAT","KĐAT")</f>
        <v>ĐAT</v>
      </c>
      <c r="L52" s="24"/>
      <c r="M52" s="9"/>
      <c r="N52" s="9"/>
      <c r="O52" s="8"/>
      <c r="P52" s="332"/>
      <c r="Q52" s="8"/>
      <c r="R52" s="8"/>
      <c r="S52" s="8"/>
      <c r="T52" s="8"/>
      <c r="U52" s="8"/>
      <c r="V52" s="59"/>
      <c r="W52" s="59"/>
    </row>
    <row r="53" spans="1:23" ht="16.5" customHeight="1">
      <c r="A53" s="460" t="s">
        <v>101</v>
      </c>
      <c r="B53" s="461"/>
      <c r="C53" s="462"/>
      <c r="D53" s="462"/>
      <c r="E53" s="462"/>
      <c r="F53" s="462"/>
      <c r="G53" s="462"/>
      <c r="H53" s="294">
        <f>SUM(D4:D38)-D20</f>
        <v>49940.5</v>
      </c>
      <c r="I53" s="294"/>
      <c r="J53" s="376"/>
      <c r="K53" s="277"/>
      <c r="L53" s="24"/>
      <c r="M53" s="9"/>
      <c r="N53" s="9"/>
      <c r="O53" s="8"/>
      <c r="P53" s="332"/>
      <c r="Q53" s="8"/>
      <c r="R53" s="8"/>
      <c r="S53" s="8"/>
      <c r="T53" s="8"/>
      <c r="U53" s="8"/>
      <c r="V53" s="59"/>
      <c r="W53" s="59"/>
    </row>
    <row r="54" spans="1:23" ht="16.5" customHeight="1">
      <c r="A54" s="460" t="s">
        <v>102</v>
      </c>
      <c r="B54" s="461"/>
      <c r="C54" s="462"/>
      <c r="D54" s="462"/>
      <c r="E54" s="462"/>
      <c r="F54" s="462"/>
      <c r="G54" s="462"/>
      <c r="H54" s="294">
        <f>D43</f>
        <v>65927.600000000006</v>
      </c>
      <c r="I54" s="294"/>
      <c r="J54" s="376"/>
      <c r="K54" s="277"/>
      <c r="L54" s="24"/>
      <c r="M54" s="9"/>
      <c r="N54" s="9"/>
      <c r="O54" s="8"/>
      <c r="P54" s="8"/>
      <c r="Q54" s="8"/>
      <c r="R54" s="8"/>
      <c r="S54" s="8"/>
      <c r="T54" s="8"/>
      <c r="U54" s="8"/>
      <c r="V54" s="59"/>
      <c r="W54" s="59"/>
    </row>
    <row r="55" spans="1:23" ht="16.5" customHeight="1">
      <c r="A55" s="460" t="s">
        <v>103</v>
      </c>
      <c r="B55" s="461"/>
      <c r="C55" s="462"/>
      <c r="D55" s="462"/>
      <c r="E55" s="462"/>
      <c r="F55" s="462"/>
      <c r="G55" s="462"/>
      <c r="H55" s="378">
        <f>(H53+D3)/H50</f>
        <v>12.5960523007292</v>
      </c>
      <c r="I55" s="294">
        <f>'ĐẦU VÀO'!C14</f>
        <v>13</v>
      </c>
      <c r="J55" s="379"/>
      <c r="K55" s="277" t="str">
        <f>IF(H55&lt;I55,"ĐAT","KĐAT")</f>
        <v>ĐAT</v>
      </c>
      <c r="L55" s="24"/>
      <c r="M55" s="9"/>
      <c r="N55" s="9"/>
      <c r="O55" s="8"/>
      <c r="P55" s="8"/>
      <c r="Q55" s="8"/>
      <c r="R55" s="8"/>
      <c r="S55" s="8"/>
      <c r="T55" s="8"/>
      <c r="U55" s="8"/>
      <c r="V55" s="59"/>
      <c r="W55" s="59"/>
    </row>
    <row r="56" spans="1:23" ht="16.5" customHeight="1">
      <c r="A56" s="460" t="s">
        <v>104</v>
      </c>
      <c r="B56" s="461"/>
      <c r="C56" s="462"/>
      <c r="D56" s="462"/>
      <c r="E56" s="462"/>
      <c r="F56" s="462"/>
      <c r="G56" s="462"/>
      <c r="H56" s="278">
        <f>F43</f>
        <v>420</v>
      </c>
      <c r="I56" s="294"/>
      <c r="J56" s="376"/>
      <c r="K56" s="277"/>
      <c r="L56" s="24"/>
      <c r="M56" s="9"/>
      <c r="N56" s="9"/>
      <c r="O56" s="8"/>
      <c r="P56" s="8"/>
      <c r="Q56" s="8"/>
      <c r="R56" s="8"/>
      <c r="S56" s="8"/>
      <c r="T56" s="8"/>
      <c r="U56" s="8"/>
      <c r="V56" s="59"/>
      <c r="W56" s="59"/>
    </row>
    <row r="57" spans="1:23" ht="16.5" customHeight="1">
      <c r="A57" s="460" t="s">
        <v>105</v>
      </c>
      <c r="B57" s="461"/>
      <c r="C57" s="462"/>
      <c r="D57" s="462"/>
      <c r="E57" s="462"/>
      <c r="F57" s="462"/>
      <c r="G57" s="462"/>
      <c r="H57" s="294">
        <f>E43</f>
        <v>29265.599999999999</v>
      </c>
      <c r="I57" s="294"/>
      <c r="J57" s="376"/>
      <c r="K57" s="277"/>
      <c r="L57" s="24"/>
      <c r="M57" s="9"/>
      <c r="N57" s="9"/>
      <c r="O57" s="8"/>
      <c r="P57" s="8"/>
      <c r="Q57" s="8"/>
      <c r="R57" s="8"/>
      <c r="S57" s="8"/>
      <c r="T57" s="8"/>
      <c r="U57" s="8"/>
      <c r="V57" s="59"/>
      <c r="W57" s="59"/>
    </row>
    <row r="58" spans="1:23" ht="16.5" customHeight="1">
      <c r="A58" s="460" t="s">
        <v>106</v>
      </c>
      <c r="B58" s="461"/>
      <c r="C58" s="462"/>
      <c r="D58" s="462"/>
      <c r="E58" s="462"/>
      <c r="F58" s="462"/>
      <c r="G58" s="462"/>
      <c r="H58" s="294">
        <f>H43-H33</f>
        <v>6037.8</v>
      </c>
      <c r="I58" s="294"/>
      <c r="J58" s="379"/>
      <c r="K58" s="277"/>
      <c r="L58" s="24">
        <f>+H58/H57</f>
        <v>0.206310480564212</v>
      </c>
      <c r="M58" s="9"/>
      <c r="N58" s="9"/>
      <c r="O58" s="8"/>
      <c r="P58" s="8"/>
      <c r="Q58" s="8"/>
      <c r="R58" s="8"/>
      <c r="S58" s="8"/>
      <c r="T58" s="8"/>
      <c r="U58" s="8"/>
      <c r="V58" s="59"/>
      <c r="W58" s="59"/>
    </row>
    <row r="59" spans="1:23" ht="16.5" customHeight="1">
      <c r="A59" s="460" t="s">
        <v>107</v>
      </c>
      <c r="B59" s="461"/>
      <c r="C59" s="462"/>
      <c r="D59" s="462"/>
      <c r="E59" s="462"/>
      <c r="F59" s="462"/>
      <c r="G59" s="462"/>
      <c r="H59" s="294">
        <f>G43</f>
        <v>397.7</v>
      </c>
      <c r="I59" s="294">
        <f>F43*0.8</f>
        <v>336</v>
      </c>
      <c r="J59" s="376"/>
      <c r="K59" s="277" t="str">
        <f t="shared" ref="K59" si="14">IF(H59&gt;I59,"ĐAT","KĐAT")</f>
        <v>ĐAT</v>
      </c>
      <c r="L59" s="24"/>
      <c r="M59" s="9"/>
      <c r="N59" s="9"/>
      <c r="O59" s="8"/>
      <c r="P59" s="8"/>
      <c r="Q59" s="8"/>
      <c r="R59" s="8"/>
      <c r="S59" s="8"/>
      <c r="T59" s="8"/>
      <c r="U59" s="8"/>
      <c r="V59" s="59"/>
      <c r="W59" s="59"/>
    </row>
    <row r="60" spans="1:23" ht="16.5" customHeight="1">
      <c r="A60" s="460" t="s">
        <v>108</v>
      </c>
      <c r="B60" s="461"/>
      <c r="C60" s="462"/>
      <c r="D60" s="462"/>
      <c r="E60" s="462"/>
      <c r="F60" s="462"/>
      <c r="G60" s="462"/>
      <c r="H60" s="294">
        <f>HẦM!E7</f>
        <v>0</v>
      </c>
      <c r="I60" s="294">
        <f>HẦM!D7</f>
        <v>0</v>
      </c>
      <c r="J60" s="376"/>
      <c r="K60" s="277" t="str">
        <f>IF(H60&gt;=I60,"ĐAT","KĐAT")</f>
        <v>ĐAT</v>
      </c>
      <c r="L60" s="24"/>
      <c r="M60" s="9"/>
      <c r="N60" s="9"/>
      <c r="O60" s="8"/>
      <c r="P60" s="8"/>
      <c r="Q60" s="8"/>
      <c r="R60" s="8"/>
      <c r="S60" s="8"/>
      <c r="T60" s="8"/>
      <c r="U60" s="8"/>
      <c r="V60" s="59"/>
      <c r="W60" s="59"/>
    </row>
    <row r="61" spans="1:23" ht="16.5" customHeight="1">
      <c r="A61" s="468" t="s">
        <v>55</v>
      </c>
      <c r="B61" s="469"/>
      <c r="C61" s="470"/>
      <c r="D61" s="470"/>
      <c r="E61" s="470"/>
      <c r="F61" s="470"/>
      <c r="G61" s="470"/>
      <c r="H61" s="287">
        <f>J43</f>
        <v>1288</v>
      </c>
      <c r="I61" s="287">
        <f>'ĐẦU VÀO'!C10</f>
        <v>0</v>
      </c>
      <c r="J61" s="381"/>
      <c r="K61" s="288"/>
      <c r="L61" s="24"/>
      <c r="M61" s="9"/>
      <c r="N61" s="9"/>
      <c r="O61" s="8"/>
      <c r="P61" s="8"/>
      <c r="Q61" s="8"/>
      <c r="R61" s="8"/>
      <c r="S61" s="8"/>
      <c r="T61" s="8"/>
      <c r="U61" s="8"/>
      <c r="V61" s="59"/>
      <c r="W61" s="59"/>
    </row>
    <row r="62" spans="1:23" ht="14.25" customHeight="1">
      <c r="A62" s="471"/>
      <c r="B62" s="471"/>
      <c r="C62" s="471"/>
      <c r="D62" s="471"/>
      <c r="E62" s="471"/>
      <c r="F62" s="471"/>
      <c r="G62" s="471"/>
      <c r="H62" s="382"/>
      <c r="I62" s="373"/>
      <c r="J62" s="8"/>
      <c r="K62" s="8"/>
      <c r="L62" s="24"/>
      <c r="M62" s="9"/>
      <c r="N62" s="9"/>
      <c r="O62" s="8"/>
      <c r="P62" s="8"/>
      <c r="Q62" s="8"/>
      <c r="R62" s="8"/>
      <c r="S62" s="8"/>
      <c r="T62" s="8"/>
      <c r="U62" s="8"/>
      <c r="V62" s="59"/>
      <c r="W62" s="59"/>
    </row>
    <row r="63" spans="1:23" ht="14.25" customHeight="1">
      <c r="A63" s="471"/>
      <c r="B63" s="471"/>
      <c r="C63" s="471"/>
      <c r="D63" s="471"/>
      <c r="E63" s="471"/>
      <c r="F63" s="471"/>
      <c r="G63" s="471"/>
      <c r="H63" s="382">
        <f>+H58+'CHỈ TIÊU QH'!F9</f>
        <v>7423.8</v>
      </c>
      <c r="I63" s="373"/>
      <c r="J63" s="8"/>
      <c r="K63" s="8"/>
      <c r="L63" s="24"/>
      <c r="M63" s="9"/>
      <c r="N63" s="9"/>
      <c r="O63" s="8"/>
      <c r="P63" s="8"/>
      <c r="Q63" s="8"/>
      <c r="R63" s="8"/>
      <c r="S63" s="8"/>
      <c r="T63" s="8"/>
      <c r="U63" s="8"/>
      <c r="V63" s="59"/>
      <c r="W63" s="59"/>
    </row>
    <row r="64" spans="1:23" ht="14.25" customHeight="1">
      <c r="A64" s="471"/>
      <c r="B64" s="471"/>
      <c r="C64" s="471"/>
      <c r="D64" s="471"/>
      <c r="E64" s="471"/>
      <c r="F64" s="471"/>
      <c r="G64" s="471"/>
      <c r="H64" s="383">
        <f>+H63/E43</f>
        <v>0.25366983762506201</v>
      </c>
      <c r="I64" s="373"/>
      <c r="J64" s="8"/>
      <c r="K64" s="8"/>
      <c r="L64" s="24"/>
      <c r="M64" s="9"/>
      <c r="N64" s="9"/>
      <c r="O64" s="8"/>
      <c r="P64" s="8"/>
      <c r="Q64" s="8"/>
      <c r="R64" s="8"/>
      <c r="S64" s="8"/>
      <c r="T64" s="8"/>
      <c r="U64" s="8"/>
      <c r="V64" s="59"/>
      <c r="W64" s="59"/>
    </row>
    <row r="65" spans="1:23" ht="14.25" customHeight="1">
      <c r="A65" s="471"/>
      <c r="B65" s="471"/>
      <c r="C65" s="471"/>
      <c r="D65" s="471"/>
      <c r="E65" s="471"/>
      <c r="F65" s="471"/>
      <c r="G65" s="471"/>
      <c r="H65" s="382"/>
      <c r="I65" s="373"/>
      <c r="J65" s="8"/>
      <c r="K65" s="8"/>
      <c r="L65" s="24"/>
      <c r="M65" s="9"/>
      <c r="N65" s="9"/>
      <c r="O65" s="8"/>
      <c r="P65" s="8"/>
      <c r="Q65" s="8"/>
      <c r="R65" s="8"/>
      <c r="S65" s="8"/>
      <c r="T65" s="8"/>
      <c r="U65" s="8"/>
      <c r="V65" s="59"/>
      <c r="W65" s="59"/>
    </row>
    <row r="66" spans="1:23" ht="14.25" customHeight="1">
      <c r="A66" s="471"/>
      <c r="B66" s="471"/>
      <c r="C66" s="471"/>
      <c r="D66" s="471"/>
      <c r="E66" s="471"/>
      <c r="F66" s="471"/>
      <c r="G66" s="8"/>
      <c r="H66" s="373"/>
      <c r="I66" s="373"/>
      <c r="J66" s="8"/>
      <c r="K66" s="8"/>
      <c r="L66" s="24"/>
      <c r="M66" s="9"/>
      <c r="N66" s="9"/>
      <c r="O66" s="8"/>
      <c r="P66" s="8"/>
      <c r="Q66" s="8"/>
      <c r="R66" s="8"/>
      <c r="S66" s="8"/>
      <c r="T66" s="8"/>
      <c r="U66" s="8"/>
      <c r="V66" s="59"/>
      <c r="W66" s="59"/>
    </row>
    <row r="67" spans="1:23" ht="14.25" customHeight="1">
      <c r="A67" s="471"/>
      <c r="B67" s="471"/>
      <c r="C67" s="471"/>
      <c r="D67" s="471"/>
      <c r="E67" s="471"/>
      <c r="F67" s="471"/>
      <c r="G67" s="8"/>
      <c r="H67" s="373"/>
      <c r="I67" s="373"/>
      <c r="J67" s="8"/>
      <c r="K67" s="8"/>
      <c r="L67" s="24"/>
      <c r="M67" s="9"/>
      <c r="N67" s="9"/>
      <c r="O67" s="8"/>
      <c r="P67" s="8"/>
      <c r="Q67" s="8"/>
      <c r="R67" s="8"/>
      <c r="S67" s="8"/>
      <c r="T67" s="8"/>
      <c r="U67" s="8"/>
      <c r="V67" s="59"/>
      <c r="W67" s="59"/>
    </row>
    <row r="68" spans="1:23" ht="14.25" customHeight="1">
      <c r="A68" s="471"/>
      <c r="B68" s="471"/>
      <c r="C68" s="471"/>
      <c r="D68" s="471"/>
      <c r="E68" s="471"/>
      <c r="F68" s="471"/>
      <c r="G68" s="8"/>
      <c r="H68" s="373"/>
      <c r="I68" s="373"/>
      <c r="J68" s="8"/>
      <c r="K68" s="8"/>
      <c r="L68" s="24"/>
      <c r="M68" s="9"/>
      <c r="N68" s="9"/>
      <c r="O68" s="8"/>
      <c r="P68" s="8"/>
      <c r="Q68" s="8"/>
      <c r="R68" s="8"/>
      <c r="S68" s="8"/>
      <c r="T68" s="8"/>
      <c r="U68" s="8"/>
      <c r="V68" s="59"/>
      <c r="W68" s="59"/>
    </row>
    <row r="69" spans="1:23" ht="14.25" customHeight="1">
      <c r="A69" s="471"/>
      <c r="B69" s="471"/>
      <c r="C69" s="471"/>
      <c r="D69" s="471"/>
      <c r="E69" s="471"/>
      <c r="F69" s="471"/>
      <c r="G69" s="8"/>
      <c r="H69" s="373"/>
      <c r="I69" s="373"/>
      <c r="J69" s="8"/>
      <c r="K69" s="8"/>
      <c r="L69" s="24"/>
      <c r="M69" s="9"/>
      <c r="N69" s="9"/>
      <c r="O69" s="8"/>
      <c r="P69" s="8"/>
      <c r="Q69" s="8"/>
      <c r="R69" s="8"/>
      <c r="S69" s="8"/>
      <c r="T69" s="8"/>
      <c r="U69" s="8"/>
      <c r="V69" s="59"/>
      <c r="W69" s="59"/>
    </row>
    <row r="70" spans="1:23" ht="18.75" customHeight="1">
      <c r="A70" s="8"/>
      <c r="B70" s="8"/>
      <c r="C70" s="8"/>
      <c r="D70" s="329"/>
      <c r="E70" s="329"/>
      <c r="F70" s="384"/>
      <c r="G70" s="8"/>
      <c r="H70" s="373"/>
      <c r="I70" s="373"/>
      <c r="J70" s="8"/>
      <c r="K70" s="8"/>
      <c r="L70" s="24"/>
      <c r="M70" s="9"/>
      <c r="N70" s="9"/>
      <c r="O70" s="8"/>
      <c r="P70" s="8"/>
      <c r="Q70" s="8"/>
      <c r="R70" s="8"/>
      <c r="S70" s="8"/>
      <c r="T70" s="8"/>
      <c r="U70" s="8"/>
      <c r="V70" s="59"/>
      <c r="W70" s="59"/>
    </row>
    <row r="71" spans="1:23" ht="19.5" customHeight="1">
      <c r="A71" s="8"/>
      <c r="B71" s="8"/>
      <c r="C71" s="8"/>
      <c r="D71" s="329"/>
      <c r="E71" s="329"/>
      <c r="F71" s="384"/>
      <c r="G71" s="8"/>
      <c r="H71" s="373"/>
      <c r="I71" s="373"/>
      <c r="J71" s="8"/>
      <c r="K71" s="8"/>
      <c r="L71" s="24"/>
      <c r="M71" s="9"/>
      <c r="N71" s="9"/>
      <c r="O71" s="8"/>
      <c r="P71" s="8"/>
      <c r="Q71" s="8"/>
      <c r="R71" s="8"/>
      <c r="S71" s="8"/>
      <c r="T71" s="8"/>
      <c r="U71" s="8"/>
      <c r="V71" s="59"/>
      <c r="W71" s="59"/>
    </row>
    <row r="72" spans="1:23" ht="19.5" customHeight="1">
      <c r="A72" s="8"/>
      <c r="B72" s="8"/>
      <c r="C72" s="8"/>
      <c r="D72" s="329"/>
      <c r="E72" s="329"/>
      <c r="F72" s="384"/>
      <c r="G72" s="8"/>
      <c r="H72" s="373"/>
      <c r="I72" s="373"/>
      <c r="J72" s="8"/>
      <c r="K72" s="8"/>
      <c r="L72" s="24"/>
      <c r="M72" s="9"/>
      <c r="N72" s="9"/>
      <c r="O72" s="8"/>
      <c r="P72" s="8"/>
      <c r="Q72" s="8"/>
      <c r="R72" s="8"/>
      <c r="S72" s="8"/>
      <c r="T72" s="8"/>
      <c r="U72" s="8"/>
    </row>
    <row r="73" spans="1:23" ht="19.5" customHeight="1">
      <c r="A73" s="8"/>
      <c r="B73" s="8"/>
      <c r="C73" s="8"/>
      <c r="D73" s="329"/>
      <c r="E73" s="329"/>
      <c r="F73" s="384"/>
      <c r="G73" s="8"/>
      <c r="H73" s="373"/>
      <c r="I73" s="373"/>
      <c r="J73" s="8"/>
      <c r="K73" s="8"/>
      <c r="L73" s="24"/>
      <c r="M73" s="9"/>
      <c r="N73" s="9"/>
      <c r="O73" s="8"/>
      <c r="P73" s="8"/>
      <c r="Q73" s="8"/>
      <c r="R73" s="8"/>
      <c r="S73" s="8"/>
      <c r="T73" s="8"/>
      <c r="U73" s="8"/>
    </row>
    <row r="74" spans="1:23" ht="15" customHeight="1">
      <c r="A74" s="8"/>
      <c r="B74" s="8"/>
      <c r="C74" s="8"/>
      <c r="D74" s="329"/>
      <c r="E74" s="329"/>
      <c r="F74" s="384"/>
      <c r="G74" s="8"/>
      <c r="H74" s="373"/>
      <c r="I74" s="373"/>
      <c r="J74" s="8"/>
      <c r="K74" s="8"/>
      <c r="L74" s="24"/>
      <c r="M74" s="9"/>
      <c r="N74" s="9"/>
      <c r="O74" s="8"/>
      <c r="P74" s="8"/>
      <c r="Q74" s="8"/>
      <c r="R74" s="8"/>
      <c r="S74" s="8"/>
      <c r="T74" s="8"/>
      <c r="U74" s="8"/>
    </row>
    <row r="75" spans="1:23" ht="15" customHeight="1">
      <c r="A75" s="8"/>
      <c r="B75" s="8"/>
      <c r="C75" s="8"/>
      <c r="D75" s="329"/>
      <c r="E75" s="329"/>
      <c r="F75" s="384"/>
      <c r="G75" s="8"/>
      <c r="H75" s="373"/>
      <c r="I75" s="373"/>
      <c r="J75" s="8"/>
      <c r="K75" s="8"/>
      <c r="L75" s="24"/>
      <c r="M75" s="9"/>
      <c r="N75" s="9"/>
      <c r="O75" s="8"/>
      <c r="P75" s="8"/>
      <c r="Q75" s="8"/>
      <c r="R75" s="8"/>
      <c r="S75" s="8"/>
      <c r="T75" s="8"/>
      <c r="U75" s="8"/>
    </row>
    <row r="76" spans="1:23" ht="15" customHeight="1">
      <c r="A76" s="8"/>
      <c r="B76" s="8"/>
      <c r="C76" s="8"/>
      <c r="D76" s="329"/>
      <c r="E76" s="329"/>
      <c r="F76" s="384"/>
      <c r="G76" s="8"/>
      <c r="H76" s="373"/>
      <c r="I76" s="373"/>
      <c r="J76" s="8"/>
      <c r="K76" s="8"/>
      <c r="L76" s="24"/>
      <c r="M76" s="9"/>
      <c r="N76" s="9"/>
      <c r="O76" s="8"/>
      <c r="P76" s="8"/>
      <c r="Q76" s="8"/>
      <c r="R76" s="8"/>
      <c r="S76" s="8"/>
      <c r="T76" s="8"/>
      <c r="U76" s="8"/>
    </row>
    <row r="77" spans="1:23" ht="15" customHeight="1">
      <c r="A77" s="8"/>
      <c r="B77" s="8"/>
      <c r="C77" s="8"/>
      <c r="D77" s="329"/>
      <c r="E77" s="329"/>
      <c r="F77" s="384"/>
      <c r="G77" s="8"/>
      <c r="H77" s="373"/>
      <c r="I77" s="373"/>
      <c r="J77" s="8"/>
      <c r="K77" s="8"/>
      <c r="L77" s="24"/>
      <c r="M77" s="9"/>
      <c r="N77" s="9"/>
      <c r="O77" s="8"/>
      <c r="P77" s="8"/>
      <c r="Q77" s="8"/>
      <c r="R77" s="8"/>
      <c r="S77" s="8"/>
      <c r="T77" s="8"/>
      <c r="U77" s="8"/>
    </row>
    <row r="78" spans="1:23" ht="15" customHeight="1">
      <c r="A78" s="8"/>
      <c r="B78" s="8"/>
      <c r="C78" s="8"/>
      <c r="D78" s="329"/>
      <c r="E78" s="329"/>
      <c r="F78" s="384"/>
      <c r="G78" s="8"/>
      <c r="H78" s="373"/>
      <c r="I78" s="373"/>
      <c r="J78" s="8"/>
      <c r="K78" s="8"/>
      <c r="L78" s="24"/>
      <c r="M78" s="9"/>
      <c r="N78" s="9"/>
      <c r="O78" s="8"/>
      <c r="P78" s="8"/>
      <c r="Q78" s="8"/>
      <c r="R78" s="8"/>
      <c r="S78" s="8"/>
      <c r="T78" s="8"/>
      <c r="U78" s="8"/>
    </row>
    <row r="79" spans="1:23" ht="15" customHeight="1">
      <c r="A79" s="8"/>
      <c r="B79" s="8"/>
      <c r="C79" s="8"/>
      <c r="D79" s="329"/>
      <c r="E79" s="329"/>
      <c r="F79" s="384"/>
      <c r="G79" s="8"/>
      <c r="H79" s="373"/>
      <c r="I79" s="373"/>
      <c r="J79" s="8"/>
      <c r="K79" s="8"/>
      <c r="L79" s="24"/>
      <c r="M79" s="9"/>
      <c r="N79" s="9"/>
      <c r="O79" s="8"/>
      <c r="P79" s="8"/>
      <c r="Q79" s="8"/>
      <c r="R79" s="8"/>
      <c r="S79" s="8"/>
      <c r="T79" s="8"/>
      <c r="U79" s="8"/>
    </row>
    <row r="80" spans="1:23" ht="15" customHeight="1">
      <c r="A80" s="8"/>
      <c r="B80" s="8"/>
      <c r="C80" s="8"/>
      <c r="D80" s="329"/>
      <c r="E80" s="329"/>
      <c r="F80" s="384"/>
      <c r="G80" s="8"/>
      <c r="H80" s="373"/>
      <c r="I80" s="373"/>
      <c r="J80" s="8"/>
      <c r="K80" s="8"/>
      <c r="L80" s="24"/>
      <c r="M80" s="9"/>
      <c r="N80" s="9"/>
      <c r="O80" s="8"/>
      <c r="P80" s="8"/>
      <c r="Q80" s="8"/>
      <c r="R80" s="8"/>
      <c r="S80" s="8"/>
      <c r="T80" s="8"/>
      <c r="U80" s="8"/>
    </row>
    <row r="81" spans="1:21" ht="15" customHeight="1">
      <c r="A81" s="8"/>
      <c r="B81" s="8"/>
      <c r="C81" s="8"/>
      <c r="D81" s="329"/>
      <c r="E81" s="329"/>
      <c r="F81" s="384"/>
      <c r="G81" s="8"/>
      <c r="H81" s="373"/>
      <c r="I81" s="373"/>
      <c r="J81" s="8"/>
      <c r="K81" s="8"/>
      <c r="L81" s="24"/>
      <c r="M81" s="9"/>
      <c r="N81" s="9"/>
      <c r="O81" s="8"/>
      <c r="P81" s="8"/>
      <c r="Q81" s="8"/>
      <c r="R81" s="8"/>
      <c r="S81" s="8"/>
      <c r="T81" s="8"/>
      <c r="U81" s="8"/>
    </row>
    <row r="82" spans="1:21" ht="15" customHeight="1">
      <c r="A82" s="8"/>
      <c r="B82" s="8"/>
      <c r="C82" s="8"/>
      <c r="D82" s="329"/>
      <c r="E82" s="329"/>
      <c r="F82" s="384"/>
      <c r="G82" s="8"/>
      <c r="H82" s="373"/>
      <c r="I82" s="373"/>
      <c r="J82" s="8"/>
      <c r="K82" s="8"/>
      <c r="L82" s="24"/>
      <c r="M82" s="9"/>
      <c r="N82" s="9"/>
      <c r="O82" s="8"/>
      <c r="P82" s="8"/>
      <c r="Q82" s="8"/>
      <c r="R82" s="8"/>
      <c r="S82" s="8"/>
      <c r="T82" s="8"/>
      <c r="U82" s="8"/>
    </row>
    <row r="83" spans="1:21" ht="15" customHeight="1">
      <c r="A83" s="8"/>
      <c r="B83" s="8"/>
      <c r="C83" s="8"/>
      <c r="D83" s="329"/>
      <c r="E83" s="329"/>
      <c r="F83" s="384"/>
      <c r="G83" s="8"/>
      <c r="H83" s="373"/>
      <c r="I83" s="373"/>
      <c r="J83" s="8"/>
      <c r="K83" s="8"/>
      <c r="L83" s="24"/>
      <c r="M83" s="9"/>
      <c r="N83" s="9"/>
      <c r="O83" s="8"/>
      <c r="P83" s="8"/>
      <c r="Q83" s="8"/>
      <c r="R83" s="8"/>
      <c r="S83" s="8"/>
      <c r="T83" s="8"/>
      <c r="U83" s="8"/>
    </row>
  </sheetData>
  <mergeCells count="38">
    <mergeCell ref="A69:F69"/>
    <mergeCell ref="A3:A32"/>
    <mergeCell ref="B4:B32"/>
    <mergeCell ref="O1:O2"/>
    <mergeCell ref="A44:L45"/>
    <mergeCell ref="A39:B42"/>
    <mergeCell ref="A33:B38"/>
    <mergeCell ref="A64:G64"/>
    <mergeCell ref="A65:G65"/>
    <mergeCell ref="A66:F66"/>
    <mergeCell ref="A67:F67"/>
    <mergeCell ref="A68:F68"/>
    <mergeCell ref="A59:G59"/>
    <mergeCell ref="A60:G60"/>
    <mergeCell ref="A61:G61"/>
    <mergeCell ref="A62:G62"/>
    <mergeCell ref="A63:G63"/>
    <mergeCell ref="A54:G54"/>
    <mergeCell ref="A55:G55"/>
    <mergeCell ref="A56:G56"/>
    <mergeCell ref="A57:G57"/>
    <mergeCell ref="A58:G58"/>
    <mergeCell ref="A50:G50"/>
    <mergeCell ref="H50:K50"/>
    <mergeCell ref="A51:G51"/>
    <mergeCell ref="A52:G52"/>
    <mergeCell ref="A53:G53"/>
    <mergeCell ref="A47:G47"/>
    <mergeCell ref="H47:K47"/>
    <mergeCell ref="A48:G48"/>
    <mergeCell ref="H48:K48"/>
    <mergeCell ref="A49:G49"/>
    <mergeCell ref="H49:K49"/>
    <mergeCell ref="A1:L1"/>
    <mergeCell ref="Q1:T1"/>
    <mergeCell ref="A2:C2"/>
    <mergeCell ref="A43:C43"/>
    <mergeCell ref="A46:G46"/>
  </mergeCells>
  <pageMargins left="0.7" right="0.7" top="0.75" bottom="0.75" header="0.3" footer="0.3"/>
  <pageSetup paperSize="8" scale="8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>
      <selection activeCell="H9" sqref="H9"/>
    </sheetView>
  </sheetViews>
  <sheetFormatPr defaultColWidth="9.140625" defaultRowHeight="12.75"/>
  <cols>
    <col min="1" max="1" width="21.28515625" style="157" customWidth="1"/>
    <col min="2" max="2" width="14.42578125" style="157" customWidth="1"/>
    <col min="3" max="3" width="13.42578125" style="157" customWidth="1"/>
    <col min="4" max="4" width="12" style="157" customWidth="1"/>
    <col min="5" max="5" width="9.28515625" style="157" customWidth="1"/>
    <col min="6" max="6" width="10.7109375" style="157" customWidth="1"/>
    <col min="7" max="7" width="8.140625" style="156" customWidth="1"/>
    <col min="8" max="9" width="9.140625" style="157"/>
    <col min="10" max="10" width="6.28515625" style="157" customWidth="1"/>
    <col min="11" max="11" width="4.140625" style="157" customWidth="1"/>
    <col min="12" max="12" width="6.28515625" style="157" customWidth="1"/>
    <col min="13" max="13" width="5.28515625" style="157" customWidth="1"/>
    <col min="14" max="14" width="4.7109375" style="157" customWidth="1"/>
    <col min="15" max="16384" width="9.140625" style="157"/>
  </cols>
  <sheetData>
    <row r="1" spans="1:14" ht="22.5" customHeight="1">
      <c r="A1" s="504" t="s">
        <v>109</v>
      </c>
      <c r="B1" s="505"/>
      <c r="C1" s="505"/>
      <c r="D1" s="505"/>
      <c r="E1" s="505"/>
      <c r="F1" s="506"/>
      <c r="G1" s="163"/>
    </row>
    <row r="2" spans="1:14" ht="44.25" customHeight="1">
      <c r="A2" s="301" t="s">
        <v>110</v>
      </c>
      <c r="B2" s="302" t="s">
        <v>111</v>
      </c>
      <c r="C2" s="224" t="s">
        <v>112</v>
      </c>
      <c r="D2" s="303" t="s">
        <v>113</v>
      </c>
      <c r="E2" s="303" t="s">
        <v>114</v>
      </c>
      <c r="F2" s="301" t="s">
        <v>115</v>
      </c>
      <c r="G2" s="163"/>
    </row>
    <row r="3" spans="1:14" ht="22.5" customHeight="1">
      <c r="A3" s="304" t="s">
        <v>116</v>
      </c>
      <c r="B3" s="305">
        <v>0</v>
      </c>
      <c r="C3" s="240">
        <v>0</v>
      </c>
      <c r="D3" s="193">
        <f t="shared" ref="D3:D4" si="0">B3*C3</f>
        <v>0</v>
      </c>
      <c r="E3" s="194" t="e">
        <f>D3/D5</f>
        <v>#DIV/0!</v>
      </c>
      <c r="F3" s="443" t="s">
        <v>117</v>
      </c>
    </row>
    <row r="4" spans="1:14" ht="22.5" customHeight="1">
      <c r="A4" s="306" t="s">
        <v>118</v>
      </c>
      <c r="B4" s="307">
        <v>0</v>
      </c>
      <c r="C4" s="240">
        <v>0</v>
      </c>
      <c r="D4" s="193">
        <f t="shared" si="0"/>
        <v>0</v>
      </c>
      <c r="E4" s="194" t="e">
        <f>D4/D5</f>
        <v>#DIV/0!</v>
      </c>
      <c r="F4" s="443" t="s">
        <v>119</v>
      </c>
    </row>
    <row r="5" spans="1:14" ht="22.5" customHeight="1">
      <c r="A5" s="308" t="s">
        <v>90</v>
      </c>
      <c r="B5" s="308"/>
      <c r="C5" s="309">
        <f>SUM(C3:C4)</f>
        <v>0</v>
      </c>
      <c r="D5" s="310">
        <f>SUM(D3:D4)</f>
        <v>0</v>
      </c>
      <c r="E5" s="311" t="e">
        <f>SUM(E3:E4)</f>
        <v>#DIV/0!</v>
      </c>
      <c r="F5" s="312"/>
    </row>
    <row r="6" spans="1:14" ht="22.5" customHeight="1">
      <c r="A6" s="507" t="s">
        <v>120</v>
      </c>
      <c r="B6" s="507"/>
      <c r="C6" s="507"/>
      <c r="D6" s="508" t="e">
        <f>'ĐẦU VÀO'!#REF!</f>
        <v>#REF!</v>
      </c>
      <c r="E6" s="508"/>
      <c r="F6" s="508"/>
    </row>
    <row r="7" spans="1:14" ht="22.5" customHeight="1">
      <c r="A7" s="509" t="s">
        <v>121</v>
      </c>
      <c r="B7" s="510"/>
      <c r="C7" s="511"/>
      <c r="D7" s="512" t="e">
        <f>D5/D6</f>
        <v>#REF!</v>
      </c>
      <c r="E7" s="512"/>
      <c r="F7" s="512"/>
    </row>
    <row r="9" spans="1:14" ht="30" customHeight="1">
      <c r="C9" s="157" t="s">
        <v>122</v>
      </c>
      <c r="J9" s="513"/>
      <c r="K9" s="513"/>
      <c r="L9" s="513"/>
      <c r="M9" s="513"/>
      <c r="N9" s="513"/>
    </row>
    <row r="10" spans="1:14" ht="43.5" customHeight="1">
      <c r="A10" s="162"/>
      <c r="B10" s="162"/>
      <c r="C10" s="162"/>
      <c r="D10" s="162"/>
      <c r="E10" s="162"/>
      <c r="F10" s="162"/>
      <c r="G10" s="162"/>
      <c r="J10" s="162"/>
      <c r="K10" s="162"/>
      <c r="L10" s="162"/>
      <c r="M10" s="162"/>
      <c r="N10" s="162"/>
    </row>
    <row r="11" spans="1:14" ht="33.75" customHeight="1">
      <c r="A11" s="162"/>
      <c r="B11" s="162"/>
      <c r="C11" s="162"/>
      <c r="D11" s="162"/>
      <c r="E11" s="162"/>
      <c r="F11" s="162"/>
      <c r="G11" s="162"/>
      <c r="J11" s="178"/>
      <c r="L11" s="178"/>
      <c r="M11" s="178"/>
      <c r="N11" s="178"/>
    </row>
    <row r="12" spans="1:14" ht="21" customHeight="1">
      <c r="A12" s="162"/>
      <c r="B12" s="162"/>
      <c r="C12" s="162"/>
      <c r="D12" s="162"/>
      <c r="E12" s="162"/>
      <c r="F12" s="162"/>
      <c r="G12" s="162"/>
    </row>
    <row r="13" spans="1:14" ht="37.5" customHeight="1">
      <c r="A13" s="162"/>
      <c r="B13" s="162"/>
      <c r="C13" s="162"/>
      <c r="D13" s="162"/>
      <c r="E13" s="162"/>
      <c r="F13" s="162"/>
      <c r="G13" s="162"/>
      <c r="J13" s="178"/>
      <c r="K13" s="178"/>
      <c r="L13" s="178"/>
      <c r="M13" s="178"/>
      <c r="N13" s="178"/>
    </row>
    <row r="14" spans="1:14" ht="21" customHeight="1">
      <c r="A14" s="162"/>
      <c r="B14" s="162"/>
      <c r="C14" s="162"/>
      <c r="D14" s="162"/>
      <c r="E14" s="162"/>
      <c r="F14" s="162"/>
      <c r="G14" s="162"/>
    </row>
    <row r="15" spans="1:14" ht="37.5" customHeight="1">
      <c r="A15" s="162"/>
      <c r="B15" s="162"/>
      <c r="C15" s="162"/>
      <c r="D15" s="162"/>
      <c r="E15" s="162"/>
      <c r="F15" s="162"/>
      <c r="G15" s="162"/>
    </row>
    <row r="16" spans="1:14" ht="20.25" customHeight="1">
      <c r="A16" s="162"/>
      <c r="B16" s="162"/>
      <c r="C16" s="162"/>
      <c r="D16" s="162"/>
      <c r="E16" s="162"/>
      <c r="F16" s="162"/>
      <c r="G16" s="162"/>
    </row>
    <row r="17" spans="1:7" ht="22.5" customHeight="1">
      <c r="A17" s="162"/>
      <c r="B17" s="162"/>
      <c r="C17" s="162"/>
      <c r="D17" s="162"/>
      <c r="E17" s="162"/>
      <c r="F17" s="162"/>
      <c r="G17" s="162"/>
    </row>
    <row r="18" spans="1:7" ht="22.5" customHeight="1">
      <c r="A18" s="162"/>
      <c r="B18" s="162"/>
      <c r="C18" s="162"/>
      <c r="D18" s="162"/>
      <c r="E18" s="162"/>
      <c r="F18" s="162"/>
      <c r="G18" s="162"/>
    </row>
    <row r="19" spans="1:7" ht="22.5" customHeight="1">
      <c r="A19" s="162"/>
      <c r="B19" s="162"/>
      <c r="C19" s="162"/>
      <c r="D19" s="162"/>
      <c r="E19" s="162"/>
      <c r="F19" s="162"/>
      <c r="G19" s="162"/>
    </row>
    <row r="20" spans="1:7" ht="17.25" customHeight="1">
      <c r="A20" s="179"/>
      <c r="B20" s="179"/>
      <c r="C20" s="179"/>
      <c r="D20" s="179"/>
      <c r="E20" s="179"/>
      <c r="F20" s="179"/>
    </row>
    <row r="21" spans="1:7" ht="21.75" customHeight="1">
      <c r="A21" s="179"/>
      <c r="B21" s="179"/>
      <c r="C21" s="179"/>
      <c r="D21" s="179"/>
      <c r="E21" s="179"/>
      <c r="F21" s="179"/>
    </row>
    <row r="22" spans="1:7" ht="22.5" customHeight="1">
      <c r="A22" s="179"/>
      <c r="B22" s="179"/>
      <c r="C22" s="179"/>
      <c r="D22" s="179"/>
      <c r="E22" s="179"/>
      <c r="F22" s="179"/>
    </row>
    <row r="23" spans="1:7" ht="22.5" customHeight="1">
      <c r="A23" s="179"/>
      <c r="B23" s="179"/>
      <c r="C23" s="179"/>
      <c r="D23" s="179"/>
      <c r="E23" s="179"/>
      <c r="F23" s="179"/>
    </row>
    <row r="24" spans="1:7" ht="22.5" customHeight="1">
      <c r="A24" s="179"/>
      <c r="B24" s="179"/>
      <c r="C24" s="179"/>
      <c r="D24" s="179"/>
      <c r="E24" s="179"/>
      <c r="F24" s="179"/>
    </row>
    <row r="25" spans="1:7" ht="22.5" customHeight="1">
      <c r="A25" s="179"/>
      <c r="B25" s="179"/>
      <c r="C25" s="179"/>
      <c r="D25" s="179"/>
      <c r="E25" s="179"/>
      <c r="F25" s="179"/>
    </row>
    <row r="26" spans="1:7" ht="22.5" customHeight="1">
      <c r="A26" s="179"/>
      <c r="B26" s="179"/>
      <c r="C26" s="179"/>
      <c r="D26" s="179"/>
      <c r="E26" s="179"/>
      <c r="F26" s="179"/>
    </row>
    <row r="27" spans="1:7" ht="22.5" customHeight="1">
      <c r="A27" s="179"/>
      <c r="B27" s="179"/>
      <c r="C27" s="179"/>
      <c r="D27" s="179"/>
      <c r="E27" s="179"/>
      <c r="F27" s="179"/>
    </row>
    <row r="28" spans="1:7" ht="22.5" customHeight="1">
      <c r="A28" s="179"/>
      <c r="B28" s="179"/>
      <c r="C28" s="179"/>
      <c r="D28" s="179"/>
      <c r="E28" s="179"/>
      <c r="F28" s="179"/>
    </row>
    <row r="29" spans="1:7" ht="22.5" customHeight="1">
      <c r="A29" s="179"/>
      <c r="B29" s="179"/>
      <c r="C29" s="179"/>
      <c r="D29" s="179"/>
      <c r="E29" s="179"/>
      <c r="F29" s="179"/>
    </row>
    <row r="30" spans="1:7" ht="22.5" customHeight="1">
      <c r="A30" s="179"/>
      <c r="B30" s="179"/>
      <c r="C30" s="179"/>
      <c r="D30" s="179"/>
      <c r="E30" s="179"/>
      <c r="F30" s="179"/>
    </row>
    <row r="31" spans="1:7" ht="22.5" customHeight="1">
      <c r="A31" s="179"/>
      <c r="B31" s="179"/>
      <c r="C31" s="179"/>
      <c r="D31" s="179"/>
      <c r="E31" s="179"/>
      <c r="F31" s="179"/>
    </row>
    <row r="32" spans="1:7" ht="22.5" customHeight="1">
      <c r="A32" s="179"/>
      <c r="B32" s="179"/>
      <c r="C32" s="179"/>
      <c r="D32" s="179"/>
      <c r="E32" s="179"/>
      <c r="F32" s="179"/>
    </row>
    <row r="33" spans="1:6" ht="45" customHeight="1">
      <c r="A33" s="179"/>
      <c r="B33" s="179"/>
      <c r="C33" s="179"/>
      <c r="D33" s="179"/>
      <c r="E33" s="179"/>
      <c r="F33" s="179"/>
    </row>
    <row r="34" spans="1:6" ht="22.5" customHeight="1">
      <c r="A34" s="179"/>
      <c r="B34" s="179"/>
      <c r="C34" s="179"/>
      <c r="D34" s="179"/>
      <c r="E34" s="179"/>
      <c r="F34" s="179"/>
    </row>
    <row r="35" spans="1:6" ht="22.5" customHeight="1">
      <c r="A35" s="179"/>
      <c r="B35" s="179"/>
      <c r="C35" s="179"/>
      <c r="D35" s="179"/>
      <c r="E35" s="179"/>
      <c r="F35" s="179"/>
    </row>
    <row r="36" spans="1:6" ht="22.5" customHeight="1">
      <c r="A36" s="179"/>
      <c r="B36" s="179"/>
      <c r="C36" s="179"/>
      <c r="D36" s="179"/>
      <c r="E36" s="179"/>
      <c r="F36" s="179"/>
    </row>
    <row r="37" spans="1:6" ht="22.5" customHeight="1">
      <c r="A37" s="179"/>
      <c r="B37" s="179"/>
      <c r="C37" s="179"/>
      <c r="D37" s="179"/>
      <c r="E37" s="179"/>
      <c r="F37" s="179"/>
    </row>
    <row r="38" spans="1:6" ht="22.5" customHeight="1">
      <c r="A38" s="179"/>
      <c r="B38" s="179"/>
      <c r="C38" s="179"/>
      <c r="D38" s="179"/>
      <c r="E38" s="179"/>
      <c r="F38" s="179"/>
    </row>
    <row r="39" spans="1:6" ht="22.5" customHeight="1">
      <c r="A39" s="179"/>
      <c r="B39" s="179"/>
      <c r="C39" s="179"/>
      <c r="D39" s="179"/>
      <c r="E39" s="179"/>
      <c r="F39" s="179"/>
    </row>
    <row r="40" spans="1:6" ht="22.5" customHeight="1">
      <c r="A40" s="179"/>
      <c r="B40" s="179"/>
      <c r="C40" s="179"/>
      <c r="D40" s="179"/>
      <c r="E40" s="179"/>
      <c r="F40" s="179"/>
    </row>
    <row r="41" spans="1:6">
      <c r="A41" s="179"/>
      <c r="B41" s="179"/>
      <c r="C41" s="179"/>
      <c r="D41" s="179"/>
      <c r="E41" s="179"/>
      <c r="F41" s="179"/>
    </row>
    <row r="42" spans="1:6">
      <c r="A42" s="179"/>
      <c r="B42" s="179"/>
      <c r="C42" s="179"/>
      <c r="D42" s="179"/>
      <c r="E42" s="179"/>
      <c r="F42" s="179"/>
    </row>
    <row r="43" spans="1:6">
      <c r="A43" s="179"/>
      <c r="B43" s="179"/>
      <c r="C43" s="179"/>
      <c r="D43" s="179"/>
      <c r="E43" s="179"/>
      <c r="F43" s="179"/>
    </row>
  </sheetData>
  <mergeCells count="6">
    <mergeCell ref="J9:N9"/>
    <mergeCell ref="A1:F1"/>
    <mergeCell ref="A6:C6"/>
    <mergeCell ref="D6:F6"/>
    <mergeCell ref="A7:C7"/>
    <mergeCell ref="D7:F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"/>
  <sheetViews>
    <sheetView zoomScale="85" zoomScaleNormal="85" workbookViewId="0">
      <selection activeCell="D6" sqref="D6"/>
    </sheetView>
  </sheetViews>
  <sheetFormatPr defaultColWidth="9" defaultRowHeight="15"/>
  <cols>
    <col min="1" max="4" width="17.42578125" customWidth="1"/>
    <col min="5" max="5" width="13.5703125" customWidth="1"/>
    <col min="6" max="6" width="13.28515625" customWidth="1"/>
    <col min="7" max="7" width="13.7109375" customWidth="1"/>
    <col min="8" max="8" width="11.5703125" customWidth="1"/>
    <col min="9" max="9" width="13.28515625" customWidth="1"/>
    <col min="10" max="10" width="13.5703125" customWidth="1"/>
    <col min="11" max="11" width="13.7109375" customWidth="1"/>
    <col min="12" max="12" width="14" customWidth="1"/>
    <col min="13" max="13" width="13.28515625" customWidth="1"/>
    <col min="15" max="15" width="31.7109375" customWidth="1"/>
    <col min="16" max="16" width="18" customWidth="1"/>
  </cols>
  <sheetData>
    <row r="1" spans="1:13" ht="15.75" customHeight="1">
      <c r="A1" s="514" t="s">
        <v>123</v>
      </c>
      <c r="B1" s="515"/>
      <c r="C1" s="515"/>
      <c r="D1" s="515"/>
      <c r="E1" s="516"/>
      <c r="F1" s="516"/>
      <c r="G1" s="516"/>
      <c r="H1" s="516"/>
      <c r="I1" s="516"/>
      <c r="J1" s="516"/>
      <c r="K1" s="516"/>
      <c r="L1" s="516"/>
      <c r="M1" s="517"/>
    </row>
    <row r="2" spans="1:13" ht="15.75" customHeight="1">
      <c r="A2" s="557" t="s">
        <v>124</v>
      </c>
      <c r="B2" s="560" t="s">
        <v>125</v>
      </c>
      <c r="C2" s="560" t="s">
        <v>126</v>
      </c>
      <c r="D2" s="563" t="s">
        <v>127</v>
      </c>
      <c r="E2" s="518" t="s">
        <v>128</v>
      </c>
      <c r="F2" s="519"/>
      <c r="G2" s="519"/>
      <c r="H2" s="519"/>
      <c r="I2" s="519"/>
      <c r="J2" s="519"/>
      <c r="K2" s="519"/>
      <c r="L2" s="519"/>
      <c r="M2" s="566" t="s">
        <v>129</v>
      </c>
    </row>
    <row r="3" spans="1:13" ht="33" customHeight="1">
      <c r="A3" s="558"/>
      <c r="B3" s="561"/>
      <c r="C3" s="561"/>
      <c r="D3" s="564"/>
      <c r="E3" s="520" t="s">
        <v>130</v>
      </c>
      <c r="F3" s="521"/>
      <c r="G3" s="521"/>
      <c r="H3" s="521"/>
      <c r="I3" s="522" t="s">
        <v>131</v>
      </c>
      <c r="J3" s="522"/>
      <c r="K3" s="522"/>
      <c r="L3" s="522"/>
      <c r="M3" s="567"/>
    </row>
    <row r="4" spans="1:13" ht="27.95" customHeight="1">
      <c r="A4" s="559"/>
      <c r="B4" s="562"/>
      <c r="C4" s="562"/>
      <c r="D4" s="565"/>
      <c r="E4" s="254" t="s">
        <v>84</v>
      </c>
      <c r="F4" s="255" t="s">
        <v>87</v>
      </c>
      <c r="G4" s="255" t="s">
        <v>88</v>
      </c>
      <c r="H4" s="255" t="s">
        <v>89</v>
      </c>
      <c r="I4" s="255" t="s">
        <v>84</v>
      </c>
      <c r="J4" s="255" t="s">
        <v>87</v>
      </c>
      <c r="K4" s="255" t="s">
        <v>88</v>
      </c>
      <c r="L4" s="255" t="s">
        <v>89</v>
      </c>
      <c r="M4" s="568"/>
    </row>
    <row r="5" spans="1:13" ht="15.75" customHeight="1">
      <c r="A5" s="256" t="s">
        <v>132</v>
      </c>
      <c r="B5" s="257">
        <f>NHA_NOXH!P25</f>
        <v>49940.5</v>
      </c>
      <c r="C5" s="258">
        <v>17</v>
      </c>
      <c r="D5" s="230">
        <f>B5*C5/100</f>
        <v>8489.8850000000002</v>
      </c>
      <c r="E5" s="259">
        <v>3600</v>
      </c>
      <c r="F5" s="260">
        <f>E5</f>
        <v>3600</v>
      </c>
      <c r="G5" s="260">
        <f>E5</f>
        <v>3600</v>
      </c>
      <c r="H5" s="260">
        <f>E5</f>
        <v>3600</v>
      </c>
      <c r="I5" s="260">
        <f>E5*0.85</f>
        <v>3060</v>
      </c>
      <c r="J5" s="260">
        <f>I5</f>
        <v>3060</v>
      </c>
      <c r="K5" s="260">
        <f>I5</f>
        <v>3060</v>
      </c>
      <c r="L5" s="260">
        <f>I5</f>
        <v>3060</v>
      </c>
      <c r="M5" s="261">
        <v>50</v>
      </c>
    </row>
    <row r="6" spans="1:13" ht="15.75" customHeight="1">
      <c r="A6" s="262" t="s">
        <v>15</v>
      </c>
      <c r="B6" s="263"/>
      <c r="C6" s="264"/>
      <c r="D6" s="265">
        <f>D5</f>
        <v>8489.8850000000002</v>
      </c>
      <c r="E6" s="523">
        <f>E5+F5+G5+H5</f>
        <v>14400</v>
      </c>
      <c r="F6" s="524"/>
      <c r="G6" s="524"/>
      <c r="H6" s="524"/>
      <c r="I6" s="524">
        <f>I5+J5+K5+L5</f>
        <v>12240</v>
      </c>
      <c r="J6" s="524"/>
      <c r="K6" s="524"/>
      <c r="L6" s="524"/>
      <c r="M6" s="266"/>
    </row>
    <row r="7" spans="1:13" ht="15.75" customHeight="1">
      <c r="M7" s="267"/>
    </row>
    <row r="8" spans="1:13" ht="15.75" customHeight="1">
      <c r="G8" s="8"/>
      <c r="H8" s="8"/>
      <c r="I8" s="8"/>
      <c r="J8" s="8"/>
      <c r="K8" s="8"/>
      <c r="L8" s="8"/>
    </row>
    <row r="9" spans="1:13" ht="15.75" customHeight="1">
      <c r="A9" s="525" t="s">
        <v>133</v>
      </c>
      <c r="B9" s="526"/>
      <c r="C9" s="527"/>
      <c r="D9" s="268" t="s">
        <v>18</v>
      </c>
      <c r="E9" s="269" t="s">
        <v>134</v>
      </c>
      <c r="F9" s="270" t="s">
        <v>135</v>
      </c>
      <c r="G9" s="271" t="s">
        <v>136</v>
      </c>
      <c r="H9" s="272"/>
      <c r="I9" s="272"/>
      <c r="J9" s="272"/>
      <c r="K9" s="528" t="s">
        <v>137</v>
      </c>
      <c r="L9" s="528"/>
      <c r="M9" s="528"/>
    </row>
    <row r="10" spans="1:13" ht="15.75" customHeight="1">
      <c r="A10" s="529" t="s">
        <v>138</v>
      </c>
      <c r="B10" s="530"/>
      <c r="C10" s="531"/>
      <c r="D10" s="532">
        <f>NHA_NOXH!F43+15</f>
        <v>435</v>
      </c>
      <c r="E10" s="533"/>
      <c r="F10" s="534"/>
      <c r="G10" s="273"/>
      <c r="H10" s="9"/>
      <c r="I10" s="9"/>
      <c r="K10" s="528"/>
      <c r="L10" s="528"/>
      <c r="M10" s="528"/>
    </row>
    <row r="11" spans="1:13" ht="15.75" customHeight="1">
      <c r="A11" s="535" t="s">
        <v>139</v>
      </c>
      <c r="B11" s="536"/>
      <c r="C11" s="537"/>
      <c r="D11" s="274">
        <v>6</v>
      </c>
      <c r="E11" s="275">
        <f>D10*D11</f>
        <v>2610</v>
      </c>
      <c r="F11" s="276">
        <f>D10*D11</f>
        <v>2610</v>
      </c>
      <c r="G11" s="277"/>
      <c r="H11" s="9"/>
      <c r="I11" s="9"/>
      <c r="J11" s="9"/>
      <c r="K11" s="528" t="s">
        <v>140</v>
      </c>
      <c r="L11" s="528"/>
      <c r="M11" s="528"/>
    </row>
    <row r="12" spans="1:13" ht="15.75" customHeight="1">
      <c r="A12" s="535" t="s">
        <v>141</v>
      </c>
      <c r="B12" s="536"/>
      <c r="C12" s="537"/>
      <c r="D12" s="274">
        <v>3</v>
      </c>
      <c r="E12" s="275">
        <f>E11/D12</f>
        <v>870</v>
      </c>
      <c r="F12" s="278">
        <f>F11/D12</f>
        <v>870</v>
      </c>
      <c r="G12" s="277"/>
      <c r="H12" s="9"/>
      <c r="I12" s="9"/>
      <c r="J12" s="9"/>
      <c r="K12" s="528" t="s">
        <v>142</v>
      </c>
      <c r="L12" s="528"/>
      <c r="M12" s="528"/>
    </row>
    <row r="13" spans="1:13" ht="15.75" customHeight="1">
      <c r="A13" s="538" t="s">
        <v>143</v>
      </c>
      <c r="B13" s="539"/>
      <c r="C13" s="540"/>
      <c r="D13" s="279"/>
      <c r="E13" s="279"/>
      <c r="F13" s="280"/>
      <c r="G13" s="277"/>
      <c r="H13" s="9"/>
      <c r="I13" s="9"/>
      <c r="J13" s="9"/>
      <c r="K13" s="528"/>
      <c r="L13" s="528"/>
      <c r="M13" s="528"/>
    </row>
    <row r="14" spans="1:13" ht="15.75" customHeight="1">
      <c r="A14" s="541" t="s">
        <v>144</v>
      </c>
      <c r="B14" s="542"/>
      <c r="C14" s="543"/>
      <c r="D14" s="281">
        <v>3</v>
      </c>
      <c r="E14" s="279"/>
      <c r="F14" s="280"/>
      <c r="G14" s="277"/>
      <c r="H14" s="9"/>
      <c r="I14" s="9"/>
      <c r="J14" s="9"/>
      <c r="K14" s="528"/>
      <c r="L14" s="528"/>
      <c r="M14" s="528"/>
    </row>
    <row r="15" spans="1:13">
      <c r="A15" s="538" t="s">
        <v>145</v>
      </c>
      <c r="B15" s="539"/>
      <c r="C15" s="540"/>
      <c r="D15" s="279"/>
      <c r="E15" s="279"/>
      <c r="F15" s="282"/>
      <c r="G15" s="277"/>
      <c r="H15" s="9"/>
      <c r="I15" s="9"/>
      <c r="J15" s="9"/>
      <c r="K15" s="528"/>
      <c r="L15" s="528"/>
      <c r="M15" s="528"/>
    </row>
    <row r="16" spans="1:13">
      <c r="A16" s="541" t="s">
        <v>146</v>
      </c>
      <c r="B16" s="542"/>
      <c r="C16" s="543"/>
      <c r="D16" s="283">
        <v>3</v>
      </c>
      <c r="E16" s="284"/>
      <c r="F16" s="285"/>
      <c r="G16" s="277"/>
      <c r="H16" s="9"/>
      <c r="I16" s="9"/>
      <c r="J16" s="9"/>
      <c r="K16" s="528"/>
      <c r="L16" s="528"/>
      <c r="M16" s="528"/>
    </row>
    <row r="17" spans="1:13">
      <c r="A17" s="544" t="s">
        <v>147</v>
      </c>
      <c r="B17" s="545"/>
      <c r="C17" s="546"/>
      <c r="D17" s="286">
        <v>0.3</v>
      </c>
      <c r="E17" s="287">
        <f>E12*D17</f>
        <v>261</v>
      </c>
      <c r="F17" s="287">
        <f>F11*D17</f>
        <v>783</v>
      </c>
      <c r="G17" s="288"/>
      <c r="H17" s="9"/>
      <c r="I17" s="9"/>
      <c r="J17" s="9"/>
      <c r="K17" s="528" t="s">
        <v>148</v>
      </c>
      <c r="L17" s="528"/>
      <c r="M17" s="528"/>
    </row>
    <row r="18" spans="1:13">
      <c r="A18" s="289"/>
      <c r="B18" s="289"/>
      <c r="C18" s="289"/>
      <c r="E18" s="10"/>
      <c r="F18" s="290"/>
      <c r="G18" s="9"/>
      <c r="H18" s="9"/>
      <c r="I18" s="9"/>
      <c r="J18" s="9"/>
      <c r="K18" s="24"/>
      <c r="L18" s="24"/>
      <c r="M18" s="122"/>
    </row>
    <row r="19" spans="1:13">
      <c r="K19" s="122"/>
      <c r="L19" s="122"/>
      <c r="M19" s="122"/>
    </row>
    <row r="20" spans="1:13">
      <c r="A20" s="525" t="s">
        <v>149</v>
      </c>
      <c r="B20" s="526"/>
      <c r="C20" s="527"/>
      <c r="D20" s="268" t="s">
        <v>18</v>
      </c>
      <c r="E20" s="269" t="s">
        <v>134</v>
      </c>
      <c r="F20" s="270" t="s">
        <v>135</v>
      </c>
      <c r="G20" s="271" t="s">
        <v>136</v>
      </c>
      <c r="H20" s="272"/>
      <c r="I20" s="272"/>
      <c r="J20" s="272"/>
      <c r="K20" s="528" t="s">
        <v>137</v>
      </c>
      <c r="L20" s="528"/>
      <c r="M20" s="528"/>
    </row>
    <row r="21" spans="1:13">
      <c r="A21" s="547" t="s">
        <v>150</v>
      </c>
      <c r="B21" s="548"/>
      <c r="C21" s="549"/>
      <c r="D21" s="291"/>
      <c r="E21" s="292">
        <f>D6</f>
        <v>8489.8850000000002</v>
      </c>
      <c r="F21" s="293">
        <f>I6</f>
        <v>12240</v>
      </c>
      <c r="G21" s="273"/>
      <c r="H21" s="9"/>
      <c r="I21" s="9"/>
      <c r="J21" s="9"/>
      <c r="K21" s="528"/>
      <c r="L21" s="528"/>
      <c r="M21" s="528"/>
    </row>
    <row r="22" spans="1:13">
      <c r="A22" s="535" t="s">
        <v>151</v>
      </c>
      <c r="B22" s="536"/>
      <c r="C22" s="537"/>
      <c r="D22" s="279"/>
      <c r="E22" s="294">
        <f>E21-E11</f>
        <v>5879.8850000000002</v>
      </c>
      <c r="F22" s="278">
        <f>F21-F11</f>
        <v>9630</v>
      </c>
      <c r="G22" s="277"/>
      <c r="H22" s="9"/>
      <c r="I22" s="9"/>
      <c r="J22" s="9"/>
      <c r="K22" s="528"/>
      <c r="L22" s="528"/>
      <c r="M22" s="528"/>
    </row>
    <row r="23" spans="1:13">
      <c r="A23" s="550" t="s">
        <v>152</v>
      </c>
      <c r="B23" s="551"/>
      <c r="C23" s="551"/>
      <c r="D23" s="281">
        <v>25</v>
      </c>
      <c r="E23" s="278">
        <f>E22/D23</f>
        <v>235.19540000000001</v>
      </c>
      <c r="F23" s="278">
        <f>F22/D23</f>
        <v>385.2</v>
      </c>
      <c r="G23" s="277"/>
      <c r="H23" s="9">
        <f>F23/4</f>
        <v>96.3</v>
      </c>
      <c r="I23" s="9"/>
      <c r="J23" s="9"/>
      <c r="K23" s="528"/>
      <c r="L23" s="528"/>
      <c r="M23" s="528"/>
    </row>
    <row r="24" spans="1:13" hidden="1">
      <c r="A24" s="552"/>
      <c r="B24" s="553"/>
      <c r="C24" s="553"/>
      <c r="D24" s="279"/>
      <c r="E24" s="279"/>
      <c r="F24" s="280"/>
      <c r="G24" s="277"/>
      <c r="H24" s="9"/>
      <c r="I24" s="9"/>
      <c r="J24" s="9"/>
      <c r="K24" s="528"/>
      <c r="L24" s="528"/>
      <c r="M24" s="528"/>
    </row>
    <row r="25" spans="1:13" hidden="1">
      <c r="A25" s="541"/>
      <c r="B25" s="542"/>
      <c r="C25" s="543"/>
      <c r="D25" s="281"/>
      <c r="E25" s="279"/>
      <c r="F25" s="280"/>
      <c r="G25" s="277"/>
      <c r="H25" s="9"/>
      <c r="I25" s="9"/>
      <c r="J25" s="9"/>
      <c r="K25" s="528"/>
      <c r="L25" s="528"/>
      <c r="M25" s="528"/>
    </row>
    <row r="26" spans="1:13" hidden="1">
      <c r="A26" s="552"/>
      <c r="B26" s="553"/>
      <c r="C26" s="553"/>
      <c r="D26" s="279"/>
      <c r="E26" s="279"/>
      <c r="F26" s="282"/>
      <c r="G26" s="277"/>
      <c r="H26" s="9"/>
      <c r="I26" s="9"/>
      <c r="J26" s="9"/>
      <c r="K26" s="528"/>
      <c r="L26" s="528"/>
      <c r="M26" s="528"/>
    </row>
    <row r="27" spans="1:13" hidden="1">
      <c r="A27" s="541"/>
      <c r="B27" s="542"/>
      <c r="C27" s="543"/>
      <c r="D27" s="281"/>
      <c r="E27" s="284"/>
      <c r="F27" s="295"/>
      <c r="G27" s="277"/>
      <c r="H27" s="9"/>
      <c r="I27" s="9"/>
      <c r="J27" s="9"/>
      <c r="K27" s="528"/>
      <c r="L27" s="528"/>
      <c r="M27" s="528"/>
    </row>
    <row r="28" spans="1:13">
      <c r="A28" s="554" t="s">
        <v>153</v>
      </c>
      <c r="B28" s="555"/>
      <c r="C28" s="555"/>
      <c r="D28" s="286">
        <v>0.3</v>
      </c>
      <c r="E28" s="287">
        <f>E23*D28</f>
        <v>70.558620000000005</v>
      </c>
      <c r="F28" s="287">
        <f>F23*D28</f>
        <v>115.56</v>
      </c>
      <c r="G28" s="288"/>
      <c r="H28" s="9"/>
      <c r="I28" s="9"/>
      <c r="J28" s="9"/>
      <c r="K28" s="528"/>
      <c r="L28" s="528"/>
      <c r="M28" s="528"/>
    </row>
    <row r="29" spans="1:13">
      <c r="A29" s="556"/>
      <c r="B29" s="556"/>
      <c r="C29" s="556"/>
      <c r="F29" s="556"/>
      <c r="G29" s="556"/>
      <c r="H29" s="556"/>
      <c r="I29" s="556"/>
      <c r="J29" s="556"/>
      <c r="K29" s="556"/>
      <c r="L29" s="296"/>
    </row>
    <row r="32" spans="1:13">
      <c r="E32">
        <f>4420*0.9</f>
        <v>3978</v>
      </c>
    </row>
    <row r="35" spans="1:12">
      <c r="A35" s="297" t="s">
        <v>83</v>
      </c>
      <c r="B35" s="297" t="s">
        <v>154</v>
      </c>
      <c r="C35" s="297" t="s">
        <v>155</v>
      </c>
      <c r="D35" s="297" t="s">
        <v>15</v>
      </c>
    </row>
    <row r="36" spans="1:12">
      <c r="A36" s="297" t="s">
        <v>84</v>
      </c>
      <c r="B36" s="298">
        <v>183</v>
      </c>
      <c r="C36" s="298">
        <v>34</v>
      </c>
      <c r="D36" s="298">
        <f>B36+C36</f>
        <v>217</v>
      </c>
      <c r="K36" s="299" t="s">
        <v>156</v>
      </c>
      <c r="L36" s="299" t="e">
        <f>K36+11</f>
        <v>#VALUE!</v>
      </c>
    </row>
    <row r="37" spans="1:12">
      <c r="A37" s="297" t="s">
        <v>87</v>
      </c>
      <c r="B37" s="298">
        <v>292</v>
      </c>
      <c r="C37" s="298">
        <v>8</v>
      </c>
      <c r="D37" s="298">
        <f>B37+C37</f>
        <v>300</v>
      </c>
    </row>
    <row r="38" spans="1:12">
      <c r="A38" s="297" t="s">
        <v>88</v>
      </c>
      <c r="B38" s="298">
        <v>195</v>
      </c>
      <c r="C38" s="298">
        <v>34</v>
      </c>
      <c r="D38" s="298">
        <f>B38+C38</f>
        <v>229</v>
      </c>
    </row>
    <row r="39" spans="1:12">
      <c r="A39" s="297" t="s">
        <v>89</v>
      </c>
      <c r="B39" s="298">
        <v>216</v>
      </c>
      <c r="C39" s="298">
        <v>24</v>
      </c>
      <c r="D39" s="298">
        <f>B39+C39</f>
        <v>240</v>
      </c>
    </row>
    <row r="40" spans="1:12">
      <c r="A40" s="300"/>
      <c r="B40" s="300">
        <f>SUM(B36:B39)</f>
        <v>886</v>
      </c>
      <c r="C40" s="300">
        <f>SUM(C36:C39)</f>
        <v>100</v>
      </c>
      <c r="D40" s="300">
        <f>SUM(D36:D39)</f>
        <v>986</v>
      </c>
    </row>
  </sheetData>
  <mergeCells count="50">
    <mergeCell ref="A28:C28"/>
    <mergeCell ref="K28:M28"/>
    <mergeCell ref="A29:C29"/>
    <mergeCell ref="F29:K29"/>
    <mergeCell ref="A2:A4"/>
    <mergeCell ref="B2:B4"/>
    <mergeCell ref="C2:C4"/>
    <mergeCell ref="D2:D4"/>
    <mergeCell ref="M2:M4"/>
    <mergeCell ref="A25:C25"/>
    <mergeCell ref="K25:M25"/>
    <mergeCell ref="A26:C26"/>
    <mergeCell ref="K26:M26"/>
    <mergeCell ref="A27:C27"/>
    <mergeCell ref="K27:M27"/>
    <mergeCell ref="A22:C22"/>
    <mergeCell ref="K22:M22"/>
    <mergeCell ref="A23:C23"/>
    <mergeCell ref="K23:M23"/>
    <mergeCell ref="A24:C24"/>
    <mergeCell ref="K24:M24"/>
    <mergeCell ref="A17:C17"/>
    <mergeCell ref="K17:M17"/>
    <mergeCell ref="A20:C20"/>
    <mergeCell ref="K20:M20"/>
    <mergeCell ref="A21:C21"/>
    <mergeCell ref="K21:M21"/>
    <mergeCell ref="A14:C14"/>
    <mergeCell ref="K14:M14"/>
    <mergeCell ref="A15:C15"/>
    <mergeCell ref="K15:M15"/>
    <mergeCell ref="A16:C16"/>
    <mergeCell ref="K16:M16"/>
    <mergeCell ref="A11:C11"/>
    <mergeCell ref="K11:M11"/>
    <mergeCell ref="A12:C12"/>
    <mergeCell ref="K12:M12"/>
    <mergeCell ref="A13:C13"/>
    <mergeCell ref="K13:M13"/>
    <mergeCell ref="A9:C9"/>
    <mergeCell ref="K9:M9"/>
    <mergeCell ref="A10:C10"/>
    <mergeCell ref="D10:F10"/>
    <mergeCell ref="K10:M10"/>
    <mergeCell ref="A1:M1"/>
    <mergeCell ref="E2:L2"/>
    <mergeCell ref="E3:H3"/>
    <mergeCell ref="I3:L3"/>
    <mergeCell ref="E6:H6"/>
    <mergeCell ref="I6:L6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0"/>
  <sheetViews>
    <sheetView zoomScale="85" zoomScaleNormal="85" workbookViewId="0">
      <selection activeCell="I18" sqref="I18"/>
    </sheetView>
  </sheetViews>
  <sheetFormatPr defaultColWidth="9.140625" defaultRowHeight="12.75"/>
  <cols>
    <col min="1" max="1" width="36.28515625" style="157" customWidth="1"/>
    <col min="2" max="7" width="13.42578125" style="157" customWidth="1"/>
    <col min="8" max="8" width="12" style="157" customWidth="1"/>
    <col min="9" max="9" width="20.85546875" style="156" customWidth="1"/>
    <col min="10" max="11" width="9.140625" style="157"/>
    <col min="12" max="12" width="6.28515625" style="157" customWidth="1"/>
    <col min="13" max="13" width="15.5703125" style="157" customWidth="1"/>
    <col min="14" max="14" width="6.28515625" style="157" customWidth="1"/>
    <col min="15" max="15" width="5.28515625" style="157" customWidth="1"/>
    <col min="16" max="16" width="4.7109375" style="157" customWidth="1"/>
    <col min="17" max="16384" width="9.140625" style="157"/>
  </cols>
  <sheetData>
    <row r="1" spans="1:10" ht="27.95" customHeight="1">
      <c r="A1" s="569" t="s">
        <v>157</v>
      </c>
      <c r="B1" s="570"/>
      <c r="C1" s="570"/>
      <c r="D1" s="570"/>
      <c r="E1" s="570"/>
      <c r="F1" s="570"/>
      <c r="G1" s="570"/>
      <c r="H1" s="571"/>
      <c r="I1" s="163"/>
    </row>
    <row r="2" spans="1:10" ht="44.25" customHeight="1">
      <c r="A2" s="223" t="s">
        <v>110</v>
      </c>
      <c r="B2" s="224" t="s">
        <v>158</v>
      </c>
      <c r="C2" s="225" t="s">
        <v>159</v>
      </c>
      <c r="D2" s="225" t="s">
        <v>160</v>
      </c>
      <c r="E2" s="225" t="s">
        <v>161</v>
      </c>
      <c r="F2" s="225" t="s">
        <v>162</v>
      </c>
      <c r="G2" s="225" t="s">
        <v>163</v>
      </c>
      <c r="H2" s="226" t="s">
        <v>164</v>
      </c>
      <c r="I2" s="227" t="s">
        <v>137</v>
      </c>
    </row>
    <row r="3" spans="1:10" ht="22.5" customHeight="1">
      <c r="A3" s="228" t="s">
        <v>165</v>
      </c>
      <c r="B3" s="229">
        <v>67.900000000000006</v>
      </c>
      <c r="C3" s="230">
        <v>68.5</v>
      </c>
      <c r="D3" s="230">
        <v>68.5</v>
      </c>
      <c r="E3" s="231"/>
      <c r="F3" s="231"/>
      <c r="G3" s="231"/>
      <c r="H3" s="232">
        <f>SUM(B3:G3)</f>
        <v>204.9</v>
      </c>
    </row>
    <row r="4" spans="1:10" ht="22.5" customHeight="1">
      <c r="A4" s="228" t="s">
        <v>166</v>
      </c>
      <c r="B4" s="229">
        <v>68</v>
      </c>
      <c r="C4" s="230">
        <v>68.599999999999994</v>
      </c>
      <c r="D4" s="230">
        <v>68.599999999999994</v>
      </c>
      <c r="E4" s="231"/>
      <c r="F4" s="231"/>
      <c r="G4" s="231"/>
      <c r="H4" s="232">
        <f t="shared" ref="H4:H19" si="0">SUM(B4:G4)</f>
        <v>205.2</v>
      </c>
    </row>
    <row r="5" spans="1:10" ht="22.5" customHeight="1">
      <c r="A5" s="228" t="s">
        <v>167</v>
      </c>
      <c r="B5" s="229">
        <v>93.8</v>
      </c>
      <c r="C5" s="230">
        <v>93.5</v>
      </c>
      <c r="D5" s="230">
        <v>94.6</v>
      </c>
      <c r="E5" s="231"/>
      <c r="F5" s="231"/>
      <c r="G5" s="231"/>
      <c r="H5" s="232">
        <f t="shared" si="0"/>
        <v>281.89999999999998</v>
      </c>
    </row>
    <row r="6" spans="1:10" ht="22.5" customHeight="1">
      <c r="A6" s="228" t="s">
        <v>168</v>
      </c>
      <c r="B6" s="229">
        <v>94.3</v>
      </c>
      <c r="C6" s="230">
        <v>93.9</v>
      </c>
      <c r="D6" s="230">
        <v>95</v>
      </c>
      <c r="E6" s="231"/>
      <c r="F6" s="231"/>
      <c r="G6" s="231"/>
      <c r="H6" s="232">
        <f t="shared" si="0"/>
        <v>283.2</v>
      </c>
    </row>
    <row r="7" spans="1:10" ht="22.5" customHeight="1">
      <c r="A7" s="228" t="s">
        <v>169</v>
      </c>
      <c r="B7" s="229">
        <v>83.3</v>
      </c>
      <c r="C7" s="233">
        <v>94.5</v>
      </c>
      <c r="D7" s="230">
        <v>141.4</v>
      </c>
      <c r="E7" s="231"/>
      <c r="F7" s="231"/>
      <c r="G7" s="231"/>
      <c r="H7" s="232">
        <f t="shared" si="0"/>
        <v>319.2</v>
      </c>
    </row>
    <row r="8" spans="1:10" ht="22.5" customHeight="1">
      <c r="A8" s="228" t="s">
        <v>170</v>
      </c>
      <c r="B8" s="229">
        <v>94.3</v>
      </c>
      <c r="C8" s="233">
        <v>105.4</v>
      </c>
      <c r="D8" s="230">
        <v>105.4</v>
      </c>
      <c r="E8" s="231"/>
      <c r="F8" s="231"/>
      <c r="G8" s="231"/>
      <c r="H8" s="232">
        <f t="shared" si="0"/>
        <v>305.10000000000002</v>
      </c>
      <c r="I8" s="234"/>
      <c r="J8" s="235"/>
    </row>
    <row r="9" spans="1:10" ht="22.5" customHeight="1">
      <c r="A9" s="228" t="s">
        <v>171</v>
      </c>
      <c r="B9" s="229">
        <v>65.3</v>
      </c>
      <c r="C9" s="233">
        <v>65.900000000000006</v>
      </c>
      <c r="D9" s="230">
        <v>65.900000000000006</v>
      </c>
      <c r="E9" s="231"/>
      <c r="F9" s="231"/>
      <c r="G9" s="231"/>
      <c r="H9" s="232">
        <f t="shared" si="0"/>
        <v>197.1</v>
      </c>
    </row>
    <row r="10" spans="1:10" ht="22.5" customHeight="1">
      <c r="A10" s="228" t="s">
        <v>172</v>
      </c>
      <c r="B10" s="229">
        <v>97.2</v>
      </c>
      <c r="C10" s="233">
        <v>97.3</v>
      </c>
      <c r="D10" s="230">
        <v>98.5</v>
      </c>
      <c r="E10" s="231"/>
      <c r="F10" s="231"/>
      <c r="G10" s="231"/>
      <c r="H10" s="232">
        <f t="shared" si="0"/>
        <v>293</v>
      </c>
      <c r="I10" s="234"/>
    </row>
    <row r="11" spans="1:10" ht="22.5" customHeight="1">
      <c r="A11" s="228" t="s">
        <v>173</v>
      </c>
      <c r="B11" s="229">
        <v>82.2</v>
      </c>
      <c r="C11" s="233">
        <v>82.1</v>
      </c>
      <c r="D11" s="230">
        <v>82.1</v>
      </c>
      <c r="E11" s="231"/>
      <c r="F11" s="231"/>
      <c r="G11" s="231"/>
      <c r="H11" s="232">
        <f t="shared" si="0"/>
        <v>246.4</v>
      </c>
      <c r="I11" s="234"/>
    </row>
    <row r="12" spans="1:10" ht="22.5" customHeight="1">
      <c r="A12" s="228" t="s">
        <v>174</v>
      </c>
      <c r="B12" s="229">
        <v>81.5</v>
      </c>
      <c r="C12" s="233">
        <v>82.1</v>
      </c>
      <c r="D12" s="230">
        <v>82.6</v>
      </c>
      <c r="E12" s="231"/>
      <c r="F12" s="231"/>
      <c r="G12" s="231"/>
      <c r="H12" s="232">
        <f t="shared" si="0"/>
        <v>246.2</v>
      </c>
    </row>
    <row r="13" spans="1:10" ht="22.5" customHeight="1">
      <c r="A13" s="228" t="s">
        <v>175</v>
      </c>
      <c r="B13" s="229">
        <v>81.900000000000006</v>
      </c>
      <c r="C13" s="233">
        <v>81.400000000000006</v>
      </c>
      <c r="D13" s="230">
        <v>81.400000000000006</v>
      </c>
      <c r="E13" s="231"/>
      <c r="F13" s="231"/>
      <c r="G13" s="231"/>
      <c r="H13" s="232">
        <f t="shared" si="0"/>
        <v>244.7</v>
      </c>
    </row>
    <row r="14" spans="1:10" ht="22.5" customHeight="1">
      <c r="A14" s="228" t="s">
        <v>176</v>
      </c>
      <c r="B14" s="229">
        <v>81.7</v>
      </c>
      <c r="C14" s="236">
        <v>80.2</v>
      </c>
      <c r="D14" s="230">
        <v>80.2</v>
      </c>
      <c r="E14" s="231"/>
      <c r="F14" s="231"/>
      <c r="G14" s="231"/>
      <c r="H14" s="232">
        <f t="shared" si="0"/>
        <v>242.1</v>
      </c>
    </row>
    <row r="15" spans="1:10" ht="22.5" customHeight="1">
      <c r="A15" s="228" t="s">
        <v>177</v>
      </c>
      <c r="B15" s="229">
        <v>76.7</v>
      </c>
      <c r="C15" s="233">
        <v>78.8</v>
      </c>
      <c r="D15" s="230">
        <v>78.8</v>
      </c>
      <c r="E15" s="231"/>
      <c r="F15" s="231"/>
      <c r="G15" s="231"/>
      <c r="H15" s="232">
        <f t="shared" si="0"/>
        <v>234.3</v>
      </c>
    </row>
    <row r="16" spans="1:10" ht="22.5" customHeight="1">
      <c r="A16" s="228" t="s">
        <v>178</v>
      </c>
      <c r="B16" s="229">
        <v>65.8</v>
      </c>
      <c r="C16" s="230">
        <v>66.599999999999994</v>
      </c>
      <c r="D16" s="230">
        <v>66.3</v>
      </c>
      <c r="E16" s="231"/>
      <c r="F16" s="231"/>
      <c r="G16" s="231"/>
      <c r="H16" s="232">
        <f t="shared" si="0"/>
        <v>198.7</v>
      </c>
      <c r="I16" s="234"/>
    </row>
    <row r="17" spans="1:16" ht="22.5" customHeight="1">
      <c r="A17" s="228" t="s">
        <v>179</v>
      </c>
      <c r="B17" s="229">
        <v>54</v>
      </c>
      <c r="C17" s="230">
        <v>54.7</v>
      </c>
      <c r="D17" s="230">
        <v>55.5</v>
      </c>
      <c r="E17" s="237"/>
      <c r="F17" s="231"/>
      <c r="G17" s="231"/>
      <c r="H17" s="232">
        <f t="shared" si="0"/>
        <v>164.2</v>
      </c>
      <c r="I17" s="234"/>
    </row>
    <row r="18" spans="1:16" ht="22.5" customHeight="1">
      <c r="A18" s="228" t="s">
        <v>180</v>
      </c>
      <c r="B18" s="229"/>
      <c r="C18" s="230"/>
      <c r="D18" s="230">
        <v>39.799999999999997</v>
      </c>
      <c r="E18" s="238"/>
      <c r="F18" s="239"/>
      <c r="G18" s="231"/>
      <c r="H18" s="232">
        <f t="shared" si="0"/>
        <v>39.799999999999997</v>
      </c>
      <c r="I18" s="234"/>
    </row>
    <row r="19" spans="1:16" ht="22.5" customHeight="1">
      <c r="A19" s="228" t="s">
        <v>181</v>
      </c>
      <c r="B19" s="240"/>
      <c r="C19" s="231"/>
      <c r="D19" s="238"/>
      <c r="E19" s="238">
        <v>1125.8</v>
      </c>
      <c r="F19" s="238">
        <v>1125.8</v>
      </c>
      <c r="G19" s="233"/>
      <c r="H19" s="232">
        <f t="shared" si="0"/>
        <v>2251.6</v>
      </c>
    </row>
    <row r="20" spans="1:16" ht="22.5" customHeight="1">
      <c r="A20" s="228" t="s">
        <v>182</v>
      </c>
      <c r="B20" s="240"/>
      <c r="C20" s="231"/>
      <c r="D20" s="238"/>
      <c r="E20" s="238">
        <v>40.1</v>
      </c>
      <c r="F20" s="233">
        <v>40.1</v>
      </c>
      <c r="G20" s="238"/>
      <c r="H20" s="232"/>
    </row>
    <row r="21" spans="1:16" ht="22.5" customHeight="1">
      <c r="A21" s="228" t="s">
        <v>183</v>
      </c>
      <c r="B21" s="240"/>
      <c r="C21" s="231"/>
      <c r="D21" s="238"/>
      <c r="E21" s="238"/>
      <c r="F21" s="233"/>
      <c r="G21" s="238">
        <f>205+95+570</f>
        <v>870</v>
      </c>
      <c r="H21" s="232">
        <f>SUM(B21:G21)</f>
        <v>870</v>
      </c>
    </row>
    <row r="22" spans="1:16" ht="22.5" customHeight="1">
      <c r="A22" s="241" t="s">
        <v>90</v>
      </c>
      <c r="B22" s="242">
        <f t="shared" ref="B22:G22" si="1">SUM(B3:B21)</f>
        <v>1187.9000000000001</v>
      </c>
      <c r="C22" s="242">
        <f t="shared" si="1"/>
        <v>1213.5</v>
      </c>
      <c r="D22" s="242">
        <f t="shared" si="1"/>
        <v>1304.5999999999999</v>
      </c>
      <c r="E22" s="242">
        <f t="shared" si="1"/>
        <v>1165.9000000000001</v>
      </c>
      <c r="F22" s="242">
        <f t="shared" si="1"/>
        <v>1165.9000000000001</v>
      </c>
      <c r="G22" s="242">
        <f t="shared" si="1"/>
        <v>870</v>
      </c>
      <c r="H22" s="232">
        <f>SUM(H3:H19)</f>
        <v>5957.6</v>
      </c>
      <c r="I22" s="243"/>
    </row>
    <row r="23" spans="1:16" ht="50.1" customHeight="1">
      <c r="A23" s="244" t="s">
        <v>184</v>
      </c>
      <c r="B23" s="245"/>
      <c r="C23" s="246"/>
      <c r="D23" s="246"/>
      <c r="E23" s="246"/>
      <c r="F23" s="246"/>
      <c r="G23" s="246"/>
      <c r="H23" s="247"/>
    </row>
    <row r="24" spans="1:16" ht="22.5" customHeight="1">
      <c r="A24" s="248" t="s">
        <v>120</v>
      </c>
      <c r="B24" s="249"/>
      <c r="C24" s="250"/>
      <c r="D24" s="250"/>
      <c r="E24" s="250"/>
      <c r="F24" s="250"/>
      <c r="G24" s="250"/>
      <c r="H24" s="251"/>
      <c r="M24" s="157">
        <f>M25/NHA_NOXH!D43</f>
        <v>0.134996571997161</v>
      </c>
    </row>
    <row r="25" spans="1:16">
      <c r="I25" s="252"/>
      <c r="M25" s="157">
        <f>1780*5</f>
        <v>8900</v>
      </c>
    </row>
    <row r="26" spans="1:16" ht="30" customHeight="1">
      <c r="B26" s="157" t="s">
        <v>122</v>
      </c>
      <c r="L26" s="513"/>
      <c r="M26" s="513"/>
      <c r="N26" s="513"/>
      <c r="O26" s="513"/>
      <c r="P26" s="513"/>
    </row>
    <row r="27" spans="1:16" ht="43.5" customHeight="1">
      <c r="A27" s="162"/>
      <c r="B27" s="162"/>
      <c r="C27" s="162"/>
      <c r="D27" s="162"/>
      <c r="E27" s="162"/>
      <c r="F27" s="162"/>
      <c r="G27" s="162"/>
      <c r="H27" s="162"/>
      <c r="I27" s="253"/>
      <c r="L27" s="162"/>
      <c r="M27" s="162"/>
      <c r="N27" s="162"/>
      <c r="O27" s="162"/>
      <c r="P27" s="162"/>
    </row>
    <row r="28" spans="1:16" ht="33.75" customHeight="1">
      <c r="A28" s="162"/>
      <c r="B28" s="162"/>
      <c r="C28" s="162"/>
      <c r="D28" s="162"/>
      <c r="E28" s="162"/>
      <c r="F28" s="162"/>
      <c r="G28" s="162"/>
      <c r="H28" s="162"/>
      <c r="I28" s="253"/>
      <c r="L28" s="178"/>
      <c r="N28" s="178"/>
      <c r="O28" s="178"/>
      <c r="P28" s="178"/>
    </row>
    <row r="29" spans="1:16" ht="21" customHeight="1">
      <c r="A29" s="162"/>
      <c r="B29" s="162"/>
      <c r="C29" s="162"/>
      <c r="D29" s="162"/>
      <c r="E29" s="162"/>
      <c r="F29" s="162"/>
      <c r="G29" s="162"/>
      <c r="H29" s="162"/>
      <c r="I29" s="253"/>
    </row>
    <row r="30" spans="1:16" ht="37.5" customHeight="1">
      <c r="A30" s="162"/>
      <c r="B30" s="162"/>
      <c r="C30" s="162"/>
      <c r="D30" s="162"/>
      <c r="E30" s="162"/>
      <c r="F30" s="162"/>
      <c r="G30" s="162"/>
      <c r="H30" s="162"/>
      <c r="I30" s="253"/>
      <c r="L30" s="178"/>
      <c r="M30" s="178"/>
      <c r="N30" s="178"/>
      <c r="O30" s="178"/>
      <c r="P30" s="178"/>
    </row>
    <row r="31" spans="1:16" ht="21" customHeight="1">
      <c r="A31" s="162"/>
      <c r="B31" s="162"/>
      <c r="C31" s="162"/>
      <c r="D31" s="162"/>
      <c r="E31" s="162"/>
      <c r="F31" s="162"/>
      <c r="G31" s="162"/>
      <c r="H31" s="162"/>
      <c r="I31" s="253"/>
    </row>
    <row r="32" spans="1:16" ht="37.5" customHeight="1">
      <c r="A32" s="162"/>
      <c r="B32" s="162"/>
      <c r="C32" s="162"/>
      <c r="D32" s="162"/>
      <c r="E32" s="162"/>
      <c r="F32" s="162"/>
      <c r="G32" s="162"/>
      <c r="H32" s="162"/>
      <c r="I32" s="253"/>
    </row>
    <row r="33" spans="1:9" ht="20.25" customHeight="1">
      <c r="A33" s="162"/>
      <c r="B33" s="162"/>
      <c r="C33" s="162"/>
      <c r="D33" s="162"/>
      <c r="E33" s="162"/>
      <c r="F33" s="162"/>
      <c r="G33" s="162"/>
      <c r="H33" s="162"/>
      <c r="I33" s="253"/>
    </row>
    <row r="34" spans="1:9" ht="22.5" customHeight="1">
      <c r="A34" s="162"/>
      <c r="B34" s="162"/>
      <c r="C34" s="162"/>
      <c r="D34" s="162"/>
      <c r="E34" s="162"/>
      <c r="F34" s="162"/>
      <c r="G34" s="162"/>
      <c r="H34" s="162"/>
      <c r="I34" s="253"/>
    </row>
    <row r="35" spans="1:9" ht="22.5" customHeight="1">
      <c r="A35" s="162"/>
      <c r="B35" s="162"/>
      <c r="C35" s="162"/>
      <c r="D35" s="162"/>
      <c r="E35" s="162"/>
      <c r="F35" s="162"/>
      <c r="G35" s="162"/>
      <c r="H35" s="162"/>
      <c r="I35" s="253"/>
    </row>
    <row r="36" spans="1:9" ht="22.5" customHeight="1">
      <c r="A36" s="162"/>
      <c r="B36" s="162"/>
      <c r="C36" s="162"/>
      <c r="D36" s="162"/>
      <c r="E36" s="162"/>
      <c r="F36" s="162"/>
      <c r="G36" s="162"/>
      <c r="H36" s="162"/>
      <c r="I36" s="253"/>
    </row>
    <row r="37" spans="1:9" ht="17.25" customHeight="1">
      <c r="A37" s="179"/>
      <c r="B37" s="179"/>
      <c r="C37" s="179"/>
      <c r="D37" s="179"/>
      <c r="E37" s="179"/>
      <c r="F37" s="179"/>
      <c r="G37" s="179"/>
      <c r="H37" s="179"/>
    </row>
    <row r="38" spans="1:9" ht="21.75" customHeight="1">
      <c r="A38" s="179"/>
      <c r="B38" s="179"/>
      <c r="C38" s="179"/>
      <c r="D38" s="179"/>
      <c r="E38" s="179"/>
      <c r="F38" s="179"/>
      <c r="G38" s="179"/>
      <c r="H38" s="179"/>
    </row>
    <row r="39" spans="1:9" ht="22.5" customHeight="1">
      <c r="A39" s="179"/>
      <c r="B39" s="179"/>
      <c r="C39" s="179"/>
      <c r="D39" s="179"/>
      <c r="E39" s="179"/>
      <c r="F39" s="179"/>
      <c r="G39" s="179"/>
      <c r="H39" s="179"/>
    </row>
    <row r="40" spans="1:9" ht="22.5" customHeight="1">
      <c r="A40" s="179"/>
      <c r="B40" s="179"/>
      <c r="C40" s="179"/>
      <c r="D40" s="179"/>
      <c r="E40" s="179"/>
      <c r="F40" s="179"/>
      <c r="G40" s="179"/>
      <c r="H40" s="179"/>
    </row>
    <row r="41" spans="1:9" ht="22.5" customHeight="1">
      <c r="A41" s="179"/>
      <c r="B41" s="179"/>
      <c r="C41" s="179"/>
      <c r="D41" s="179"/>
      <c r="E41" s="179"/>
      <c r="F41" s="179"/>
      <c r="G41" s="179"/>
      <c r="H41" s="179"/>
    </row>
    <row r="42" spans="1:9" ht="22.5" customHeight="1">
      <c r="A42" s="179"/>
      <c r="B42" s="179"/>
      <c r="C42" s="179"/>
      <c r="D42" s="179"/>
      <c r="E42" s="179"/>
      <c r="F42" s="179"/>
      <c r="G42" s="179"/>
      <c r="H42" s="179"/>
    </row>
    <row r="43" spans="1:9" ht="22.5" customHeight="1">
      <c r="A43" s="179"/>
      <c r="B43" s="179"/>
      <c r="C43" s="179"/>
      <c r="D43" s="179"/>
      <c r="E43" s="179"/>
      <c r="F43" s="179"/>
      <c r="G43" s="179"/>
      <c r="H43" s="179"/>
    </row>
    <row r="44" spans="1:9" ht="22.5" customHeight="1">
      <c r="A44" s="179"/>
      <c r="B44" s="179"/>
      <c r="C44" s="179"/>
      <c r="D44" s="179"/>
      <c r="E44" s="179"/>
      <c r="F44" s="179"/>
      <c r="G44" s="179"/>
      <c r="H44" s="179"/>
    </row>
    <row r="45" spans="1:9" ht="22.5" customHeight="1">
      <c r="A45" s="179"/>
      <c r="B45" s="179"/>
      <c r="C45" s="179"/>
      <c r="D45" s="179"/>
      <c r="E45" s="179"/>
      <c r="F45" s="179"/>
      <c r="G45" s="179"/>
      <c r="H45" s="179"/>
    </row>
    <row r="46" spans="1:9" ht="22.5" customHeight="1">
      <c r="A46" s="179"/>
      <c r="B46" s="179"/>
      <c r="C46" s="179"/>
      <c r="D46" s="179"/>
      <c r="E46" s="179"/>
      <c r="F46" s="179"/>
      <c r="G46" s="179"/>
      <c r="H46" s="179"/>
    </row>
    <row r="47" spans="1:9" ht="22.5" customHeight="1">
      <c r="A47" s="179"/>
      <c r="B47" s="179"/>
      <c r="C47" s="179"/>
      <c r="D47" s="179"/>
      <c r="E47" s="179"/>
      <c r="F47" s="179"/>
      <c r="G47" s="179"/>
      <c r="H47" s="179"/>
    </row>
    <row r="48" spans="1:9" ht="22.5" customHeight="1">
      <c r="A48" s="179"/>
      <c r="B48" s="179"/>
      <c r="C48" s="179"/>
      <c r="D48" s="179"/>
      <c r="E48" s="179"/>
      <c r="F48" s="179"/>
      <c r="G48" s="179"/>
      <c r="H48" s="179"/>
    </row>
    <row r="49" spans="1:8" ht="22.5" customHeight="1">
      <c r="A49" s="179"/>
      <c r="B49" s="179"/>
      <c r="C49" s="179"/>
      <c r="D49" s="179"/>
      <c r="E49" s="179"/>
      <c r="F49" s="179"/>
      <c r="G49" s="179"/>
      <c r="H49" s="179"/>
    </row>
    <row r="50" spans="1:8" ht="45" customHeight="1">
      <c r="A50" s="179"/>
      <c r="B50" s="179"/>
      <c r="C50" s="179"/>
      <c r="D50" s="179"/>
      <c r="E50" s="179"/>
      <c r="F50" s="179"/>
      <c r="G50" s="179"/>
      <c r="H50" s="179"/>
    </row>
    <row r="51" spans="1:8" ht="22.5" customHeight="1">
      <c r="A51" s="179"/>
      <c r="B51" s="179"/>
      <c r="C51" s="179"/>
      <c r="D51" s="179"/>
      <c r="E51" s="179"/>
      <c r="F51" s="179"/>
      <c r="G51" s="179"/>
      <c r="H51" s="179"/>
    </row>
    <row r="52" spans="1:8" ht="22.5" customHeight="1">
      <c r="A52" s="179"/>
      <c r="B52" s="179"/>
      <c r="C52" s="179"/>
      <c r="D52" s="179"/>
      <c r="E52" s="179"/>
      <c r="F52" s="179"/>
      <c r="G52" s="179"/>
      <c r="H52" s="179"/>
    </row>
    <row r="53" spans="1:8" ht="22.5" customHeight="1">
      <c r="A53" s="179"/>
      <c r="B53" s="179"/>
      <c r="C53" s="179"/>
      <c r="D53" s="179"/>
      <c r="E53" s="179"/>
      <c r="F53" s="179"/>
      <c r="G53" s="179"/>
      <c r="H53" s="179"/>
    </row>
    <row r="54" spans="1:8" ht="22.5" customHeight="1">
      <c r="A54" s="179"/>
      <c r="B54" s="179"/>
      <c r="C54" s="179"/>
      <c r="D54" s="179"/>
      <c r="E54" s="179"/>
      <c r="F54" s="179"/>
      <c r="G54" s="179"/>
      <c r="H54" s="179"/>
    </row>
    <row r="55" spans="1:8" ht="22.5" customHeight="1">
      <c r="A55" s="179"/>
      <c r="B55" s="179"/>
      <c r="C55" s="179"/>
      <c r="D55" s="179"/>
      <c r="E55" s="179"/>
      <c r="F55" s="179"/>
      <c r="G55" s="179"/>
      <c r="H55" s="179"/>
    </row>
    <row r="56" spans="1:8" ht="22.5" customHeight="1">
      <c r="A56" s="179"/>
      <c r="B56" s="179"/>
      <c r="C56" s="179"/>
      <c r="D56" s="179"/>
      <c r="E56" s="179"/>
      <c r="F56" s="179"/>
      <c r="G56" s="179"/>
      <c r="H56" s="179"/>
    </row>
    <row r="57" spans="1:8" ht="22.5" customHeight="1">
      <c r="A57" s="179"/>
      <c r="B57" s="179"/>
      <c r="C57" s="179"/>
      <c r="D57" s="179"/>
      <c r="E57" s="179"/>
      <c r="F57" s="179"/>
      <c r="G57" s="179"/>
      <c r="H57" s="179"/>
    </row>
    <row r="58" spans="1:8">
      <c r="A58" s="179"/>
      <c r="B58" s="179"/>
      <c r="C58" s="179"/>
      <c r="D58" s="179"/>
      <c r="E58" s="179"/>
      <c r="F58" s="179"/>
      <c r="G58" s="179"/>
      <c r="H58" s="179"/>
    </row>
    <row r="59" spans="1:8">
      <c r="A59" s="179"/>
      <c r="B59" s="179"/>
      <c r="C59" s="179"/>
      <c r="D59" s="179"/>
      <c r="E59" s="179"/>
      <c r="F59" s="179"/>
      <c r="G59" s="179"/>
      <c r="H59" s="179"/>
    </row>
    <row r="60" spans="1:8">
      <c r="A60" s="179"/>
      <c r="B60" s="179"/>
      <c r="C60" s="179"/>
      <c r="D60" s="179"/>
      <c r="E60" s="179"/>
      <c r="F60" s="179"/>
      <c r="G60" s="179"/>
      <c r="H60" s="179"/>
    </row>
  </sheetData>
  <mergeCells count="2">
    <mergeCell ref="A1:H1"/>
    <mergeCell ref="L26:P26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"/>
  <sheetViews>
    <sheetView zoomScale="130" zoomScaleNormal="130" workbookViewId="0">
      <selection activeCell="D16" sqref="D16:H16"/>
    </sheetView>
  </sheetViews>
  <sheetFormatPr defaultColWidth="9.140625" defaultRowHeight="12.75"/>
  <cols>
    <col min="1" max="1" width="9.140625" style="157"/>
    <col min="2" max="2" width="14.42578125" style="157" customWidth="1"/>
    <col min="3" max="3" width="13.42578125" style="157" customWidth="1"/>
    <col min="4" max="4" width="12" style="157" customWidth="1"/>
    <col min="5" max="6" width="9.28515625" style="157" customWidth="1"/>
    <col min="7" max="7" width="9.28515625" style="158" customWidth="1"/>
    <col min="8" max="8" width="10.7109375" style="157" customWidth="1"/>
    <col min="9" max="9" width="9.140625" style="156" customWidth="1"/>
    <col min="10" max="10" width="6.28515625" style="157" customWidth="1"/>
    <col min="11" max="11" width="4.140625" style="157" customWidth="1"/>
    <col min="12" max="12" width="6.28515625" style="157" customWidth="1"/>
    <col min="13" max="13" width="5.28515625" style="157" customWidth="1"/>
    <col min="14" max="14" width="4.7109375" style="157" customWidth="1"/>
    <col min="15" max="16384" width="9.140625" style="157"/>
  </cols>
  <sheetData>
    <row r="1" spans="1:10" ht="22.5" customHeight="1">
      <c r="A1" s="582" t="s">
        <v>185</v>
      </c>
      <c r="B1" s="572" t="s">
        <v>186</v>
      </c>
      <c r="C1" s="570"/>
      <c r="D1" s="570"/>
      <c r="E1" s="570"/>
      <c r="F1" s="570"/>
      <c r="G1" s="570"/>
      <c r="H1" s="571"/>
      <c r="I1" s="163"/>
    </row>
    <row r="2" spans="1:10" ht="44.25" customHeight="1">
      <c r="A2" s="583"/>
      <c r="B2" s="181" t="s">
        <v>187</v>
      </c>
      <c r="C2" s="182" t="s">
        <v>112</v>
      </c>
      <c r="D2" s="182" t="s">
        <v>113</v>
      </c>
      <c r="E2" s="182" t="s">
        <v>114</v>
      </c>
      <c r="F2" s="183" t="s">
        <v>188</v>
      </c>
      <c r="G2" s="183" t="s">
        <v>189</v>
      </c>
      <c r="H2" s="184" t="s">
        <v>115</v>
      </c>
      <c r="I2" s="163"/>
    </row>
    <row r="3" spans="1:10" ht="22.5" hidden="1" customHeight="1">
      <c r="A3" s="584" t="s">
        <v>190</v>
      </c>
      <c r="B3" s="185"/>
      <c r="C3" s="186"/>
      <c r="D3" s="187">
        <f>B3*C3</f>
        <v>0</v>
      </c>
      <c r="E3" s="188">
        <f>D3/D14</f>
        <v>0</v>
      </c>
      <c r="F3" s="587">
        <v>1</v>
      </c>
      <c r="G3" s="189">
        <f>$F$3*C3</f>
        <v>0</v>
      </c>
      <c r="H3" s="444" t="s">
        <v>117</v>
      </c>
    </row>
    <row r="4" spans="1:10" ht="22.5" hidden="1" customHeight="1">
      <c r="A4" s="585"/>
      <c r="B4" s="191"/>
      <c r="C4" s="192"/>
      <c r="D4" s="193"/>
      <c r="E4" s="194"/>
      <c r="F4" s="588"/>
      <c r="G4" s="195">
        <f t="shared" ref="G4:G5" si="0">$F$3*C4</f>
        <v>0</v>
      </c>
      <c r="H4" s="196"/>
    </row>
    <row r="5" spans="1:10" ht="22.5" hidden="1" customHeight="1">
      <c r="A5" s="586"/>
      <c r="B5" s="197"/>
      <c r="C5" s="198"/>
      <c r="D5" s="199"/>
      <c r="E5" s="200"/>
      <c r="F5" s="589"/>
      <c r="G5" s="201">
        <f t="shared" si="0"/>
        <v>0</v>
      </c>
      <c r="H5" s="202"/>
    </row>
    <row r="6" spans="1:10" ht="22.5" hidden="1" customHeight="1">
      <c r="A6" s="584" t="s">
        <v>191</v>
      </c>
      <c r="B6" s="203"/>
      <c r="C6" s="186"/>
      <c r="D6" s="187">
        <f>B6*C6</f>
        <v>0</v>
      </c>
      <c r="E6" s="188">
        <f>D6/D14</f>
        <v>0</v>
      </c>
      <c r="F6" s="587">
        <v>2</v>
      </c>
      <c r="G6" s="189">
        <f>$F$6*C6</f>
        <v>0</v>
      </c>
      <c r="H6" s="444" t="s">
        <v>119</v>
      </c>
    </row>
    <row r="7" spans="1:10" ht="22.5" hidden="1" customHeight="1">
      <c r="A7" s="585"/>
      <c r="B7" s="204"/>
      <c r="C7" s="192"/>
      <c r="D7" s="193">
        <f>B7*C7</f>
        <v>0</v>
      </c>
      <c r="E7" s="194">
        <f>D7/D14</f>
        <v>0</v>
      </c>
      <c r="F7" s="588"/>
      <c r="G7" s="195">
        <f t="shared" ref="G7:G8" si="1">$F$6*C7</f>
        <v>0</v>
      </c>
      <c r="H7" s="445" t="s">
        <v>119</v>
      </c>
    </row>
    <row r="8" spans="1:10" ht="22.5" hidden="1" customHeight="1">
      <c r="A8" s="586"/>
      <c r="B8" s="205"/>
      <c r="C8" s="198"/>
      <c r="D8" s="199"/>
      <c r="E8" s="200"/>
      <c r="F8" s="589"/>
      <c r="G8" s="201">
        <f t="shared" si="1"/>
        <v>0</v>
      </c>
      <c r="H8" s="202"/>
    </row>
    <row r="9" spans="1:10" ht="22.5" customHeight="1">
      <c r="A9" s="584" t="s">
        <v>192</v>
      </c>
      <c r="B9" s="206">
        <v>70</v>
      </c>
      <c r="C9" s="192">
        <v>14</v>
      </c>
      <c r="D9" s="193">
        <f>C9*B9</f>
        <v>980</v>
      </c>
      <c r="E9" s="194">
        <f>D9/D14</f>
        <v>0.927152317880795</v>
      </c>
      <c r="F9" s="587">
        <v>3</v>
      </c>
      <c r="G9" s="195">
        <f>$F$9*C9</f>
        <v>42</v>
      </c>
      <c r="H9" s="445" t="s">
        <v>119</v>
      </c>
    </row>
    <row r="10" spans="1:10" ht="22.5" customHeight="1">
      <c r="A10" s="585"/>
      <c r="B10" s="206"/>
      <c r="C10" s="192"/>
      <c r="D10" s="193">
        <f t="shared" ref="D10:D12" si="2">C10*B10</f>
        <v>0</v>
      </c>
      <c r="E10" s="194">
        <f>D10/D14</f>
        <v>0</v>
      </c>
      <c r="F10" s="588"/>
      <c r="G10" s="195">
        <f t="shared" ref="G10:G11" si="3">$F$9*C10</f>
        <v>0</v>
      </c>
      <c r="H10" s="445" t="s">
        <v>119</v>
      </c>
    </row>
    <row r="11" spans="1:10" ht="22.5" customHeight="1">
      <c r="A11" s="586"/>
      <c r="B11" s="207"/>
      <c r="C11" s="208"/>
      <c r="D11" s="209">
        <f t="shared" si="2"/>
        <v>0</v>
      </c>
      <c r="E11" s="210">
        <f>D11/D14</f>
        <v>0</v>
      </c>
      <c r="F11" s="589"/>
      <c r="G11" s="211">
        <f t="shared" si="3"/>
        <v>0</v>
      </c>
      <c r="H11" s="446" t="s">
        <v>119</v>
      </c>
    </row>
    <row r="12" spans="1:10" ht="22.5" customHeight="1">
      <c r="A12" s="584" t="s">
        <v>193</v>
      </c>
      <c r="B12" s="212">
        <v>77</v>
      </c>
      <c r="C12" s="186">
        <v>1</v>
      </c>
      <c r="D12" s="187">
        <f t="shared" si="2"/>
        <v>77</v>
      </c>
      <c r="E12" s="188">
        <f>D12/D14</f>
        <v>7.2847682119205295E-2</v>
      </c>
      <c r="F12" s="587">
        <v>4</v>
      </c>
      <c r="G12" s="189">
        <f>$F$12*C12</f>
        <v>4</v>
      </c>
      <c r="H12" s="190"/>
      <c r="J12" s="157">
        <f>F9*14</f>
        <v>42</v>
      </c>
    </row>
    <row r="13" spans="1:10" ht="22.5" customHeight="1">
      <c r="A13" s="586"/>
      <c r="B13" s="213"/>
      <c r="C13" s="198"/>
      <c r="D13" s="199"/>
      <c r="E13" s="200"/>
      <c r="F13" s="589"/>
      <c r="G13" s="201"/>
      <c r="H13" s="202"/>
    </row>
    <row r="14" spans="1:10" ht="22.5" customHeight="1">
      <c r="A14" s="573" t="s">
        <v>90</v>
      </c>
      <c r="B14" s="574"/>
      <c r="C14" s="214">
        <f>SUM(C3:C13)</f>
        <v>15</v>
      </c>
      <c r="D14" s="215">
        <f>SUM(D3:D13)</f>
        <v>1057</v>
      </c>
      <c r="E14" s="216">
        <f>SUM(E3:E13)</f>
        <v>1</v>
      </c>
      <c r="F14" s="217"/>
      <c r="G14" s="218">
        <f>SUM(G3:G13)</f>
        <v>46</v>
      </c>
      <c r="H14" s="219"/>
    </row>
    <row r="15" spans="1:10" ht="22.5" customHeight="1">
      <c r="A15" s="575" t="s">
        <v>120</v>
      </c>
      <c r="B15" s="576"/>
      <c r="C15" s="577"/>
      <c r="D15" s="220">
        <v>1450</v>
      </c>
      <c r="E15" s="221"/>
      <c r="F15" s="221"/>
      <c r="G15" s="221"/>
      <c r="H15" s="222"/>
    </row>
    <row r="16" spans="1:10" ht="22.5" customHeight="1">
      <c r="A16" s="578" t="s">
        <v>121</v>
      </c>
      <c r="B16" s="576"/>
      <c r="C16" s="577"/>
      <c r="D16" s="579">
        <f>D14/D15</f>
        <v>0.72896551724137904</v>
      </c>
      <c r="E16" s="580"/>
      <c r="F16" s="580"/>
      <c r="G16" s="580"/>
      <c r="H16" s="581"/>
    </row>
    <row r="18" spans="2:14" ht="30" customHeight="1">
      <c r="C18" s="157" t="s">
        <v>122</v>
      </c>
      <c r="J18" s="513"/>
      <c r="K18" s="513"/>
      <c r="L18" s="513"/>
      <c r="M18" s="513"/>
      <c r="N18" s="513"/>
    </row>
    <row r="19" spans="2:14" ht="43.5" customHeight="1"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</row>
    <row r="20" spans="2:14" ht="33.75" customHeight="1">
      <c r="B20" s="162"/>
      <c r="C20" s="162"/>
      <c r="D20" s="162"/>
      <c r="E20" s="162"/>
      <c r="F20" s="162"/>
      <c r="G20" s="162"/>
      <c r="H20" s="162"/>
      <c r="I20" s="162"/>
      <c r="J20" s="178"/>
      <c r="L20" s="178"/>
      <c r="M20" s="178"/>
      <c r="N20" s="178"/>
    </row>
    <row r="21" spans="2:14" ht="21" customHeight="1">
      <c r="B21" s="162"/>
      <c r="C21" s="162"/>
      <c r="D21" s="162"/>
      <c r="E21" s="162"/>
      <c r="F21" s="162"/>
      <c r="G21" s="162"/>
      <c r="H21" s="162"/>
      <c r="I21" s="162"/>
    </row>
    <row r="22" spans="2:14" ht="37.5" customHeight="1">
      <c r="B22" s="162"/>
      <c r="C22" s="162"/>
      <c r="D22" s="162"/>
      <c r="E22" s="162"/>
      <c r="F22" s="162"/>
      <c r="G22" s="162"/>
      <c r="H22" s="162"/>
      <c r="I22" s="162"/>
      <c r="J22" s="178"/>
      <c r="K22" s="178"/>
      <c r="L22" s="178"/>
      <c r="M22" s="178"/>
      <c r="N22" s="178"/>
    </row>
    <row r="23" spans="2:14" ht="21" customHeight="1">
      <c r="B23" s="162"/>
      <c r="C23" s="162"/>
      <c r="D23" s="162"/>
      <c r="E23" s="162"/>
      <c r="F23" s="162"/>
      <c r="G23" s="162"/>
      <c r="H23" s="162"/>
      <c r="I23" s="162"/>
    </row>
    <row r="24" spans="2:14" ht="37.5" customHeight="1">
      <c r="B24" s="162"/>
      <c r="C24" s="162"/>
      <c r="D24" s="162"/>
      <c r="E24" s="162"/>
      <c r="F24" s="162"/>
      <c r="G24" s="162"/>
      <c r="H24" s="162"/>
      <c r="I24" s="162"/>
    </row>
    <row r="25" spans="2:14" ht="20.25" customHeight="1">
      <c r="B25" s="162"/>
      <c r="C25" s="162"/>
      <c r="D25" s="162"/>
      <c r="E25" s="162"/>
      <c r="F25" s="162"/>
      <c r="G25" s="162"/>
      <c r="H25" s="162"/>
      <c r="I25" s="162"/>
    </row>
    <row r="26" spans="2:14" ht="22.5" customHeight="1">
      <c r="B26" s="162"/>
      <c r="C26" s="162"/>
      <c r="D26" s="162"/>
      <c r="E26" s="162"/>
      <c r="F26" s="162"/>
      <c r="G26" s="162"/>
      <c r="H26" s="162"/>
      <c r="I26" s="162"/>
    </row>
    <row r="27" spans="2:14" ht="22.5" customHeight="1">
      <c r="B27" s="162"/>
      <c r="C27" s="162"/>
      <c r="D27" s="162"/>
      <c r="E27" s="162"/>
      <c r="F27" s="162"/>
      <c r="G27" s="162"/>
      <c r="H27" s="162"/>
      <c r="I27" s="162"/>
    </row>
    <row r="28" spans="2:14" ht="22.5" customHeight="1">
      <c r="B28" s="162"/>
      <c r="C28" s="162"/>
      <c r="D28" s="162"/>
      <c r="E28" s="162"/>
      <c r="F28" s="162"/>
      <c r="G28" s="162"/>
      <c r="H28" s="162"/>
      <c r="I28" s="162"/>
    </row>
    <row r="29" spans="2:14" ht="17.25" customHeight="1">
      <c r="B29" s="179"/>
      <c r="C29" s="179"/>
      <c r="D29" s="179"/>
      <c r="E29" s="179"/>
      <c r="F29" s="179"/>
      <c r="G29" s="180"/>
      <c r="H29" s="179"/>
    </row>
    <row r="30" spans="2:14" ht="21.75" customHeight="1">
      <c r="B30" s="179"/>
      <c r="C30" s="179"/>
      <c r="D30" s="179"/>
      <c r="E30" s="179"/>
      <c r="F30" s="179"/>
      <c r="G30" s="180"/>
      <c r="H30" s="179"/>
    </row>
    <row r="31" spans="2:14" ht="22.5" customHeight="1">
      <c r="B31" s="179"/>
      <c r="C31" s="179"/>
      <c r="D31" s="179"/>
      <c r="E31" s="179"/>
      <c r="F31" s="179"/>
      <c r="G31" s="180"/>
      <c r="H31" s="179"/>
    </row>
    <row r="32" spans="2:14" ht="22.5" customHeight="1">
      <c r="B32" s="179"/>
      <c r="C32" s="179"/>
      <c r="D32" s="179"/>
      <c r="E32" s="179"/>
      <c r="F32" s="179"/>
      <c r="G32" s="180"/>
      <c r="H32" s="179"/>
    </row>
    <row r="33" spans="1:16" ht="22.5" customHeight="1">
      <c r="B33" s="179"/>
      <c r="C33" s="179"/>
      <c r="D33" s="179"/>
      <c r="E33" s="179"/>
      <c r="F33" s="179"/>
      <c r="G33" s="180"/>
      <c r="H33" s="179"/>
    </row>
    <row r="34" spans="1:16" ht="22.5" customHeight="1">
      <c r="B34" s="179"/>
      <c r="C34" s="179"/>
      <c r="D34" s="179"/>
      <c r="E34" s="179"/>
      <c r="F34" s="179"/>
      <c r="G34" s="180"/>
      <c r="H34" s="179"/>
    </row>
    <row r="35" spans="1:16" ht="22.5" customHeight="1">
      <c r="B35" s="179"/>
      <c r="C35" s="179"/>
      <c r="D35" s="179"/>
      <c r="E35" s="179"/>
      <c r="F35" s="179"/>
      <c r="G35" s="180"/>
      <c r="H35" s="179"/>
    </row>
    <row r="36" spans="1:16" ht="22.5" customHeight="1">
      <c r="B36" s="179"/>
      <c r="C36" s="179"/>
      <c r="D36" s="179"/>
      <c r="E36" s="179"/>
      <c r="F36" s="179"/>
      <c r="G36" s="180"/>
      <c r="H36" s="179"/>
    </row>
    <row r="37" spans="1:16" ht="22.5" customHeight="1">
      <c r="B37" s="179"/>
      <c r="C37" s="179"/>
      <c r="D37" s="179"/>
      <c r="E37" s="179"/>
      <c r="F37" s="179"/>
      <c r="G37" s="180"/>
      <c r="H37" s="179"/>
    </row>
    <row r="38" spans="1:16" ht="22.5" customHeight="1">
      <c r="B38" s="179"/>
      <c r="C38" s="179"/>
      <c r="D38" s="179"/>
      <c r="E38" s="179"/>
      <c r="F38" s="179"/>
      <c r="G38" s="180"/>
      <c r="H38" s="179"/>
    </row>
    <row r="39" spans="1:16" ht="22.5" customHeight="1">
      <c r="B39" s="179"/>
      <c r="C39" s="179"/>
      <c r="D39" s="179"/>
      <c r="E39" s="179"/>
      <c r="F39" s="179"/>
      <c r="G39" s="180"/>
      <c r="H39" s="179"/>
    </row>
    <row r="40" spans="1:16" ht="22.5" customHeight="1">
      <c r="B40" s="179"/>
      <c r="C40" s="179"/>
      <c r="D40" s="179"/>
      <c r="E40" s="179"/>
      <c r="F40" s="179"/>
      <c r="G40" s="180"/>
      <c r="H40" s="179"/>
    </row>
    <row r="41" spans="1:16" ht="22.5" customHeight="1">
      <c r="B41" s="179"/>
      <c r="C41" s="179"/>
      <c r="D41" s="179"/>
      <c r="E41" s="179"/>
      <c r="F41" s="179"/>
      <c r="G41" s="180"/>
      <c r="H41" s="179"/>
    </row>
    <row r="42" spans="1:16" ht="45" customHeight="1">
      <c r="B42" s="179"/>
      <c r="C42" s="179"/>
      <c r="D42" s="179"/>
      <c r="E42" s="179"/>
      <c r="F42" s="179"/>
      <c r="G42" s="180"/>
      <c r="H42" s="179"/>
    </row>
    <row r="43" spans="1:16" ht="22.5" customHeight="1">
      <c r="B43" s="179"/>
      <c r="C43" s="179"/>
      <c r="D43" s="179"/>
      <c r="E43" s="179"/>
      <c r="F43" s="179"/>
      <c r="G43" s="180"/>
      <c r="H43" s="179"/>
    </row>
    <row r="44" spans="1:16" ht="22.5" customHeight="1">
      <c r="B44" s="179"/>
      <c r="C44" s="179"/>
      <c r="D44" s="179"/>
      <c r="E44" s="179"/>
      <c r="F44" s="179"/>
      <c r="G44" s="180"/>
      <c r="H44" s="179"/>
    </row>
    <row r="45" spans="1:16" ht="22.5" customHeight="1">
      <c r="B45" s="179"/>
      <c r="C45" s="179"/>
      <c r="D45" s="179"/>
      <c r="E45" s="179"/>
      <c r="F45" s="179"/>
      <c r="G45" s="180"/>
      <c r="H45" s="179"/>
    </row>
    <row r="46" spans="1:16" ht="22.5" customHeight="1">
      <c r="B46" s="179"/>
      <c r="C46" s="179"/>
      <c r="D46" s="179"/>
      <c r="E46" s="179"/>
      <c r="F46" s="179"/>
      <c r="G46" s="180"/>
      <c r="H46" s="179"/>
    </row>
    <row r="47" spans="1:16" s="156" customFormat="1" ht="22.5" customHeight="1">
      <c r="A47" s="157"/>
      <c r="B47" s="179"/>
      <c r="C47" s="179"/>
      <c r="D47" s="179"/>
      <c r="E47" s="179"/>
      <c r="F47" s="179"/>
      <c r="G47" s="180"/>
      <c r="H47" s="179"/>
      <c r="J47" s="157"/>
      <c r="K47" s="157"/>
      <c r="L47" s="157"/>
      <c r="M47" s="157"/>
      <c r="N47" s="157"/>
      <c r="O47" s="157"/>
      <c r="P47" s="157"/>
    </row>
    <row r="48" spans="1:16" s="156" customFormat="1" ht="22.5" customHeight="1">
      <c r="A48" s="157"/>
      <c r="B48" s="179"/>
      <c r="C48" s="179"/>
      <c r="D48" s="179"/>
      <c r="E48" s="179"/>
      <c r="F48" s="179"/>
      <c r="G48" s="180"/>
      <c r="H48" s="179"/>
      <c r="J48" s="157"/>
      <c r="K48" s="157"/>
      <c r="L48" s="157"/>
      <c r="M48" s="157"/>
      <c r="N48" s="157"/>
      <c r="O48" s="157"/>
      <c r="P48" s="157"/>
    </row>
    <row r="49" spans="1:16" s="156" customFormat="1" ht="22.5" customHeight="1">
      <c r="A49" s="157"/>
      <c r="B49" s="179"/>
      <c r="C49" s="179"/>
      <c r="D49" s="179"/>
      <c r="E49" s="179"/>
      <c r="F49" s="179"/>
      <c r="G49" s="180"/>
      <c r="H49" s="179"/>
      <c r="J49" s="157"/>
      <c r="K49" s="157"/>
      <c r="L49" s="157"/>
      <c r="M49" s="157"/>
      <c r="N49" s="157"/>
      <c r="O49" s="157"/>
      <c r="P49" s="157"/>
    </row>
    <row r="50" spans="1:16" s="156" customFormat="1">
      <c r="A50" s="157"/>
      <c r="B50" s="179"/>
      <c r="C50" s="179"/>
      <c r="D50" s="179"/>
      <c r="E50" s="179"/>
      <c r="F50" s="179"/>
      <c r="G50" s="180"/>
      <c r="H50" s="179"/>
      <c r="J50" s="157"/>
      <c r="K50" s="157"/>
      <c r="L50" s="157"/>
      <c r="M50" s="157"/>
      <c r="N50" s="157"/>
      <c r="O50" s="157"/>
      <c r="P50" s="157"/>
    </row>
    <row r="51" spans="1:16" s="156" customFormat="1">
      <c r="A51" s="157"/>
      <c r="B51" s="179"/>
      <c r="C51" s="179"/>
      <c r="D51" s="179"/>
      <c r="E51" s="179"/>
      <c r="F51" s="179"/>
      <c r="G51" s="180"/>
      <c r="H51" s="179"/>
      <c r="J51" s="157"/>
      <c r="K51" s="157"/>
      <c r="L51" s="157"/>
      <c r="M51" s="157"/>
      <c r="N51" s="157"/>
      <c r="O51" s="157"/>
      <c r="P51" s="157"/>
    </row>
    <row r="52" spans="1:16" s="156" customFormat="1">
      <c r="A52" s="157"/>
      <c r="B52" s="179"/>
      <c r="C52" s="179"/>
      <c r="D52" s="179"/>
      <c r="E52" s="179"/>
      <c r="F52" s="179"/>
      <c r="G52" s="180"/>
      <c r="H52" s="179"/>
      <c r="J52" s="157"/>
      <c r="K52" s="157"/>
      <c r="L52" s="157"/>
      <c r="M52" s="157"/>
      <c r="N52" s="157"/>
      <c r="O52" s="157"/>
      <c r="P52" s="157"/>
    </row>
  </sheetData>
  <mergeCells count="15">
    <mergeCell ref="J18:N18"/>
    <mergeCell ref="A1:A2"/>
    <mergeCell ref="A3:A5"/>
    <mergeCell ref="A6:A8"/>
    <mergeCell ref="A9:A11"/>
    <mergeCell ref="A12:A13"/>
    <mergeCell ref="F3:F5"/>
    <mergeCell ref="F6:F8"/>
    <mergeCell ref="F9:F11"/>
    <mergeCell ref="F12:F13"/>
    <mergeCell ref="B1:H1"/>
    <mergeCell ref="A14:B14"/>
    <mergeCell ref="A15:C15"/>
    <mergeCell ref="A16:C16"/>
    <mergeCell ref="D16:H16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workbookViewId="0">
      <selection sqref="A1:F20"/>
    </sheetView>
  </sheetViews>
  <sheetFormatPr defaultColWidth="9.140625" defaultRowHeight="12.75"/>
  <cols>
    <col min="1" max="1" width="9.140625" style="157"/>
    <col min="2" max="2" width="29.42578125" style="157" customWidth="1"/>
    <col min="3" max="3" width="16.7109375" style="157" customWidth="1"/>
    <col min="4" max="4" width="13.85546875" style="157" customWidth="1"/>
    <col min="5" max="5" width="13.5703125" style="157" customWidth="1"/>
    <col min="6" max="6" width="8.7109375" style="157" customWidth="1"/>
    <col min="7" max="7" width="9.28515625" style="158" customWidth="1"/>
    <col min="8" max="8" width="10.7109375" style="157" customWidth="1"/>
    <col min="9" max="9" width="9.140625" style="156" customWidth="1"/>
    <col min="10" max="10" width="6.28515625" style="157" customWidth="1"/>
    <col min="11" max="11" width="4.140625" style="157" customWidth="1"/>
    <col min="12" max="12" width="6.28515625" style="157" customWidth="1"/>
    <col min="13" max="13" width="5.28515625" style="157" customWidth="1"/>
    <col min="14" max="14" width="4.7109375" style="157" customWidth="1"/>
    <col min="15" max="16384" width="9.140625" style="157"/>
  </cols>
  <sheetData>
    <row r="1" spans="1:9" ht="33" customHeight="1">
      <c r="A1" s="590" t="s">
        <v>194</v>
      </c>
      <c r="B1" s="590"/>
      <c r="C1" s="590"/>
      <c r="D1" s="590"/>
      <c r="E1" s="590"/>
      <c r="F1" s="590"/>
    </row>
    <row r="2" spans="1:9" ht="69.95" customHeight="1">
      <c r="A2" s="159" t="s">
        <v>20</v>
      </c>
      <c r="B2" s="160" t="s">
        <v>195</v>
      </c>
      <c r="C2" s="161" t="s">
        <v>196</v>
      </c>
      <c r="D2" s="160" t="s">
        <v>197</v>
      </c>
      <c r="E2" s="161" t="s">
        <v>198</v>
      </c>
      <c r="F2" s="160" t="s">
        <v>115</v>
      </c>
      <c r="G2" s="162"/>
      <c r="H2" s="162"/>
      <c r="I2" s="163"/>
    </row>
    <row r="3" spans="1:9" ht="30" customHeight="1">
      <c r="A3" s="159">
        <v>1</v>
      </c>
      <c r="B3" s="161" t="s">
        <v>199</v>
      </c>
      <c r="C3" s="164">
        <v>69.5</v>
      </c>
      <c r="D3" s="164">
        <v>1</v>
      </c>
      <c r="E3" s="591">
        <f>C19-C18</f>
        <v>387.9</v>
      </c>
      <c r="F3" s="161" t="s">
        <v>200</v>
      </c>
      <c r="G3" s="165"/>
      <c r="H3" s="162"/>
      <c r="I3" s="163"/>
    </row>
    <row r="4" spans="1:9" ht="22.5" customHeight="1">
      <c r="A4" s="159">
        <v>2</v>
      </c>
      <c r="B4" s="161" t="s">
        <v>201</v>
      </c>
      <c r="C4" s="164">
        <v>69.5</v>
      </c>
      <c r="D4" s="159">
        <f>D3</f>
        <v>1</v>
      </c>
      <c r="E4" s="592"/>
      <c r="F4" s="166" t="s">
        <v>202</v>
      </c>
      <c r="G4" s="167"/>
      <c r="H4" s="168"/>
    </row>
    <row r="5" spans="1:9" ht="22.5" customHeight="1">
      <c r="A5" s="159">
        <v>3</v>
      </c>
      <c r="B5" s="161" t="s">
        <v>203</v>
      </c>
      <c r="C5" s="164">
        <v>69.8</v>
      </c>
      <c r="D5" s="159">
        <f t="shared" ref="D5:D17" si="0">D4</f>
        <v>1</v>
      </c>
      <c r="E5" s="592"/>
      <c r="F5" s="166" t="s">
        <v>202</v>
      </c>
      <c r="G5" s="167"/>
      <c r="H5" s="168"/>
    </row>
    <row r="6" spans="1:9" ht="22.5" customHeight="1">
      <c r="A6" s="159">
        <v>4</v>
      </c>
      <c r="B6" s="161" t="s">
        <v>204</v>
      </c>
      <c r="C6" s="164">
        <v>78.2</v>
      </c>
      <c r="D6" s="159">
        <f t="shared" si="0"/>
        <v>1</v>
      </c>
      <c r="E6" s="592"/>
      <c r="F6" s="161" t="s">
        <v>200</v>
      </c>
      <c r="G6" s="167"/>
      <c r="H6" s="168"/>
    </row>
    <row r="7" spans="1:9" ht="22.5" customHeight="1">
      <c r="A7" s="159">
        <v>5</v>
      </c>
      <c r="B7" s="161" t="s">
        <v>205</v>
      </c>
      <c r="C7" s="164">
        <v>69.400000000000006</v>
      </c>
      <c r="D7" s="159">
        <f t="shared" si="0"/>
        <v>1</v>
      </c>
      <c r="E7" s="592"/>
      <c r="F7" s="161" t="s">
        <v>200</v>
      </c>
      <c r="G7" s="167"/>
      <c r="H7" s="168"/>
    </row>
    <row r="8" spans="1:9" ht="22.5" customHeight="1">
      <c r="A8" s="159">
        <v>6</v>
      </c>
      <c r="B8" s="161" t="s">
        <v>206</v>
      </c>
      <c r="C8" s="164">
        <v>69.2</v>
      </c>
      <c r="D8" s="159">
        <f t="shared" si="0"/>
        <v>1</v>
      </c>
      <c r="E8" s="592"/>
      <c r="F8" s="166" t="s">
        <v>202</v>
      </c>
      <c r="G8" s="167"/>
      <c r="H8" s="168"/>
    </row>
    <row r="9" spans="1:9" ht="22.5" customHeight="1">
      <c r="A9" s="159">
        <v>7</v>
      </c>
      <c r="B9" s="161" t="s">
        <v>207</v>
      </c>
      <c r="C9" s="164">
        <v>69.400000000000006</v>
      </c>
      <c r="D9" s="159">
        <f t="shared" si="0"/>
        <v>1</v>
      </c>
      <c r="E9" s="592"/>
      <c r="F9" s="166" t="s">
        <v>202</v>
      </c>
      <c r="G9" s="167"/>
      <c r="H9" s="168"/>
    </row>
    <row r="10" spans="1:9" ht="22.5" customHeight="1">
      <c r="A10" s="159">
        <v>8</v>
      </c>
      <c r="B10" s="161" t="s">
        <v>208</v>
      </c>
      <c r="C10" s="164">
        <v>68.900000000000006</v>
      </c>
      <c r="D10" s="159">
        <f t="shared" si="0"/>
        <v>1</v>
      </c>
      <c r="E10" s="592"/>
      <c r="F10" s="166" t="s">
        <v>202</v>
      </c>
      <c r="G10" s="167"/>
      <c r="H10" s="168"/>
    </row>
    <row r="11" spans="1:9" ht="22.5" customHeight="1">
      <c r="A11" s="159">
        <v>9</v>
      </c>
      <c r="B11" s="161" t="s">
        <v>209</v>
      </c>
      <c r="C11" s="164">
        <v>68.2</v>
      </c>
      <c r="D11" s="159">
        <f t="shared" si="0"/>
        <v>1</v>
      </c>
      <c r="E11" s="592"/>
      <c r="F11" s="161" t="s">
        <v>200</v>
      </c>
      <c r="G11" s="167"/>
      <c r="H11" s="168"/>
    </row>
    <row r="12" spans="1:9" ht="22.5" customHeight="1">
      <c r="A12" s="159">
        <v>10</v>
      </c>
      <c r="B12" s="161" t="s">
        <v>210</v>
      </c>
      <c r="C12" s="164">
        <v>68.5</v>
      </c>
      <c r="D12" s="159">
        <f t="shared" si="0"/>
        <v>1</v>
      </c>
      <c r="E12" s="592"/>
      <c r="F12" s="166" t="s">
        <v>202</v>
      </c>
      <c r="G12" s="167"/>
      <c r="H12" s="168"/>
    </row>
    <row r="13" spans="1:9" ht="22.5" customHeight="1">
      <c r="A13" s="159">
        <v>11</v>
      </c>
      <c r="B13" s="161" t="s">
        <v>211</v>
      </c>
      <c r="C13" s="164">
        <v>69.400000000000006</v>
      </c>
      <c r="D13" s="159">
        <f t="shared" si="0"/>
        <v>1</v>
      </c>
      <c r="E13" s="592"/>
      <c r="F13" s="161" t="s">
        <v>200</v>
      </c>
      <c r="G13" s="167"/>
      <c r="H13" s="168"/>
    </row>
    <row r="14" spans="1:9" ht="22.5" customHeight="1">
      <c r="A14" s="159">
        <v>12</v>
      </c>
      <c r="B14" s="161" t="s">
        <v>212</v>
      </c>
      <c r="C14" s="164">
        <v>68.7</v>
      </c>
      <c r="D14" s="159">
        <f t="shared" si="0"/>
        <v>1</v>
      </c>
      <c r="E14" s="592"/>
      <c r="F14" s="166" t="s">
        <v>202</v>
      </c>
      <c r="G14" s="167"/>
      <c r="H14" s="168"/>
    </row>
    <row r="15" spans="1:9" ht="22.5" customHeight="1">
      <c r="A15" s="159">
        <v>13</v>
      </c>
      <c r="B15" s="161" t="s">
        <v>213</v>
      </c>
      <c r="C15" s="164">
        <v>67.8</v>
      </c>
      <c r="D15" s="159">
        <f t="shared" si="0"/>
        <v>1</v>
      </c>
      <c r="E15" s="592"/>
      <c r="F15" s="166" t="s">
        <v>202</v>
      </c>
      <c r="G15" s="167"/>
      <c r="H15" s="169"/>
    </row>
    <row r="16" spans="1:9" ht="22.5" customHeight="1">
      <c r="A16" s="159">
        <v>14</v>
      </c>
      <c r="B16" s="161" t="s">
        <v>214</v>
      </c>
      <c r="C16" s="164">
        <v>69.2</v>
      </c>
      <c r="D16" s="159">
        <f t="shared" si="0"/>
        <v>1</v>
      </c>
      <c r="E16" s="592"/>
      <c r="F16" s="166" t="s">
        <v>202</v>
      </c>
      <c r="G16" s="170"/>
      <c r="H16" s="171"/>
    </row>
    <row r="17" spans="1:14" ht="22.5" customHeight="1">
      <c r="A17" s="159">
        <v>15</v>
      </c>
      <c r="B17" s="161" t="s">
        <v>215</v>
      </c>
      <c r="C17" s="164">
        <v>69.5</v>
      </c>
      <c r="D17" s="159">
        <f t="shared" si="0"/>
        <v>1</v>
      </c>
      <c r="E17" s="592"/>
      <c r="F17" s="161" t="s">
        <v>200</v>
      </c>
      <c r="G17" s="172"/>
      <c r="H17" s="172"/>
    </row>
    <row r="18" spans="1:14" ht="20.100000000000001" customHeight="1">
      <c r="A18" s="173"/>
      <c r="B18" s="160" t="s">
        <v>15</v>
      </c>
      <c r="C18" s="160">
        <f>SUM(C3:C17)</f>
        <v>1045.2</v>
      </c>
      <c r="D18" s="160">
        <f>SUM(D3:D17)</f>
        <v>15</v>
      </c>
      <c r="E18" s="592"/>
      <c r="F18" s="174"/>
    </row>
    <row r="19" spans="1:14" ht="26.1" customHeight="1">
      <c r="A19" s="175"/>
      <c r="B19" s="160" t="s">
        <v>216</v>
      </c>
      <c r="C19" s="160">
        <v>1433.1</v>
      </c>
      <c r="D19" s="175"/>
      <c r="E19" s="593"/>
      <c r="F19" s="175"/>
      <c r="J19" s="513"/>
      <c r="K19" s="513"/>
      <c r="L19" s="513"/>
      <c r="M19" s="513"/>
      <c r="N19" s="513"/>
    </row>
    <row r="20" spans="1:14" ht="24" customHeight="1">
      <c r="A20" s="175"/>
      <c r="B20" s="160" t="s">
        <v>217</v>
      </c>
      <c r="C20" s="176">
        <f>C18/C19*100</f>
        <v>72.932803014444204</v>
      </c>
      <c r="D20" s="177"/>
      <c r="E20" s="177"/>
      <c r="F20" s="177"/>
      <c r="G20" s="162"/>
      <c r="H20" s="162"/>
      <c r="I20" s="162"/>
      <c r="J20" s="162"/>
      <c r="K20" s="162"/>
      <c r="L20" s="162"/>
      <c r="M20" s="162"/>
      <c r="N20" s="162"/>
    </row>
    <row r="21" spans="1:14" ht="33.75" customHeight="1">
      <c r="B21" s="162"/>
      <c r="C21" s="162"/>
      <c r="D21" s="162"/>
      <c r="E21" s="162"/>
      <c r="F21" s="162"/>
      <c r="G21" s="162"/>
      <c r="H21" s="162"/>
      <c r="I21" s="162"/>
      <c r="J21" s="178"/>
      <c r="L21" s="178"/>
      <c r="M21" s="178"/>
      <c r="N21" s="178"/>
    </row>
    <row r="22" spans="1:14" ht="21" customHeight="1">
      <c r="B22" s="162"/>
      <c r="C22" s="162"/>
      <c r="D22" s="162"/>
      <c r="E22" s="162"/>
      <c r="F22" s="162"/>
      <c r="G22" s="162"/>
      <c r="H22" s="162"/>
      <c r="I22" s="162"/>
    </row>
    <row r="23" spans="1:14" ht="37.5" customHeight="1">
      <c r="B23" s="162"/>
      <c r="C23" s="162"/>
      <c r="D23" s="162"/>
      <c r="E23" s="162"/>
      <c r="F23" s="162"/>
      <c r="G23" s="162"/>
      <c r="H23" s="162"/>
      <c r="I23" s="162"/>
      <c r="J23" s="178"/>
      <c r="K23" s="178"/>
      <c r="L23" s="178"/>
      <c r="M23" s="178"/>
      <c r="N23" s="178"/>
    </row>
    <row r="24" spans="1:14" ht="21" customHeight="1">
      <c r="B24" s="162"/>
      <c r="C24" s="162"/>
      <c r="D24" s="162"/>
      <c r="E24" s="162"/>
      <c r="F24" s="162"/>
      <c r="G24" s="162"/>
      <c r="H24" s="162"/>
      <c r="I24" s="162"/>
    </row>
    <row r="25" spans="1:14" ht="37.5" customHeight="1">
      <c r="B25" s="162"/>
      <c r="C25" s="162"/>
      <c r="D25" s="162"/>
      <c r="E25" s="162"/>
      <c r="F25" s="162"/>
      <c r="G25" s="162"/>
      <c r="H25" s="162"/>
      <c r="I25" s="162"/>
    </row>
    <row r="26" spans="1:14" ht="20.25" customHeight="1">
      <c r="B26" s="162"/>
      <c r="C26" s="162"/>
      <c r="D26" s="162"/>
      <c r="E26" s="162"/>
      <c r="F26" s="162"/>
      <c r="G26" s="162"/>
      <c r="H26" s="162"/>
      <c r="I26" s="162"/>
    </row>
    <row r="27" spans="1:14" ht="22.5" customHeight="1">
      <c r="B27" s="162"/>
      <c r="C27" s="162"/>
      <c r="D27" s="162"/>
      <c r="E27" s="162"/>
      <c r="F27" s="162"/>
      <c r="G27" s="162"/>
      <c r="H27" s="162"/>
      <c r="I27" s="162"/>
    </row>
    <row r="28" spans="1:14" ht="22.5" customHeight="1">
      <c r="B28" s="162"/>
      <c r="C28" s="162"/>
      <c r="D28" s="162"/>
      <c r="E28" s="162"/>
      <c r="F28" s="162"/>
      <c r="G28" s="162"/>
      <c r="H28" s="162"/>
      <c r="I28" s="162"/>
    </row>
    <row r="29" spans="1:14" ht="22.5" customHeight="1">
      <c r="B29" s="162"/>
      <c r="C29" s="162"/>
      <c r="D29" s="162"/>
      <c r="E29" s="162"/>
      <c r="F29" s="162"/>
      <c r="G29" s="162"/>
      <c r="H29" s="162"/>
      <c r="I29" s="162"/>
    </row>
    <row r="30" spans="1:14" ht="17.25" customHeight="1">
      <c r="B30" s="179"/>
      <c r="C30" s="179"/>
      <c r="D30" s="179"/>
      <c r="E30" s="179"/>
      <c r="F30" s="179"/>
      <c r="G30" s="180"/>
      <c r="H30" s="179"/>
    </row>
    <row r="31" spans="1:14" ht="21.75" customHeight="1">
      <c r="B31" s="179"/>
      <c r="C31" s="179"/>
      <c r="D31" s="179"/>
      <c r="E31" s="179"/>
      <c r="F31" s="179"/>
      <c r="G31" s="180"/>
      <c r="H31" s="179"/>
    </row>
    <row r="32" spans="1:14" ht="22.5" customHeight="1">
      <c r="B32" s="179"/>
      <c r="C32" s="179"/>
      <c r="D32" s="179"/>
      <c r="E32" s="179"/>
      <c r="F32" s="179"/>
      <c r="G32" s="180"/>
      <c r="H32" s="179"/>
    </row>
    <row r="33" spans="1:16" ht="22.5" customHeight="1">
      <c r="B33" s="179"/>
      <c r="C33" s="179"/>
      <c r="D33" s="179"/>
      <c r="E33" s="179"/>
      <c r="F33" s="179"/>
      <c r="G33" s="180"/>
      <c r="H33" s="179"/>
    </row>
    <row r="34" spans="1:16" ht="22.5" customHeight="1">
      <c r="B34" s="179"/>
      <c r="C34" s="179"/>
      <c r="D34" s="179"/>
      <c r="E34" s="179"/>
      <c r="F34" s="179"/>
      <c r="G34" s="180"/>
      <c r="H34" s="179"/>
    </row>
    <row r="35" spans="1:16" ht="22.5" customHeight="1">
      <c r="B35" s="179"/>
      <c r="C35" s="179"/>
      <c r="D35" s="179"/>
      <c r="E35" s="179"/>
      <c r="F35" s="179"/>
      <c r="G35" s="180"/>
      <c r="H35" s="179"/>
    </row>
    <row r="36" spans="1:16" ht="22.5" customHeight="1">
      <c r="B36" s="179"/>
      <c r="C36" s="179"/>
      <c r="D36" s="179"/>
      <c r="E36" s="179"/>
      <c r="F36" s="179"/>
      <c r="G36" s="180"/>
      <c r="H36" s="179"/>
    </row>
    <row r="37" spans="1:16" ht="22.5" customHeight="1">
      <c r="B37" s="179"/>
      <c r="C37" s="179"/>
      <c r="D37" s="179"/>
      <c r="E37" s="179"/>
      <c r="F37" s="179"/>
      <c r="G37" s="180"/>
      <c r="H37" s="179"/>
    </row>
    <row r="38" spans="1:16" ht="22.5" customHeight="1">
      <c r="B38" s="179"/>
      <c r="C38" s="179"/>
      <c r="D38" s="179"/>
      <c r="E38" s="179"/>
      <c r="F38" s="179"/>
      <c r="G38" s="180"/>
      <c r="H38" s="179"/>
    </row>
    <row r="39" spans="1:16" ht="22.5" customHeight="1">
      <c r="B39" s="179"/>
      <c r="C39" s="179"/>
      <c r="D39" s="179"/>
      <c r="E39" s="179"/>
      <c r="F39" s="179"/>
      <c r="G39" s="180"/>
      <c r="H39" s="179"/>
    </row>
    <row r="40" spans="1:16" ht="22.5" customHeight="1">
      <c r="B40" s="179"/>
      <c r="C40" s="179"/>
      <c r="D40" s="179"/>
      <c r="E40" s="179"/>
      <c r="F40" s="179"/>
      <c r="G40" s="180"/>
      <c r="H40" s="179"/>
    </row>
    <row r="41" spans="1:16" ht="22.5" customHeight="1">
      <c r="B41" s="179"/>
      <c r="C41" s="179"/>
      <c r="D41" s="179"/>
      <c r="E41" s="179"/>
      <c r="F41" s="179"/>
      <c r="G41" s="180"/>
      <c r="H41" s="179"/>
    </row>
    <row r="42" spans="1:16" ht="22.5" customHeight="1">
      <c r="B42" s="179"/>
      <c r="C42" s="179"/>
      <c r="D42" s="179"/>
      <c r="E42" s="179"/>
      <c r="F42" s="179"/>
      <c r="G42" s="180"/>
      <c r="H42" s="179"/>
    </row>
    <row r="43" spans="1:16" ht="45" customHeight="1">
      <c r="B43" s="179"/>
      <c r="C43" s="179"/>
      <c r="D43" s="179"/>
      <c r="E43" s="179"/>
      <c r="F43" s="179"/>
      <c r="G43" s="180"/>
      <c r="H43" s="179"/>
    </row>
    <row r="44" spans="1:16" ht="22.5" customHeight="1">
      <c r="B44" s="179"/>
      <c r="C44" s="179"/>
      <c r="D44" s="179"/>
      <c r="E44" s="179"/>
      <c r="F44" s="179"/>
      <c r="G44" s="180"/>
      <c r="H44" s="179"/>
    </row>
    <row r="45" spans="1:16" ht="22.5" customHeight="1">
      <c r="B45" s="179"/>
      <c r="C45" s="179"/>
      <c r="D45" s="179"/>
      <c r="E45" s="179"/>
      <c r="F45" s="179"/>
      <c r="G45" s="180"/>
      <c r="H45" s="179"/>
    </row>
    <row r="46" spans="1:16" ht="22.5" customHeight="1">
      <c r="B46" s="179"/>
      <c r="C46" s="179"/>
      <c r="D46" s="179"/>
      <c r="E46" s="179"/>
      <c r="F46" s="179"/>
      <c r="G46" s="180"/>
      <c r="H46" s="179"/>
    </row>
    <row r="47" spans="1:16" ht="22.5" customHeight="1">
      <c r="B47" s="179"/>
      <c r="C47" s="179"/>
      <c r="D47" s="179"/>
      <c r="E47" s="179"/>
      <c r="F47" s="179"/>
      <c r="G47" s="180"/>
      <c r="H47" s="179"/>
    </row>
    <row r="48" spans="1:16" s="156" customFormat="1" ht="22.5" customHeight="1">
      <c r="A48" s="157"/>
      <c r="B48" s="179"/>
      <c r="C48" s="179"/>
      <c r="D48" s="179"/>
      <c r="E48" s="179"/>
      <c r="F48" s="179"/>
      <c r="G48" s="180"/>
      <c r="H48" s="179"/>
      <c r="J48" s="157"/>
      <c r="K48" s="157"/>
      <c r="L48" s="157"/>
      <c r="M48" s="157"/>
      <c r="N48" s="157"/>
      <c r="O48" s="157"/>
      <c r="P48" s="157"/>
    </row>
    <row r="49" spans="1:16" s="156" customFormat="1" ht="22.5" customHeight="1">
      <c r="A49" s="157"/>
      <c r="B49" s="179"/>
      <c r="C49" s="179"/>
      <c r="D49" s="179"/>
      <c r="E49" s="179"/>
      <c r="F49" s="179"/>
      <c r="G49" s="180"/>
      <c r="H49" s="179"/>
      <c r="J49" s="157"/>
      <c r="K49" s="157"/>
      <c r="L49" s="157"/>
      <c r="M49" s="157"/>
      <c r="N49" s="157"/>
      <c r="O49" s="157"/>
      <c r="P49" s="157"/>
    </row>
    <row r="50" spans="1:16" s="156" customFormat="1" ht="22.5" customHeight="1">
      <c r="A50" s="157"/>
      <c r="B50" s="179"/>
      <c r="C50" s="179"/>
      <c r="D50" s="179"/>
      <c r="E50" s="179"/>
      <c r="F50" s="179"/>
      <c r="G50" s="180"/>
      <c r="H50" s="179"/>
      <c r="J50" s="157"/>
      <c r="K50" s="157"/>
      <c r="L50" s="157"/>
      <c r="M50" s="157"/>
      <c r="N50" s="157"/>
      <c r="O50" s="157"/>
      <c r="P50" s="157"/>
    </row>
    <row r="51" spans="1:16" s="156" customFormat="1">
      <c r="A51" s="157"/>
      <c r="B51" s="179"/>
      <c r="C51" s="179"/>
      <c r="D51" s="179"/>
      <c r="E51" s="179"/>
      <c r="F51" s="179"/>
      <c r="G51" s="180"/>
      <c r="H51" s="179"/>
      <c r="J51" s="157"/>
      <c r="K51" s="157"/>
      <c r="L51" s="157"/>
      <c r="M51" s="157"/>
      <c r="N51" s="157"/>
      <c r="O51" s="157"/>
      <c r="P51" s="157"/>
    </row>
    <row r="52" spans="1:16" s="156" customFormat="1">
      <c r="A52" s="157"/>
      <c r="B52" s="179"/>
      <c r="C52" s="179"/>
      <c r="D52" s="179"/>
      <c r="E52" s="179"/>
      <c r="F52" s="179"/>
      <c r="G52" s="180"/>
      <c r="H52" s="179"/>
      <c r="J52" s="157"/>
      <c r="K52" s="157"/>
      <c r="L52" s="157"/>
      <c r="M52" s="157"/>
      <c r="N52" s="157"/>
      <c r="O52" s="157"/>
      <c r="P52" s="157"/>
    </row>
    <row r="53" spans="1:16" s="156" customFormat="1">
      <c r="A53" s="157"/>
      <c r="B53" s="179"/>
      <c r="C53" s="179"/>
      <c r="D53" s="179"/>
      <c r="E53" s="179"/>
      <c r="F53" s="179"/>
      <c r="G53" s="180"/>
      <c r="H53" s="179"/>
      <c r="J53" s="157"/>
      <c r="K53" s="157"/>
      <c r="L53" s="157"/>
      <c r="M53" s="157"/>
      <c r="N53" s="157"/>
      <c r="O53" s="157"/>
      <c r="P53" s="157"/>
    </row>
  </sheetData>
  <mergeCells count="3">
    <mergeCell ref="A1:F1"/>
    <mergeCell ref="J19:N19"/>
    <mergeCell ref="E3:E19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H30"/>
  <sheetViews>
    <sheetView topLeftCell="A2" zoomScale="80" zoomScaleNormal="80" workbookViewId="0">
      <selection activeCell="S9" sqref="S9"/>
    </sheetView>
  </sheetViews>
  <sheetFormatPr defaultColWidth="9.140625" defaultRowHeight="14.25"/>
  <cols>
    <col min="1" max="2" width="9.140625" style="123"/>
    <col min="3" max="3" width="52.28515625" style="123" customWidth="1"/>
    <col min="4" max="4" width="21.28515625" style="123" customWidth="1"/>
    <col min="5" max="7" width="21.7109375" style="123" customWidth="1"/>
    <col min="8" max="8" width="36.42578125" style="123" customWidth="1"/>
    <col min="9" max="9" width="18.7109375" style="123" customWidth="1"/>
    <col min="10" max="16384" width="9.140625" style="123"/>
  </cols>
  <sheetData>
    <row r="2" spans="2:8" ht="34.5" customHeight="1">
      <c r="B2" s="594" t="s">
        <v>218</v>
      </c>
      <c r="C2" s="595"/>
      <c r="D2" s="595"/>
      <c r="E2" s="595"/>
      <c r="F2" s="595"/>
      <c r="G2" s="595"/>
      <c r="H2" s="596"/>
    </row>
    <row r="3" spans="2:8" ht="15.75">
      <c r="B3" s="597" t="s">
        <v>219</v>
      </c>
      <c r="C3" s="597" t="s">
        <v>220</v>
      </c>
      <c r="D3" s="598" t="s">
        <v>221</v>
      </c>
      <c r="E3" s="598" t="s">
        <v>222</v>
      </c>
      <c r="F3" s="598" t="s">
        <v>223</v>
      </c>
      <c r="G3" s="598" t="s">
        <v>224</v>
      </c>
      <c r="H3" s="124" t="s">
        <v>26</v>
      </c>
    </row>
    <row r="4" spans="2:8" ht="54.75" customHeight="1">
      <c r="B4" s="597"/>
      <c r="C4" s="597"/>
      <c r="D4" s="598"/>
      <c r="E4" s="598"/>
      <c r="F4" s="598"/>
      <c r="G4" s="598"/>
      <c r="H4" s="124"/>
    </row>
    <row r="5" spans="2:8" ht="26.25" customHeight="1">
      <c r="B5" s="125">
        <v>1</v>
      </c>
      <c r="C5" s="126" t="s">
        <v>225</v>
      </c>
      <c r="D5" s="127" t="s">
        <v>226</v>
      </c>
      <c r="E5" s="127"/>
      <c r="F5" s="127" t="str">
        <f>+D5</f>
        <v>N01</v>
      </c>
      <c r="G5" s="127" t="str">
        <f>+F5</f>
        <v>N01</v>
      </c>
      <c r="H5" s="128" t="s">
        <v>30</v>
      </c>
    </row>
    <row r="6" spans="2:8" ht="26.25" customHeight="1">
      <c r="B6" s="125">
        <v>2</v>
      </c>
      <c r="C6" s="126" t="s">
        <v>227</v>
      </c>
      <c r="D6" s="127" t="s">
        <v>228</v>
      </c>
      <c r="E6" s="127" t="s">
        <v>228</v>
      </c>
      <c r="F6" s="127" t="s">
        <v>229</v>
      </c>
      <c r="G6" s="127" t="s">
        <v>229</v>
      </c>
      <c r="H6" s="127"/>
    </row>
    <row r="7" spans="2:8" ht="26.25" customHeight="1">
      <c r="B7" s="125">
        <v>3</v>
      </c>
      <c r="C7" s="126" t="s">
        <v>230</v>
      </c>
      <c r="D7" s="129">
        <v>4220</v>
      </c>
      <c r="E7" s="130">
        <f>+D7</f>
        <v>4220</v>
      </c>
      <c r="F7" s="130">
        <v>4220</v>
      </c>
      <c r="G7" s="131">
        <v>4220</v>
      </c>
      <c r="H7" s="128" t="s">
        <v>30</v>
      </c>
    </row>
    <row r="8" spans="2:8" ht="26.25" customHeight="1">
      <c r="B8" s="125">
        <v>4</v>
      </c>
      <c r="C8" s="126" t="s">
        <v>231</v>
      </c>
      <c r="D8" s="132">
        <f>+D9+D10</f>
        <v>1589</v>
      </c>
      <c r="E8" s="127"/>
      <c r="F8" s="127">
        <f>+F9+F10</f>
        <v>1589</v>
      </c>
      <c r="G8" s="131">
        <f>+G9+G10</f>
        <v>2088.6999999999998</v>
      </c>
      <c r="H8" s="127"/>
    </row>
    <row r="9" spans="2:8" ht="26.25" customHeight="1">
      <c r="B9" s="133"/>
      <c r="C9" s="134" t="s">
        <v>232</v>
      </c>
      <c r="D9" s="135">
        <v>1139</v>
      </c>
      <c r="E9" s="136"/>
      <c r="F9" s="136">
        <f>+D9</f>
        <v>1139</v>
      </c>
      <c r="G9" s="137">
        <f>+'CHỈ TIÊU QH'!E5</f>
        <v>1708.7</v>
      </c>
      <c r="H9" s="128"/>
    </row>
    <row r="10" spans="2:8" ht="26.25" customHeight="1">
      <c r="B10" s="133"/>
      <c r="C10" s="134" t="s">
        <v>233</v>
      </c>
      <c r="D10" s="135">
        <v>450</v>
      </c>
      <c r="E10" s="136"/>
      <c r="F10" s="136">
        <f>+D10</f>
        <v>450</v>
      </c>
      <c r="G10" s="137">
        <v>380</v>
      </c>
      <c r="H10" s="128" t="s">
        <v>234</v>
      </c>
    </row>
    <row r="11" spans="2:8" ht="26.25" customHeight="1">
      <c r="B11" s="125">
        <v>5</v>
      </c>
      <c r="C11" s="126" t="s">
        <v>235</v>
      </c>
      <c r="D11" s="132">
        <v>2631</v>
      </c>
      <c r="E11" s="127"/>
      <c r="F11" s="127"/>
      <c r="G11" s="138">
        <f>4220-G10-G9</f>
        <v>2131.3000000000002</v>
      </c>
      <c r="H11" s="139"/>
    </row>
    <row r="12" spans="2:8" ht="31.5">
      <c r="B12" s="125">
        <v>6</v>
      </c>
      <c r="C12" s="140" t="s">
        <v>236</v>
      </c>
      <c r="D12" s="141">
        <f>+D13+D14</f>
        <v>29375</v>
      </c>
      <c r="E12" s="127"/>
      <c r="F12" s="127"/>
      <c r="G12" s="131">
        <f>+G13+G14</f>
        <v>54346.7</v>
      </c>
      <c r="H12" s="127"/>
    </row>
    <row r="13" spans="2:8" ht="26.25" customHeight="1">
      <c r="B13" s="133"/>
      <c r="C13" s="142" t="str">
        <f>+C9</f>
        <v>- Nhà cao tầng</v>
      </c>
      <c r="D13" s="143">
        <f>1139*25</f>
        <v>28475</v>
      </c>
      <c r="E13" s="136"/>
      <c r="F13" s="136"/>
      <c r="G13" s="144">
        <f>+'CHỈ TIÊU QH'!E10+'CHỈ TIÊU QH'!E20</f>
        <v>52960.7</v>
      </c>
      <c r="H13" s="136"/>
    </row>
    <row r="14" spans="2:8" ht="26.25" customHeight="1">
      <c r="B14" s="133"/>
      <c r="C14" s="142" t="str">
        <f>+C10</f>
        <v>- Nhà trẻ</v>
      </c>
      <c r="D14" s="135">
        <v>900</v>
      </c>
      <c r="E14" s="136"/>
      <c r="F14" s="136"/>
      <c r="G14" s="144">
        <f>+'CHỈ TIÊU QH'!F9</f>
        <v>1386</v>
      </c>
      <c r="H14" s="128" t="s">
        <v>237</v>
      </c>
    </row>
    <row r="15" spans="2:8" ht="26.25" customHeight="1">
      <c r="B15" s="125">
        <v>7</v>
      </c>
      <c r="C15" s="140" t="s">
        <v>238</v>
      </c>
      <c r="D15" s="127"/>
      <c r="E15" s="127"/>
      <c r="F15" s="127"/>
      <c r="G15" s="141">
        <f>+'CHỈ TIÊU QH'!E18</f>
        <v>14400</v>
      </c>
      <c r="H15" s="128" t="s">
        <v>239</v>
      </c>
    </row>
    <row r="16" spans="2:8" ht="26.25" customHeight="1">
      <c r="B16" s="125">
        <v>8</v>
      </c>
      <c r="C16" s="126" t="s">
        <v>240</v>
      </c>
      <c r="D16" s="145">
        <v>0.38</v>
      </c>
      <c r="E16" s="145">
        <v>0.45</v>
      </c>
      <c r="F16" s="146"/>
      <c r="G16" s="147">
        <f>+G8/G7</f>
        <v>0.49495260663507101</v>
      </c>
      <c r="H16" s="128" t="s">
        <v>241</v>
      </c>
    </row>
    <row r="17" spans="2:8" s="122" customFormat="1" ht="26.25" customHeight="1">
      <c r="B17" s="148"/>
      <c r="C17" s="149" t="str">
        <f>+C13</f>
        <v>- Nhà cao tầng</v>
      </c>
      <c r="D17" s="150"/>
      <c r="E17" s="150"/>
      <c r="F17" s="151"/>
      <c r="G17" s="152" t="e">
        <f>+'CHỈ TIÊU QH'!#REF!/100</f>
        <v>#REF!</v>
      </c>
      <c r="H17" s="128"/>
    </row>
    <row r="18" spans="2:8" s="122" customFormat="1" ht="26.25" customHeight="1">
      <c r="B18" s="148"/>
      <c r="C18" s="149" t="str">
        <f>+C14</f>
        <v>- Nhà trẻ</v>
      </c>
      <c r="D18" s="150"/>
      <c r="E18" s="150"/>
      <c r="F18" s="151"/>
      <c r="G18" s="152">
        <f>+G10/F10%/100</f>
        <v>0.844444444444444</v>
      </c>
      <c r="H18" s="128"/>
    </row>
    <row r="19" spans="2:8" ht="26.25" customHeight="1">
      <c r="B19" s="125">
        <v>9</v>
      </c>
      <c r="C19" s="126" t="s">
        <v>40</v>
      </c>
      <c r="D19" s="132">
        <v>9.3800000000000008</v>
      </c>
      <c r="E19" s="132"/>
      <c r="F19" s="132"/>
      <c r="G19" s="131">
        <f>+(G12/G7)</f>
        <v>12.8783649289099</v>
      </c>
      <c r="H19" s="128" t="s">
        <v>242</v>
      </c>
    </row>
    <row r="20" spans="2:8" s="122" customFormat="1" ht="26.25" customHeight="1">
      <c r="B20" s="148"/>
      <c r="C20" s="149" t="str">
        <f>+C17</f>
        <v>- Nhà cao tầng</v>
      </c>
      <c r="D20" s="153"/>
      <c r="E20" s="153"/>
      <c r="F20" s="153"/>
      <c r="G20" s="154" t="e">
        <f>+'CHỈ TIÊU QH'!#REF!</f>
        <v>#REF!</v>
      </c>
      <c r="H20" s="128"/>
    </row>
    <row r="21" spans="2:8" s="122" customFormat="1" ht="26.25" customHeight="1">
      <c r="B21" s="148"/>
      <c r="C21" s="149" t="str">
        <f>+C18</f>
        <v>- Nhà trẻ</v>
      </c>
      <c r="D21" s="153"/>
      <c r="E21" s="153"/>
      <c r="F21" s="153"/>
      <c r="G21" s="154">
        <f>+G14/F10</f>
        <v>3.08</v>
      </c>
      <c r="H21" s="128"/>
    </row>
    <row r="22" spans="2:8" ht="26.25" customHeight="1">
      <c r="B22" s="125">
        <v>10</v>
      </c>
      <c r="C22" s="126" t="s">
        <v>243</v>
      </c>
      <c r="D22" s="132" t="s">
        <v>244</v>
      </c>
      <c r="E22" s="132" t="s">
        <v>245</v>
      </c>
      <c r="F22" s="132" t="s">
        <v>246</v>
      </c>
      <c r="G22" s="132" t="str">
        <f>+F22</f>
        <v>35 tầng</v>
      </c>
      <c r="H22" s="155"/>
    </row>
    <row r="23" spans="2:8" s="122" customFormat="1" ht="26.25" customHeight="1">
      <c r="B23" s="148"/>
      <c r="C23" s="149" t="str">
        <f>+C9</f>
        <v>- Nhà cao tầng</v>
      </c>
      <c r="D23" s="153">
        <v>25</v>
      </c>
      <c r="E23" s="153"/>
      <c r="F23" s="153">
        <v>35</v>
      </c>
      <c r="G23" s="153">
        <v>35</v>
      </c>
      <c r="H23" s="128" t="s">
        <v>30</v>
      </c>
    </row>
    <row r="24" spans="2:8" s="122" customFormat="1" ht="26.25" customHeight="1">
      <c r="B24" s="148"/>
      <c r="C24" s="149" t="str">
        <f>+C10</f>
        <v>- Nhà trẻ</v>
      </c>
      <c r="D24" s="153">
        <v>2</v>
      </c>
      <c r="E24" s="153"/>
      <c r="F24" s="153">
        <v>2</v>
      </c>
      <c r="G24" s="153">
        <v>3</v>
      </c>
      <c r="H24" s="128" t="s">
        <v>242</v>
      </c>
    </row>
    <row r="25" spans="2:8" ht="26.25" customHeight="1">
      <c r="B25" s="125">
        <v>11</v>
      </c>
      <c r="C25" s="126" t="s">
        <v>247</v>
      </c>
      <c r="D25" s="132">
        <v>230</v>
      </c>
      <c r="E25" s="132"/>
      <c r="F25" s="132"/>
      <c r="G25" s="131">
        <v>420</v>
      </c>
      <c r="H25" s="599" t="s">
        <v>248</v>
      </c>
    </row>
    <row r="26" spans="2:8" ht="26.25" customHeight="1">
      <c r="B26" s="125">
        <v>12</v>
      </c>
      <c r="C26" s="126" t="s">
        <v>55</v>
      </c>
      <c r="D26" s="132"/>
      <c r="E26" s="132"/>
      <c r="F26" s="132"/>
      <c r="G26" s="131">
        <v>1288</v>
      </c>
      <c r="H26" s="600"/>
    </row>
    <row r="30" spans="2:8">
      <c r="D30" s="123">
        <f>1139*2.2</f>
        <v>2505.8000000000002</v>
      </c>
      <c r="G30" s="123">
        <f>1288/1000*55*12</f>
        <v>850.08</v>
      </c>
    </row>
  </sheetData>
  <mergeCells count="8">
    <mergeCell ref="H25:H26"/>
    <mergeCell ref="B2:H2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scale="6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7"/>
  <sheetViews>
    <sheetView workbookViewId="0">
      <selection activeCell="C14" sqref="C14"/>
    </sheetView>
  </sheetViews>
  <sheetFormatPr defaultColWidth="9.140625" defaultRowHeight="15"/>
  <cols>
    <col min="2" max="2" width="46.5703125" customWidth="1"/>
    <col min="3" max="3" width="20.42578125" customWidth="1"/>
    <col min="4" max="4" width="15.42578125" customWidth="1"/>
    <col min="5" max="5" width="31" customWidth="1"/>
  </cols>
  <sheetData>
    <row r="2" spans="1:5" ht="18" hidden="1" customHeight="1">
      <c r="A2" s="601" t="s">
        <v>249</v>
      </c>
      <c r="B2" s="601"/>
      <c r="C2" s="601"/>
      <c r="D2" s="601"/>
      <c r="E2" s="601"/>
    </row>
    <row r="3" spans="1:5" ht="57">
      <c r="A3" s="602" t="s">
        <v>219</v>
      </c>
      <c r="B3" s="602" t="s">
        <v>250</v>
      </c>
      <c r="C3" s="116" t="s">
        <v>251</v>
      </c>
      <c r="D3" s="116" t="s">
        <v>252</v>
      </c>
      <c r="E3" s="117" t="s">
        <v>253</v>
      </c>
    </row>
    <row r="4" spans="1:5">
      <c r="A4" s="602"/>
      <c r="B4" s="602"/>
      <c r="C4" s="118" t="s">
        <v>254</v>
      </c>
      <c r="D4" s="118" t="s">
        <v>36</v>
      </c>
      <c r="E4" s="118" t="s">
        <v>255</v>
      </c>
    </row>
    <row r="5" spans="1:5" ht="17.100000000000001" customHeight="1">
      <c r="A5" s="119"/>
      <c r="B5" s="120" t="s">
        <v>256</v>
      </c>
      <c r="C5" s="119">
        <v>4397</v>
      </c>
      <c r="D5" s="119">
        <v>100</v>
      </c>
      <c r="E5" s="120"/>
    </row>
    <row r="6" spans="1:5" ht="18" customHeight="1">
      <c r="A6" s="119">
        <v>1</v>
      </c>
      <c r="B6" s="120" t="s">
        <v>257</v>
      </c>
      <c r="C6" s="119">
        <f>'Bảng số liệu quy hoạch'!D11</f>
        <v>2053.6999999999998</v>
      </c>
      <c r="D6" s="121">
        <f>C6/C5*100</f>
        <v>46.706845576529403</v>
      </c>
      <c r="E6" s="119">
        <v>138.35</v>
      </c>
    </row>
    <row r="7" spans="1:5">
      <c r="A7" s="119">
        <v>2</v>
      </c>
      <c r="B7" s="120" t="s">
        <v>258</v>
      </c>
      <c r="C7" s="119">
        <f>C5-C6</f>
        <v>2343.3000000000002</v>
      </c>
      <c r="D7" s="121">
        <f>C7/C5*100</f>
        <v>53.293154423470597</v>
      </c>
      <c r="E7" s="120"/>
    </row>
  </sheetData>
  <mergeCells count="3">
    <mergeCell ref="A2:E2"/>
    <mergeCell ref="A3:A4"/>
    <mergeCell ref="B3:B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"/>
  <sheetViews>
    <sheetView workbookViewId="0">
      <selection activeCell="G9" sqref="G9"/>
    </sheetView>
  </sheetViews>
  <sheetFormatPr defaultColWidth="9.140625" defaultRowHeight="15"/>
  <cols>
    <col min="2" max="2" width="52.140625" customWidth="1"/>
    <col min="3" max="3" width="11.140625" customWidth="1"/>
    <col min="4" max="4" width="18.85546875" style="84" customWidth="1"/>
    <col min="5" max="5" width="35" customWidth="1"/>
    <col min="7" max="7" width="12.85546875"/>
  </cols>
  <sheetData>
    <row r="1" spans="1:5" ht="24" customHeight="1">
      <c r="A1" s="85" t="s">
        <v>20</v>
      </c>
      <c r="B1" s="86" t="s">
        <v>21</v>
      </c>
      <c r="C1" s="86" t="s">
        <v>22</v>
      </c>
      <c r="D1" s="87" t="s">
        <v>259</v>
      </c>
      <c r="E1" s="88" t="s">
        <v>26</v>
      </c>
    </row>
    <row r="2" spans="1:5" ht="17.100000000000001" customHeight="1">
      <c r="A2" s="89">
        <v>1</v>
      </c>
      <c r="B2" s="90" t="s">
        <v>260</v>
      </c>
      <c r="C2" s="91" t="s">
        <v>261</v>
      </c>
      <c r="D2" s="92">
        <v>4397</v>
      </c>
      <c r="E2" s="93"/>
    </row>
    <row r="3" spans="1:5" ht="18" customHeight="1">
      <c r="A3" s="94"/>
      <c r="B3" s="95" t="s">
        <v>262</v>
      </c>
      <c r="C3" s="96" t="s">
        <v>261</v>
      </c>
      <c r="D3" s="97">
        <v>420</v>
      </c>
      <c r="E3" s="98"/>
    </row>
    <row r="4" spans="1:5" ht="15.95" customHeight="1">
      <c r="A4" s="94"/>
      <c r="B4" s="95" t="s">
        <v>263</v>
      </c>
      <c r="C4" s="96" t="s">
        <v>261</v>
      </c>
      <c r="D4" s="97">
        <f>D2-D3</f>
        <v>3977</v>
      </c>
      <c r="E4" s="98"/>
    </row>
    <row r="5" spans="1:5" ht="45">
      <c r="A5" s="99">
        <v>2</v>
      </c>
      <c r="B5" s="100" t="s">
        <v>264</v>
      </c>
      <c r="C5" s="101" t="s">
        <v>36</v>
      </c>
      <c r="D5" s="102">
        <f>D11/D2*100</f>
        <v>46.706845576529403</v>
      </c>
      <c r="E5" s="103" t="s">
        <v>265</v>
      </c>
    </row>
    <row r="6" spans="1:5" ht="21" customHeight="1">
      <c r="A6" s="99">
        <v>3</v>
      </c>
      <c r="B6" s="100" t="s">
        <v>266</v>
      </c>
      <c r="C6" s="104" t="s">
        <v>43</v>
      </c>
      <c r="D6" s="105" t="s">
        <v>267</v>
      </c>
      <c r="E6" s="106"/>
    </row>
    <row r="7" spans="1:5" ht="45">
      <c r="A7" s="94"/>
      <c r="B7" s="95" t="s">
        <v>268</v>
      </c>
      <c r="C7" s="96" t="s">
        <v>43</v>
      </c>
      <c r="D7" s="97" t="s">
        <v>269</v>
      </c>
      <c r="E7" s="107" t="s">
        <v>270</v>
      </c>
    </row>
    <row r="8" spans="1:5" ht="18" customHeight="1">
      <c r="A8" s="94"/>
      <c r="B8" s="95" t="s">
        <v>271</v>
      </c>
      <c r="C8" s="96" t="s">
        <v>43</v>
      </c>
      <c r="D8" s="97" t="s">
        <v>246</v>
      </c>
      <c r="E8" s="98"/>
    </row>
    <row r="9" spans="1:5" ht="20.100000000000001" customHeight="1">
      <c r="A9" s="99">
        <v>4</v>
      </c>
      <c r="B9" s="100" t="s">
        <v>272</v>
      </c>
      <c r="C9" s="104" t="s">
        <v>43</v>
      </c>
      <c r="D9" s="108">
        <v>4</v>
      </c>
      <c r="E9" s="106"/>
    </row>
    <row r="10" spans="1:5">
      <c r="A10" s="94"/>
      <c r="B10" s="95" t="s">
        <v>271</v>
      </c>
      <c r="C10" s="96" t="s">
        <v>43</v>
      </c>
      <c r="D10" s="109">
        <v>4</v>
      </c>
      <c r="E10" s="98"/>
    </row>
    <row r="11" spans="1:5" ht="18" customHeight="1">
      <c r="A11" s="99">
        <v>5</v>
      </c>
      <c r="B11" s="100" t="s">
        <v>273</v>
      </c>
      <c r="C11" s="104" t="s">
        <v>261</v>
      </c>
      <c r="D11" s="105">
        <f>D12+D13</f>
        <v>2053.6999999999998</v>
      </c>
      <c r="E11" s="106"/>
    </row>
    <row r="12" spans="1:5">
      <c r="A12" s="110"/>
      <c r="B12" s="95" t="s">
        <v>268</v>
      </c>
      <c r="C12" s="96" t="s">
        <v>261</v>
      </c>
      <c r="D12" s="97">
        <v>273.7</v>
      </c>
      <c r="E12" s="98"/>
    </row>
    <row r="13" spans="1:5">
      <c r="A13" s="110"/>
      <c r="B13" s="95" t="s">
        <v>271</v>
      </c>
      <c r="C13" s="96" t="s">
        <v>261</v>
      </c>
      <c r="D13" s="97">
        <v>1780</v>
      </c>
      <c r="E13" s="98"/>
    </row>
    <row r="14" spans="1:5" ht="18.95" customHeight="1">
      <c r="A14" s="99">
        <v>6</v>
      </c>
      <c r="B14" s="100" t="s">
        <v>274</v>
      </c>
      <c r="C14" s="104" t="s">
        <v>261</v>
      </c>
      <c r="D14" s="105">
        <f>D15+D16</f>
        <v>52622.400000000001</v>
      </c>
      <c r="E14" s="106"/>
    </row>
    <row r="15" spans="1:5">
      <c r="A15" s="110"/>
      <c r="B15" s="95" t="s">
        <v>271</v>
      </c>
      <c r="C15" s="96" t="s">
        <v>261</v>
      </c>
      <c r="D15" s="97">
        <f>NHA_NOXH!O20</f>
        <v>51527.6</v>
      </c>
      <c r="E15" s="98"/>
    </row>
    <row r="16" spans="1:5">
      <c r="A16" s="110"/>
      <c r="B16" s="95" t="s">
        <v>268</v>
      </c>
      <c r="C16" s="96" t="s">
        <v>261</v>
      </c>
      <c r="D16" s="97">
        <f>D12*4</f>
        <v>1094.8</v>
      </c>
      <c r="E16" s="98"/>
    </row>
    <row r="17" spans="1:5">
      <c r="A17" s="99">
        <v>7</v>
      </c>
      <c r="B17" s="100" t="s">
        <v>275</v>
      </c>
      <c r="C17" s="104" t="s">
        <v>261</v>
      </c>
      <c r="D17" s="105">
        <f>HẦM!E6</f>
        <v>14400</v>
      </c>
      <c r="E17" s="106"/>
    </row>
    <row r="18" spans="1:5" ht="45">
      <c r="A18" s="99">
        <v>8</v>
      </c>
      <c r="B18" s="100" t="s">
        <v>40</v>
      </c>
      <c r="C18" s="104" t="s">
        <v>41</v>
      </c>
      <c r="D18" s="105">
        <f>D14/D2</f>
        <v>11.9677962246987</v>
      </c>
      <c r="E18" s="103" t="s">
        <v>276</v>
      </c>
    </row>
    <row r="19" spans="1:5" ht="18" customHeight="1">
      <c r="A19" s="99">
        <v>9</v>
      </c>
      <c r="B19" s="100" t="s">
        <v>53</v>
      </c>
      <c r="C19" s="104" t="s">
        <v>277</v>
      </c>
      <c r="D19" s="108">
        <v>420</v>
      </c>
      <c r="E19" s="106"/>
    </row>
    <row r="20" spans="1:5" ht="18" customHeight="1">
      <c r="A20" s="111">
        <v>10</v>
      </c>
      <c r="B20" s="112" t="s">
        <v>278</v>
      </c>
      <c r="C20" s="113" t="s">
        <v>56</v>
      </c>
      <c r="D20" s="114">
        <v>1288</v>
      </c>
      <c r="E20" s="11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63"/>
  <sheetViews>
    <sheetView topLeftCell="A10" zoomScale="115" zoomScaleNormal="115" workbookViewId="0">
      <selection activeCell="K33" sqref="K33"/>
    </sheetView>
  </sheetViews>
  <sheetFormatPr defaultColWidth="9.140625" defaultRowHeight="15" customHeight="1"/>
  <cols>
    <col min="1" max="1" width="8.140625" style="1" customWidth="1"/>
    <col min="2" max="2" width="11.7109375" style="1" customWidth="1"/>
    <col min="3" max="3" width="16.5703125" style="2" customWidth="1"/>
    <col min="4" max="4" width="11.7109375" style="3" customWidth="1"/>
    <col min="5" max="8" width="11.7109375" style="4" customWidth="1"/>
    <col min="9" max="9" width="11.7109375" style="5" customWidth="1"/>
    <col min="10" max="10" width="11.7109375" style="6" customWidth="1"/>
    <col min="11" max="13" width="11.7109375" style="1" customWidth="1"/>
    <col min="14" max="14" width="10.5703125" style="7" customWidth="1"/>
    <col min="15" max="15" width="16.140625" style="7" customWidth="1"/>
    <col min="16" max="16" width="11.140625" style="1" customWidth="1"/>
    <col min="17" max="17" width="39.42578125" style="1" customWidth="1"/>
    <col min="18" max="18" width="20.5703125" style="1" customWidth="1"/>
    <col min="19" max="19" width="17.5703125" style="1" customWidth="1"/>
    <col min="20" max="21" width="13.28515625" style="1" customWidth="1"/>
    <col min="22" max="16384" width="9.140625" style="1"/>
  </cols>
  <sheetData>
    <row r="1" spans="1:21" ht="30" customHeight="1">
      <c r="A1" s="496" t="s">
        <v>279</v>
      </c>
      <c r="B1" s="603"/>
      <c r="C1" s="603"/>
      <c r="D1" s="603"/>
      <c r="E1" s="603"/>
      <c r="F1" s="603"/>
      <c r="G1" s="603"/>
      <c r="H1" s="603"/>
      <c r="I1" s="8"/>
      <c r="J1" s="8"/>
      <c r="K1" s="471"/>
      <c r="L1" s="8"/>
      <c r="M1" s="8"/>
      <c r="N1" s="8"/>
      <c r="O1" s="10"/>
      <c r="P1" s="10"/>
      <c r="Q1" s="10"/>
      <c r="R1" s="10"/>
      <c r="S1" s="10"/>
      <c r="T1" s="10"/>
      <c r="U1" s="10"/>
    </row>
    <row r="2" spans="1:21" ht="42.75" customHeight="1">
      <c r="A2" s="11"/>
      <c r="B2" s="12" t="s">
        <v>280</v>
      </c>
      <c r="C2" s="13" t="s">
        <v>281</v>
      </c>
      <c r="D2" s="13" t="s">
        <v>282</v>
      </c>
      <c r="E2" s="14" t="s">
        <v>283</v>
      </c>
      <c r="F2" s="15" t="s">
        <v>284</v>
      </c>
      <c r="G2" s="15" t="s">
        <v>285</v>
      </c>
      <c r="H2" s="16" t="s">
        <v>286</v>
      </c>
      <c r="I2" s="17" t="s">
        <v>287</v>
      </c>
      <c r="J2" s="17"/>
      <c r="K2" s="471"/>
      <c r="L2" s="8"/>
      <c r="M2" s="8"/>
      <c r="N2" s="8"/>
      <c r="O2" s="10"/>
      <c r="P2" s="10"/>
      <c r="Q2" s="10"/>
      <c r="R2" s="10"/>
      <c r="S2" s="10"/>
      <c r="T2" s="10"/>
      <c r="U2" s="10"/>
    </row>
    <row r="3" spans="1:21" ht="15" customHeight="1">
      <c r="A3" s="606"/>
      <c r="B3" s="18" t="s">
        <v>288</v>
      </c>
      <c r="C3" s="19">
        <v>159.19999999999999</v>
      </c>
      <c r="D3" s="19">
        <v>75</v>
      </c>
      <c r="E3" s="20">
        <f>C3*D3/100</f>
        <v>119.4</v>
      </c>
      <c r="F3" s="21">
        <v>5</v>
      </c>
      <c r="G3" s="22">
        <f>F3*E3</f>
        <v>597</v>
      </c>
      <c r="H3" s="619"/>
      <c r="I3" s="23">
        <v>1</v>
      </c>
      <c r="J3" s="24"/>
      <c r="K3" s="8"/>
      <c r="L3" s="8"/>
      <c r="M3" s="8"/>
      <c r="N3" s="8"/>
      <c r="O3" s="10"/>
      <c r="P3" s="10"/>
      <c r="Q3" s="10"/>
      <c r="R3" s="10"/>
      <c r="S3" s="10"/>
      <c r="T3" s="10"/>
      <c r="U3" s="10"/>
    </row>
    <row r="4" spans="1:21" ht="15" customHeight="1">
      <c r="A4" s="607"/>
      <c r="B4" s="25" t="s">
        <v>289</v>
      </c>
      <c r="C4" s="26">
        <f t="shared" ref="C4:C9" si="0">C13</f>
        <v>78</v>
      </c>
      <c r="D4" s="26">
        <v>90</v>
      </c>
      <c r="E4" s="20">
        <f t="shared" ref="E4:E27" si="1">C4*D4/100</f>
        <v>70.2</v>
      </c>
      <c r="F4" s="21">
        <v>5</v>
      </c>
      <c r="G4" s="22">
        <f t="shared" ref="G4:G27" si="2">F4*E4</f>
        <v>351</v>
      </c>
      <c r="H4" s="620"/>
      <c r="I4" s="23">
        <v>1</v>
      </c>
      <c r="J4" s="24"/>
      <c r="K4" s="8"/>
      <c r="L4" s="8"/>
      <c r="M4" s="8"/>
      <c r="N4" s="8"/>
      <c r="O4" s="10"/>
      <c r="P4" s="10"/>
      <c r="Q4" s="10"/>
      <c r="R4" s="10"/>
      <c r="S4" s="10"/>
      <c r="T4" s="10"/>
      <c r="U4" s="10"/>
    </row>
    <row r="5" spans="1:21" ht="15" customHeight="1">
      <c r="A5" s="607"/>
      <c r="B5" s="25" t="s">
        <v>290</v>
      </c>
      <c r="C5" s="26">
        <f t="shared" si="0"/>
        <v>78</v>
      </c>
      <c r="D5" s="26">
        <f>D4</f>
        <v>90</v>
      </c>
      <c r="E5" s="20">
        <f t="shared" si="1"/>
        <v>70.2</v>
      </c>
      <c r="F5" s="21">
        <v>5</v>
      </c>
      <c r="G5" s="22">
        <f t="shared" si="2"/>
        <v>351</v>
      </c>
      <c r="H5" s="620"/>
      <c r="I5" s="23">
        <v>1</v>
      </c>
      <c r="J5" s="24"/>
      <c r="K5" s="8"/>
      <c r="L5" s="8"/>
      <c r="M5" s="8"/>
      <c r="N5" s="8"/>
      <c r="O5" s="10"/>
      <c r="P5" s="10"/>
      <c r="Q5" s="10"/>
      <c r="R5" s="10"/>
      <c r="S5" s="10"/>
      <c r="T5" s="10"/>
      <c r="U5" s="10"/>
    </row>
    <row r="6" spans="1:21" ht="15" customHeight="1">
      <c r="A6" s="607"/>
      <c r="B6" s="25" t="s">
        <v>291</v>
      </c>
      <c r="C6" s="26">
        <f t="shared" si="0"/>
        <v>78</v>
      </c>
      <c r="D6" s="26">
        <f t="shared" ref="D6:D9" si="3">D5</f>
        <v>90</v>
      </c>
      <c r="E6" s="20">
        <f t="shared" si="1"/>
        <v>70.2</v>
      </c>
      <c r="F6" s="21">
        <v>5</v>
      </c>
      <c r="G6" s="22">
        <f t="shared" si="2"/>
        <v>351</v>
      </c>
      <c r="H6" s="620"/>
      <c r="I6" s="23">
        <v>1</v>
      </c>
      <c r="J6" s="24"/>
      <c r="K6" s="8"/>
      <c r="L6" s="8"/>
      <c r="M6" s="8"/>
      <c r="N6" s="8"/>
      <c r="O6" s="10"/>
      <c r="P6" s="10"/>
      <c r="Q6" s="10"/>
      <c r="R6" s="10"/>
      <c r="S6" s="10"/>
      <c r="T6" s="10"/>
      <c r="U6" s="10"/>
    </row>
    <row r="7" spans="1:21" ht="15" customHeight="1">
      <c r="A7" s="607"/>
      <c r="B7" s="25" t="s">
        <v>292</v>
      </c>
      <c r="C7" s="26">
        <f t="shared" si="0"/>
        <v>78</v>
      </c>
      <c r="D7" s="26">
        <f t="shared" si="3"/>
        <v>90</v>
      </c>
      <c r="E7" s="20">
        <f t="shared" si="1"/>
        <v>70.2</v>
      </c>
      <c r="F7" s="21">
        <v>5</v>
      </c>
      <c r="G7" s="22">
        <f t="shared" si="2"/>
        <v>351</v>
      </c>
      <c r="H7" s="620"/>
      <c r="I7" s="23">
        <v>1</v>
      </c>
      <c r="J7" s="24"/>
      <c r="K7" s="8"/>
      <c r="L7" s="8"/>
      <c r="M7" s="8"/>
      <c r="N7" s="8"/>
      <c r="O7" s="10"/>
      <c r="P7" s="10"/>
      <c r="Q7" s="10"/>
      <c r="R7" s="10"/>
      <c r="S7" s="10"/>
      <c r="T7" s="10"/>
      <c r="U7" s="10"/>
    </row>
    <row r="8" spans="1:21" ht="15" customHeight="1">
      <c r="A8" s="607"/>
      <c r="B8" s="25" t="s">
        <v>293</v>
      </c>
      <c r="C8" s="26">
        <f t="shared" si="0"/>
        <v>78</v>
      </c>
      <c r="D8" s="26">
        <f t="shared" si="3"/>
        <v>90</v>
      </c>
      <c r="E8" s="20">
        <f t="shared" si="1"/>
        <v>70.2</v>
      </c>
      <c r="F8" s="21">
        <v>5</v>
      </c>
      <c r="G8" s="22">
        <f t="shared" si="2"/>
        <v>351</v>
      </c>
      <c r="H8" s="620"/>
      <c r="I8" s="23">
        <v>1</v>
      </c>
      <c r="J8" s="24"/>
      <c r="K8" s="8"/>
      <c r="L8" s="8"/>
      <c r="M8" s="8"/>
      <c r="N8" s="8"/>
      <c r="O8" s="10"/>
      <c r="P8" s="10"/>
      <c r="Q8" s="10"/>
      <c r="R8" s="10"/>
      <c r="S8" s="10"/>
      <c r="T8" s="10"/>
      <c r="U8" s="10"/>
    </row>
    <row r="9" spans="1:21" ht="15" customHeight="1">
      <c r="A9" s="607"/>
      <c r="B9" s="25" t="s">
        <v>294</v>
      </c>
      <c r="C9" s="26">
        <f t="shared" si="0"/>
        <v>78</v>
      </c>
      <c r="D9" s="26">
        <f t="shared" si="3"/>
        <v>90</v>
      </c>
      <c r="E9" s="20">
        <f t="shared" si="1"/>
        <v>70.2</v>
      </c>
      <c r="F9" s="21">
        <v>5</v>
      </c>
      <c r="G9" s="22">
        <f t="shared" si="2"/>
        <v>351</v>
      </c>
      <c r="H9" s="620"/>
      <c r="I9" s="23">
        <v>1</v>
      </c>
      <c r="J9" s="24"/>
      <c r="K9" s="8"/>
      <c r="L9" s="8"/>
      <c r="M9" s="8"/>
      <c r="N9" s="8"/>
      <c r="O9" s="10"/>
      <c r="P9" s="10"/>
      <c r="Q9" s="10"/>
      <c r="R9" s="10"/>
      <c r="S9" s="10"/>
      <c r="T9" s="10"/>
      <c r="U9" s="10"/>
    </row>
    <row r="10" spans="1:21" ht="15" customHeight="1">
      <c r="A10" s="608"/>
      <c r="B10" s="27" t="s">
        <v>295</v>
      </c>
      <c r="C10" s="28">
        <f>C11</f>
        <v>117</v>
      </c>
      <c r="D10" s="28">
        <v>80</v>
      </c>
      <c r="E10" s="20">
        <f t="shared" si="1"/>
        <v>93.6</v>
      </c>
      <c r="F10" s="21">
        <v>5</v>
      </c>
      <c r="G10" s="22">
        <f t="shared" si="2"/>
        <v>468</v>
      </c>
      <c r="H10" s="620"/>
      <c r="I10" s="23">
        <v>1</v>
      </c>
      <c r="J10" s="24"/>
      <c r="K10" s="8"/>
      <c r="L10" s="8"/>
      <c r="M10" s="8"/>
      <c r="N10" s="8"/>
      <c r="O10" s="10"/>
      <c r="P10" s="10"/>
      <c r="Q10" s="10"/>
      <c r="R10" s="10"/>
      <c r="S10" s="10"/>
      <c r="T10" s="10"/>
      <c r="U10" s="10"/>
    </row>
    <row r="11" spans="1:21" ht="15" customHeight="1">
      <c r="A11" s="609"/>
      <c r="B11" s="29" t="s">
        <v>84</v>
      </c>
      <c r="C11" s="30">
        <f>C19</f>
        <v>117</v>
      </c>
      <c r="D11" s="30">
        <v>80</v>
      </c>
      <c r="E11" s="31">
        <f t="shared" si="1"/>
        <v>93.6</v>
      </c>
      <c r="F11" s="21">
        <v>5</v>
      </c>
      <c r="G11" s="22">
        <f t="shared" si="2"/>
        <v>468</v>
      </c>
      <c r="H11" s="620"/>
      <c r="I11" s="23">
        <v>1</v>
      </c>
      <c r="J11" s="24"/>
      <c r="K11" s="8"/>
      <c r="L11" s="8"/>
      <c r="M11" s="8"/>
      <c r="N11" s="8"/>
      <c r="O11" s="10"/>
      <c r="P11" s="10"/>
      <c r="Q11" s="10"/>
      <c r="R11" s="10"/>
      <c r="S11" s="10"/>
      <c r="T11" s="10"/>
      <c r="U11" s="10"/>
    </row>
    <row r="12" spans="1:21" ht="15" customHeight="1">
      <c r="A12" s="610"/>
      <c r="B12" s="32" t="s">
        <v>87</v>
      </c>
      <c r="C12" s="33">
        <f t="shared" ref="C12:C17" si="4">C13</f>
        <v>78</v>
      </c>
      <c r="D12" s="33">
        <f>D4</f>
        <v>90</v>
      </c>
      <c r="E12" s="31">
        <f t="shared" si="1"/>
        <v>70.2</v>
      </c>
      <c r="F12" s="21">
        <v>5</v>
      </c>
      <c r="G12" s="22">
        <f t="shared" si="2"/>
        <v>351</v>
      </c>
      <c r="H12" s="620"/>
      <c r="I12" s="23">
        <v>1</v>
      </c>
      <c r="J12" s="24"/>
      <c r="K12" s="8"/>
      <c r="L12" s="8"/>
      <c r="M12" s="8"/>
      <c r="N12" s="8"/>
      <c r="O12" s="10"/>
      <c r="P12" s="10"/>
      <c r="Q12" s="10"/>
      <c r="R12" s="10"/>
      <c r="S12" s="10"/>
      <c r="T12" s="10"/>
      <c r="U12" s="10"/>
    </row>
    <row r="13" spans="1:21" ht="15" customHeight="1">
      <c r="A13" s="610"/>
      <c r="B13" s="32" t="s">
        <v>88</v>
      </c>
      <c r="C13" s="33">
        <f t="shared" si="4"/>
        <v>78</v>
      </c>
      <c r="D13" s="33">
        <f t="shared" ref="D13:D17" si="5">D5</f>
        <v>90</v>
      </c>
      <c r="E13" s="31">
        <f t="shared" si="1"/>
        <v>70.2</v>
      </c>
      <c r="F13" s="21">
        <v>5</v>
      </c>
      <c r="G13" s="22">
        <f t="shared" si="2"/>
        <v>351</v>
      </c>
      <c r="H13" s="620"/>
      <c r="I13" s="23">
        <v>1</v>
      </c>
      <c r="J13" s="24"/>
      <c r="K13" s="8"/>
      <c r="L13" s="8"/>
      <c r="M13" s="8"/>
      <c r="N13" s="8"/>
      <c r="O13" s="10"/>
      <c r="P13" s="10"/>
      <c r="Q13" s="10"/>
      <c r="R13" s="10"/>
      <c r="S13" s="10"/>
      <c r="T13" s="10"/>
      <c r="U13" s="10"/>
    </row>
    <row r="14" spans="1:21" ht="15" customHeight="1">
      <c r="A14" s="610"/>
      <c r="B14" s="32" t="s">
        <v>89</v>
      </c>
      <c r="C14" s="33">
        <f t="shared" si="4"/>
        <v>78</v>
      </c>
      <c r="D14" s="33">
        <f t="shared" si="5"/>
        <v>90</v>
      </c>
      <c r="E14" s="31">
        <f t="shared" si="1"/>
        <v>70.2</v>
      </c>
      <c r="F14" s="21">
        <v>5</v>
      </c>
      <c r="G14" s="22">
        <f t="shared" si="2"/>
        <v>351</v>
      </c>
      <c r="H14" s="620"/>
      <c r="I14" s="23">
        <v>1</v>
      </c>
      <c r="J14" s="24"/>
      <c r="K14" s="8"/>
      <c r="L14" s="8"/>
      <c r="M14" s="8"/>
      <c r="N14" s="8"/>
      <c r="O14" s="10"/>
      <c r="P14" s="10"/>
      <c r="Q14" s="10"/>
      <c r="R14" s="10"/>
      <c r="S14" s="10"/>
      <c r="T14" s="10"/>
      <c r="U14" s="10"/>
    </row>
    <row r="15" spans="1:21" ht="15" customHeight="1">
      <c r="A15" s="610"/>
      <c r="B15" s="32" t="s">
        <v>296</v>
      </c>
      <c r="C15" s="33">
        <f t="shared" si="4"/>
        <v>78</v>
      </c>
      <c r="D15" s="33">
        <f t="shared" si="5"/>
        <v>90</v>
      </c>
      <c r="E15" s="31">
        <f t="shared" si="1"/>
        <v>70.2</v>
      </c>
      <c r="F15" s="21">
        <v>5</v>
      </c>
      <c r="G15" s="22">
        <f t="shared" si="2"/>
        <v>351</v>
      </c>
      <c r="H15" s="620"/>
      <c r="I15" s="23">
        <v>1</v>
      </c>
      <c r="J15" s="24"/>
      <c r="K15" s="8"/>
      <c r="L15" s="8"/>
      <c r="M15" s="8"/>
      <c r="N15" s="8"/>
      <c r="O15" s="10"/>
      <c r="P15" s="10"/>
      <c r="Q15" s="10"/>
      <c r="R15" s="10"/>
      <c r="S15" s="10"/>
      <c r="T15" s="10"/>
      <c r="U15" s="10"/>
    </row>
    <row r="16" spans="1:21" ht="15" customHeight="1">
      <c r="A16" s="610"/>
      <c r="B16" s="32" t="s">
        <v>297</v>
      </c>
      <c r="C16" s="33">
        <f t="shared" si="4"/>
        <v>78</v>
      </c>
      <c r="D16" s="33">
        <f t="shared" si="5"/>
        <v>90</v>
      </c>
      <c r="E16" s="31">
        <f t="shared" si="1"/>
        <v>70.2</v>
      </c>
      <c r="F16" s="21">
        <v>5</v>
      </c>
      <c r="G16" s="22">
        <f t="shared" si="2"/>
        <v>351</v>
      </c>
      <c r="H16" s="620"/>
      <c r="I16" s="23">
        <v>1</v>
      </c>
      <c r="J16" s="24"/>
      <c r="K16" s="8"/>
      <c r="L16" s="8"/>
      <c r="M16" s="8"/>
      <c r="N16" s="8"/>
      <c r="O16" s="10"/>
      <c r="P16" s="10"/>
      <c r="Q16" s="10"/>
      <c r="R16" s="10"/>
      <c r="S16" s="10"/>
      <c r="T16" s="10"/>
      <c r="U16" s="10"/>
    </row>
    <row r="17" spans="1:21" ht="15" customHeight="1">
      <c r="A17" s="610"/>
      <c r="B17" s="32" t="s">
        <v>298</v>
      </c>
      <c r="C17" s="33">
        <f t="shared" si="4"/>
        <v>78</v>
      </c>
      <c r="D17" s="33">
        <f t="shared" si="5"/>
        <v>90</v>
      </c>
      <c r="E17" s="31">
        <f t="shared" si="1"/>
        <v>70.2</v>
      </c>
      <c r="F17" s="21">
        <v>5</v>
      </c>
      <c r="G17" s="22">
        <f t="shared" si="2"/>
        <v>351</v>
      </c>
      <c r="H17" s="620"/>
      <c r="I17" s="23">
        <v>1</v>
      </c>
      <c r="J17" s="24"/>
      <c r="K17" s="8"/>
      <c r="L17" s="8"/>
      <c r="M17" s="8"/>
      <c r="N17" s="8"/>
      <c r="O17" s="10"/>
      <c r="P17" s="10"/>
      <c r="Q17" s="10"/>
      <c r="R17" s="10"/>
      <c r="S17" s="10"/>
      <c r="T17" s="10"/>
      <c r="U17" s="10"/>
    </row>
    <row r="18" spans="1:21" ht="15" customHeight="1">
      <c r="A18" s="610"/>
      <c r="B18" s="32" t="s">
        <v>299</v>
      </c>
      <c r="C18" s="33">
        <v>78</v>
      </c>
      <c r="D18" s="33">
        <f>D17</f>
        <v>90</v>
      </c>
      <c r="E18" s="31">
        <f t="shared" si="1"/>
        <v>70.2</v>
      </c>
      <c r="F18" s="21">
        <v>5</v>
      </c>
      <c r="G18" s="22">
        <f t="shared" si="2"/>
        <v>351</v>
      </c>
      <c r="H18" s="620"/>
      <c r="I18" s="23">
        <v>1</v>
      </c>
      <c r="J18" s="24"/>
      <c r="K18" s="8"/>
      <c r="L18" s="8"/>
      <c r="M18" s="8"/>
      <c r="N18" s="8"/>
      <c r="O18" s="10"/>
      <c r="P18" s="10"/>
      <c r="Q18" s="10"/>
      <c r="R18" s="10"/>
      <c r="S18" s="10"/>
      <c r="T18" s="10"/>
      <c r="U18" s="10"/>
    </row>
    <row r="19" spans="1:21" ht="15" customHeight="1">
      <c r="A19" s="611"/>
      <c r="B19" s="34" t="s">
        <v>300</v>
      </c>
      <c r="C19" s="35">
        <v>117</v>
      </c>
      <c r="D19" s="35">
        <v>80</v>
      </c>
      <c r="E19" s="36">
        <f t="shared" si="1"/>
        <v>93.6</v>
      </c>
      <c r="F19" s="21">
        <v>5</v>
      </c>
      <c r="G19" s="22">
        <f t="shared" si="2"/>
        <v>468</v>
      </c>
      <c r="H19" s="620"/>
      <c r="I19" s="23">
        <v>1</v>
      </c>
      <c r="J19" s="24"/>
      <c r="K19" s="8"/>
      <c r="L19" s="8"/>
      <c r="M19" s="8"/>
      <c r="N19" s="8"/>
      <c r="O19" s="10"/>
      <c r="P19" s="10"/>
      <c r="Q19" s="10"/>
      <c r="R19" s="10"/>
      <c r="S19" s="10"/>
      <c r="T19" s="10"/>
      <c r="U19" s="10"/>
    </row>
    <row r="20" spans="1:21" ht="15" customHeight="1">
      <c r="A20" s="612"/>
      <c r="B20" s="37" t="s">
        <v>301</v>
      </c>
      <c r="C20" s="38">
        <v>170.4</v>
      </c>
      <c r="D20" s="38">
        <v>75</v>
      </c>
      <c r="E20" s="39">
        <f t="shared" si="1"/>
        <v>127.8</v>
      </c>
      <c r="F20" s="21">
        <v>5</v>
      </c>
      <c r="G20" s="22">
        <f t="shared" si="2"/>
        <v>639</v>
      </c>
      <c r="H20" s="620"/>
      <c r="I20" s="23">
        <v>1</v>
      </c>
      <c r="J20" s="24"/>
      <c r="K20" s="8"/>
      <c r="L20" s="8"/>
      <c r="M20" s="8"/>
      <c r="N20" s="8"/>
      <c r="O20" s="10"/>
      <c r="P20" s="10"/>
      <c r="Q20" s="10"/>
      <c r="R20" s="10"/>
      <c r="S20" s="10"/>
      <c r="T20" s="10"/>
      <c r="U20" s="10"/>
    </row>
    <row r="21" spans="1:21" ht="15" customHeight="1">
      <c r="A21" s="613"/>
      <c r="B21" s="40" t="s">
        <v>302</v>
      </c>
      <c r="C21" s="41">
        <f t="shared" ref="C21:C25" si="6">C22</f>
        <v>91</v>
      </c>
      <c r="D21" s="41">
        <v>85</v>
      </c>
      <c r="E21" s="39">
        <f t="shared" si="1"/>
        <v>77.349999999999994</v>
      </c>
      <c r="F21" s="21">
        <v>5</v>
      </c>
      <c r="G21" s="22">
        <f t="shared" si="2"/>
        <v>386.75</v>
      </c>
      <c r="H21" s="620"/>
      <c r="I21" s="23">
        <v>1</v>
      </c>
      <c r="J21" s="24"/>
      <c r="K21" s="8"/>
      <c r="L21" s="8"/>
      <c r="M21" s="8"/>
      <c r="N21" s="8"/>
      <c r="O21" s="10"/>
      <c r="P21" s="10"/>
      <c r="Q21" s="10"/>
      <c r="R21" s="10"/>
      <c r="S21" s="10"/>
      <c r="T21" s="10"/>
      <c r="U21" s="10"/>
    </row>
    <row r="22" spans="1:21" ht="15" customHeight="1">
      <c r="A22" s="613"/>
      <c r="B22" s="40" t="s">
        <v>303</v>
      </c>
      <c r="C22" s="41">
        <f t="shared" si="6"/>
        <v>91</v>
      </c>
      <c r="D22" s="41">
        <f>D21</f>
        <v>85</v>
      </c>
      <c r="E22" s="39">
        <f t="shared" si="1"/>
        <v>77.349999999999994</v>
      </c>
      <c r="F22" s="21">
        <v>5</v>
      </c>
      <c r="G22" s="22">
        <f t="shared" si="2"/>
        <v>386.75</v>
      </c>
      <c r="H22" s="620"/>
      <c r="I22" s="23">
        <v>1</v>
      </c>
      <c r="J22" s="24"/>
      <c r="K22" s="8"/>
      <c r="L22" s="8"/>
      <c r="M22" s="8"/>
      <c r="N22" s="8"/>
      <c r="O22" s="10"/>
      <c r="P22" s="10"/>
      <c r="Q22" s="10"/>
      <c r="R22" s="10"/>
      <c r="S22" s="10"/>
      <c r="T22" s="10"/>
      <c r="U22" s="10"/>
    </row>
    <row r="23" spans="1:21" ht="15" customHeight="1">
      <c r="A23" s="614"/>
      <c r="B23" s="42" t="s">
        <v>304</v>
      </c>
      <c r="C23" s="43">
        <f t="shared" si="6"/>
        <v>91</v>
      </c>
      <c r="D23" s="43">
        <f t="shared" ref="D23:D26" si="7">D22</f>
        <v>85</v>
      </c>
      <c r="E23" s="44">
        <f t="shared" si="1"/>
        <v>77.349999999999994</v>
      </c>
      <c r="F23" s="21">
        <v>5</v>
      </c>
      <c r="G23" s="22">
        <f t="shared" si="2"/>
        <v>386.75</v>
      </c>
      <c r="H23" s="620"/>
      <c r="I23" s="23">
        <v>1</v>
      </c>
      <c r="J23" s="24"/>
      <c r="K23" s="8"/>
      <c r="L23" s="8"/>
      <c r="M23" s="8"/>
      <c r="N23" s="8"/>
      <c r="O23" s="10"/>
      <c r="P23" s="10"/>
      <c r="Q23" s="10"/>
      <c r="R23" s="10"/>
      <c r="S23" s="10"/>
      <c r="T23" s="10"/>
      <c r="U23" s="10"/>
    </row>
    <row r="24" spans="1:21" ht="15" customHeight="1">
      <c r="A24" s="615"/>
      <c r="B24" s="45" t="s">
        <v>305</v>
      </c>
      <c r="C24" s="46">
        <f t="shared" si="6"/>
        <v>91</v>
      </c>
      <c r="D24" s="46">
        <f t="shared" si="7"/>
        <v>85</v>
      </c>
      <c r="E24" s="47">
        <f t="shared" si="1"/>
        <v>77.349999999999994</v>
      </c>
      <c r="F24" s="21">
        <v>5</v>
      </c>
      <c r="G24" s="22">
        <f t="shared" si="2"/>
        <v>386.75</v>
      </c>
      <c r="H24" s="620"/>
      <c r="I24" s="23">
        <v>1</v>
      </c>
      <c r="J24" s="24"/>
      <c r="K24" s="8"/>
      <c r="L24" s="8"/>
      <c r="M24" s="8"/>
      <c r="N24" s="8"/>
      <c r="O24" s="10"/>
      <c r="P24" s="10"/>
      <c r="Q24" s="10"/>
      <c r="R24" s="10"/>
      <c r="S24" s="10"/>
      <c r="T24" s="10"/>
      <c r="U24" s="10"/>
    </row>
    <row r="25" spans="1:21" ht="15" customHeight="1">
      <c r="A25" s="616"/>
      <c r="B25" s="48" t="s">
        <v>306</v>
      </c>
      <c r="C25" s="49">
        <f t="shared" si="6"/>
        <v>91</v>
      </c>
      <c r="D25" s="49">
        <f t="shared" si="7"/>
        <v>85</v>
      </c>
      <c r="E25" s="47">
        <f t="shared" si="1"/>
        <v>77.349999999999994</v>
      </c>
      <c r="F25" s="21">
        <v>5</v>
      </c>
      <c r="G25" s="22">
        <f t="shared" si="2"/>
        <v>386.75</v>
      </c>
      <c r="H25" s="620"/>
      <c r="I25" s="23">
        <v>1</v>
      </c>
      <c r="J25" s="24"/>
      <c r="K25" s="8"/>
      <c r="L25" s="8"/>
      <c r="M25" s="8"/>
      <c r="N25" s="8"/>
      <c r="O25" s="10"/>
      <c r="P25" s="10"/>
      <c r="Q25" s="10"/>
      <c r="R25" s="10"/>
      <c r="S25" s="10"/>
      <c r="T25" s="10"/>
      <c r="U25" s="10"/>
    </row>
    <row r="26" spans="1:21" ht="15" customHeight="1">
      <c r="A26" s="616"/>
      <c r="B26" s="48" t="s">
        <v>307</v>
      </c>
      <c r="C26" s="49">
        <v>91</v>
      </c>
      <c r="D26" s="49">
        <f t="shared" si="7"/>
        <v>85</v>
      </c>
      <c r="E26" s="47">
        <f t="shared" si="1"/>
        <v>77.349999999999994</v>
      </c>
      <c r="F26" s="21">
        <v>5</v>
      </c>
      <c r="G26" s="22">
        <f t="shared" si="2"/>
        <v>386.75</v>
      </c>
      <c r="H26" s="620"/>
      <c r="I26" s="23">
        <v>1</v>
      </c>
      <c r="J26" s="24"/>
      <c r="K26" s="8"/>
      <c r="L26" s="8"/>
      <c r="M26" s="8"/>
      <c r="N26" s="8"/>
      <c r="O26" s="10"/>
      <c r="P26" s="10"/>
      <c r="Q26" s="10"/>
      <c r="R26" s="10"/>
      <c r="S26" s="10"/>
      <c r="T26" s="10"/>
      <c r="U26" s="10"/>
    </row>
    <row r="27" spans="1:21" ht="15" customHeight="1">
      <c r="A27" s="617"/>
      <c r="B27" s="50" t="s">
        <v>308</v>
      </c>
      <c r="C27" s="51">
        <v>107.8</v>
      </c>
      <c r="D27" s="51">
        <v>85</v>
      </c>
      <c r="E27" s="52">
        <f t="shared" si="1"/>
        <v>91.63</v>
      </c>
      <c r="F27" s="53">
        <v>5</v>
      </c>
      <c r="G27" s="54">
        <f t="shared" si="2"/>
        <v>458.15</v>
      </c>
      <c r="H27" s="621"/>
      <c r="I27" s="23">
        <v>1</v>
      </c>
      <c r="J27" s="24"/>
      <c r="K27" s="8"/>
      <c r="L27" s="8"/>
      <c r="M27" s="8"/>
      <c r="N27" s="8"/>
      <c r="O27" s="10"/>
      <c r="P27" s="10"/>
      <c r="Q27" s="10"/>
      <c r="R27" s="10"/>
      <c r="S27" s="10"/>
      <c r="T27" s="10"/>
      <c r="U27" s="10"/>
    </row>
    <row r="28" spans="1:21" ht="19.5" customHeight="1">
      <c r="A28" s="497" t="s">
        <v>90</v>
      </c>
      <c r="B28" s="604"/>
      <c r="C28" s="55">
        <f>SUM(C3:C27)</f>
        <v>2348.4</v>
      </c>
      <c r="D28" s="55"/>
      <c r="E28" s="55">
        <f>SUM(E3:E27)</f>
        <v>1996.33</v>
      </c>
      <c r="F28" s="55"/>
      <c r="G28" s="55">
        <f>SUM(G3:G27)</f>
        <v>9981.65</v>
      </c>
      <c r="H28" s="56">
        <f>E28/C28*100</f>
        <v>85.008090614886697</v>
      </c>
      <c r="I28" s="57">
        <f>SUM(I3:I27)</f>
        <v>25</v>
      </c>
      <c r="J28" s="57"/>
      <c r="K28" s="58"/>
      <c r="L28" s="58"/>
      <c r="M28" s="58"/>
      <c r="N28" s="58"/>
      <c r="O28" s="59"/>
      <c r="P28" s="59"/>
      <c r="Q28" s="59"/>
      <c r="R28" s="59"/>
      <c r="S28" s="59"/>
      <c r="T28" s="60"/>
      <c r="U28" s="60"/>
    </row>
    <row r="29" spans="1:21" ht="17.25" customHeight="1">
      <c r="A29" s="471"/>
      <c r="B29" s="471"/>
      <c r="C29" s="61"/>
      <c r="D29" s="61"/>
      <c r="E29" s="62"/>
      <c r="F29" s="62"/>
      <c r="G29" s="62"/>
      <c r="H29" s="63"/>
      <c r="I29" s="23"/>
      <c r="J29" s="24"/>
      <c r="K29" s="60"/>
      <c r="L29" s="60"/>
      <c r="M29" s="59"/>
      <c r="N29" s="59"/>
      <c r="O29" s="59"/>
      <c r="P29" s="59"/>
      <c r="Q29" s="59"/>
      <c r="R29" s="59"/>
      <c r="S29" s="59"/>
      <c r="T29" s="60"/>
      <c r="U29" s="60"/>
    </row>
    <row r="30" spans="1:21" ht="19.5" customHeight="1">
      <c r="A30" s="471"/>
      <c r="B30" s="471"/>
      <c r="C30" s="61"/>
      <c r="D30" s="64"/>
      <c r="E30" s="65"/>
      <c r="F30" s="65"/>
      <c r="G30" s="65"/>
      <c r="H30" s="66"/>
      <c r="M30" s="59"/>
      <c r="N30" s="59"/>
      <c r="O30" s="59"/>
      <c r="P30" s="59"/>
      <c r="Q30" s="59"/>
      <c r="R30" s="59"/>
      <c r="S30" s="59"/>
    </row>
    <row r="31" spans="1:21" ht="19.5" customHeight="1">
      <c r="A31" s="471"/>
      <c r="B31" s="471"/>
      <c r="C31" s="67"/>
      <c r="D31" s="68"/>
      <c r="E31" s="69"/>
      <c r="F31" s="69"/>
      <c r="G31" s="69"/>
      <c r="H31" s="70"/>
      <c r="M31" s="59"/>
      <c r="N31" s="59"/>
      <c r="O31" s="59"/>
      <c r="P31" s="59"/>
      <c r="Q31" s="59"/>
      <c r="R31" s="59"/>
      <c r="S31" s="59"/>
    </row>
    <row r="32" spans="1:21" ht="19.5" customHeight="1">
      <c r="A32" s="605"/>
      <c r="B32" s="605"/>
      <c r="C32" s="1"/>
      <c r="D32" s="1"/>
      <c r="E32" s="71"/>
      <c r="F32" s="71"/>
      <c r="G32" s="71"/>
      <c r="H32" s="72"/>
      <c r="M32" s="59"/>
      <c r="N32" s="59"/>
      <c r="O32" s="59"/>
      <c r="P32" s="59"/>
      <c r="Q32" s="59"/>
      <c r="R32" s="59"/>
      <c r="S32" s="59"/>
    </row>
    <row r="33" spans="1:19" ht="19.5" customHeight="1">
      <c r="B33" s="72"/>
      <c r="C33" s="1"/>
      <c r="D33" s="1"/>
      <c r="E33" s="71"/>
      <c r="F33" s="71"/>
      <c r="G33" s="71"/>
      <c r="H33" s="72"/>
      <c r="M33" s="59"/>
      <c r="N33" s="59"/>
      <c r="O33" s="59"/>
      <c r="P33" s="59"/>
      <c r="Q33" s="59"/>
      <c r="R33" s="59"/>
      <c r="S33" s="59"/>
    </row>
    <row r="34" spans="1:19" ht="19.5" customHeight="1">
      <c r="C34" s="73"/>
      <c r="D34" s="73"/>
      <c r="E34" s="71"/>
      <c r="F34" s="71"/>
      <c r="G34" s="71"/>
      <c r="H34" s="72"/>
      <c r="K34" s="74"/>
      <c r="L34" s="74"/>
      <c r="M34" s="74"/>
      <c r="N34" s="59"/>
      <c r="O34" s="59"/>
      <c r="P34" s="59"/>
      <c r="Q34" s="59"/>
      <c r="R34" s="59"/>
      <c r="S34" s="59"/>
    </row>
    <row r="35" spans="1:19" ht="19.5" customHeight="1">
      <c r="A35" s="471"/>
      <c r="B35" s="471"/>
      <c r="C35" s="471"/>
      <c r="D35" s="471"/>
      <c r="E35" s="471"/>
      <c r="F35" s="471"/>
      <c r="G35" s="471"/>
      <c r="H35" s="471"/>
      <c r="K35" s="74" t="e" cm="1">
        <f t="array" ref="K35">#REF!</f>
        <v>#REF!</v>
      </c>
      <c r="L35" s="74"/>
      <c r="M35" s="74"/>
      <c r="N35" s="59"/>
      <c r="O35" s="59"/>
      <c r="P35" s="59"/>
      <c r="Q35" s="59"/>
      <c r="R35" s="59"/>
      <c r="S35" s="59"/>
    </row>
    <row r="36" spans="1:19" ht="40.5" customHeight="1">
      <c r="A36" s="60"/>
      <c r="B36" s="75"/>
      <c r="C36" s="76"/>
      <c r="D36" s="76"/>
      <c r="E36" s="77"/>
      <c r="F36" s="77"/>
      <c r="G36" s="77"/>
      <c r="H36" s="77"/>
      <c r="K36" s="74"/>
      <c r="L36" s="74"/>
      <c r="M36" s="74"/>
      <c r="N36" s="59"/>
      <c r="O36" s="59"/>
      <c r="P36" s="59"/>
      <c r="Q36" s="59"/>
      <c r="R36" s="59"/>
      <c r="S36" s="59"/>
    </row>
    <row r="37" spans="1:19" ht="19.5" customHeight="1">
      <c r="A37" s="618"/>
      <c r="B37" s="9"/>
      <c r="C37" s="78"/>
      <c r="D37" s="78"/>
      <c r="E37" s="79"/>
      <c r="F37" s="79"/>
      <c r="G37" s="79"/>
      <c r="H37" s="80"/>
      <c r="K37" s="74"/>
      <c r="L37" s="74"/>
      <c r="M37" s="74"/>
      <c r="N37" s="59"/>
      <c r="O37" s="59"/>
      <c r="P37" s="59"/>
      <c r="Q37" s="59"/>
      <c r="R37" s="59"/>
      <c r="S37" s="59"/>
    </row>
    <row r="38" spans="1:19" ht="19.5" customHeight="1">
      <c r="A38" s="618"/>
      <c r="B38" s="9"/>
      <c r="C38" s="78"/>
      <c r="D38" s="78"/>
      <c r="E38" s="79"/>
      <c r="F38" s="79"/>
      <c r="G38" s="79"/>
      <c r="H38" s="80"/>
      <c r="K38" s="74"/>
      <c r="L38" s="74"/>
      <c r="M38" s="74"/>
      <c r="N38" s="59"/>
      <c r="O38" s="59"/>
      <c r="P38" s="59"/>
      <c r="Q38" s="59"/>
      <c r="R38" s="59"/>
      <c r="S38" s="59"/>
    </row>
    <row r="39" spans="1:19" ht="19.5" customHeight="1">
      <c r="A39" s="618"/>
      <c r="B39" s="9"/>
      <c r="C39" s="78"/>
      <c r="D39" s="78"/>
      <c r="E39" s="79"/>
      <c r="F39" s="79"/>
      <c r="G39" s="79"/>
      <c r="H39" s="80"/>
      <c r="M39" s="59"/>
      <c r="N39" s="59"/>
      <c r="O39" s="59"/>
      <c r="P39" s="59"/>
      <c r="Q39" s="59"/>
      <c r="R39" s="59"/>
      <c r="S39" s="59"/>
    </row>
    <row r="40" spans="1:19" ht="19.5" customHeight="1">
      <c r="A40" s="618"/>
      <c r="B40" s="9"/>
      <c r="C40" s="78"/>
      <c r="D40" s="78"/>
      <c r="E40" s="79"/>
      <c r="F40" s="79"/>
      <c r="G40" s="79"/>
      <c r="H40" s="80"/>
      <c r="M40" s="59"/>
      <c r="N40" s="59"/>
      <c r="O40" s="59"/>
      <c r="P40" s="59"/>
      <c r="Q40" s="59"/>
      <c r="R40" s="59"/>
      <c r="S40" s="59"/>
    </row>
    <row r="41" spans="1:19" ht="19.5" customHeight="1">
      <c r="A41" s="618"/>
      <c r="B41" s="9"/>
      <c r="C41" s="78"/>
      <c r="D41" s="78"/>
      <c r="E41" s="79"/>
      <c r="F41" s="79"/>
      <c r="G41" s="79"/>
      <c r="H41" s="80"/>
      <c r="M41" s="59"/>
      <c r="N41" s="59"/>
      <c r="O41" s="59"/>
      <c r="P41" s="59"/>
      <c r="Q41" s="59"/>
      <c r="R41" s="59"/>
      <c r="S41" s="59"/>
    </row>
    <row r="42" spans="1:19" ht="19.5" customHeight="1">
      <c r="A42" s="618"/>
      <c r="B42" s="9"/>
      <c r="C42" s="78"/>
      <c r="D42" s="78"/>
      <c r="E42" s="79"/>
      <c r="F42" s="79"/>
      <c r="G42" s="79"/>
      <c r="H42" s="80"/>
      <c r="M42" s="59"/>
      <c r="N42" s="59"/>
      <c r="O42" s="59"/>
      <c r="P42" s="59"/>
      <c r="Q42" s="59"/>
      <c r="R42" s="59"/>
      <c r="S42" s="59"/>
    </row>
    <row r="43" spans="1:19" ht="19.5" customHeight="1">
      <c r="A43" s="618"/>
      <c r="B43" s="9"/>
      <c r="C43" s="78"/>
      <c r="D43" s="78"/>
      <c r="E43" s="79"/>
      <c r="F43" s="79"/>
      <c r="G43" s="79"/>
      <c r="H43" s="80"/>
      <c r="M43" s="59"/>
      <c r="N43" s="59"/>
      <c r="O43" s="59"/>
      <c r="P43" s="59"/>
      <c r="Q43" s="59"/>
      <c r="R43" s="59"/>
      <c r="S43" s="59"/>
    </row>
    <row r="44" spans="1:19" ht="19.5" customHeight="1">
      <c r="A44" s="618"/>
      <c r="B44" s="9"/>
      <c r="C44" s="78"/>
      <c r="D44" s="78"/>
      <c r="E44" s="79"/>
      <c r="F44" s="79"/>
      <c r="G44" s="79"/>
      <c r="H44" s="80"/>
      <c r="M44" s="59"/>
      <c r="N44" s="59"/>
      <c r="O44" s="59"/>
      <c r="P44" s="59"/>
      <c r="Q44" s="59"/>
      <c r="R44" s="59"/>
      <c r="S44" s="59"/>
    </row>
    <row r="45" spans="1:19" ht="19.5" customHeight="1">
      <c r="A45" s="618"/>
      <c r="B45" s="9"/>
      <c r="C45" s="78"/>
      <c r="D45" s="78"/>
      <c r="E45" s="79"/>
      <c r="F45" s="79"/>
      <c r="G45" s="79"/>
      <c r="H45" s="80"/>
      <c r="M45" s="59"/>
      <c r="N45" s="59"/>
      <c r="O45" s="59"/>
      <c r="P45" s="59"/>
      <c r="Q45" s="59"/>
      <c r="R45" s="59"/>
      <c r="S45" s="59"/>
    </row>
    <row r="46" spans="1:19" ht="19.5" customHeight="1">
      <c r="A46" s="618"/>
      <c r="B46" s="9"/>
      <c r="C46" s="78"/>
      <c r="D46" s="78"/>
      <c r="E46" s="79"/>
      <c r="F46" s="79"/>
      <c r="G46" s="79"/>
      <c r="H46" s="80"/>
      <c r="M46" s="59"/>
      <c r="N46" s="59"/>
      <c r="O46" s="59"/>
      <c r="P46" s="59"/>
      <c r="Q46" s="59"/>
      <c r="R46" s="59"/>
      <c r="S46" s="59"/>
    </row>
    <row r="47" spans="1:19" ht="19.5" customHeight="1">
      <c r="A47" s="618"/>
      <c r="B47" s="9"/>
      <c r="C47" s="78"/>
      <c r="D47" s="78"/>
      <c r="E47" s="79"/>
      <c r="F47" s="79"/>
      <c r="G47" s="79"/>
      <c r="H47" s="80"/>
      <c r="M47" s="59"/>
      <c r="N47" s="59"/>
      <c r="O47" s="59"/>
      <c r="P47" s="59"/>
      <c r="Q47" s="59"/>
      <c r="R47" s="59"/>
      <c r="S47" s="59"/>
    </row>
    <row r="48" spans="1:19" ht="19.5" customHeight="1">
      <c r="A48" s="618"/>
      <c r="B48" s="9"/>
      <c r="C48" s="78"/>
      <c r="D48" s="78"/>
      <c r="E48" s="79"/>
      <c r="F48" s="79"/>
      <c r="G48" s="79"/>
      <c r="H48" s="80"/>
      <c r="M48" s="59"/>
      <c r="N48" s="59"/>
      <c r="O48" s="59"/>
      <c r="P48" s="59"/>
      <c r="Q48" s="59"/>
      <c r="R48" s="59"/>
      <c r="S48" s="59"/>
    </row>
    <row r="49" spans="1:19" ht="19.5" customHeight="1">
      <c r="A49" s="618"/>
      <c r="B49" s="9"/>
      <c r="C49" s="78"/>
      <c r="D49" s="78"/>
      <c r="E49" s="79"/>
      <c r="F49" s="79"/>
      <c r="G49" s="79"/>
      <c r="H49" s="80"/>
      <c r="M49" s="59"/>
      <c r="N49" s="59"/>
      <c r="O49" s="59"/>
      <c r="P49" s="59"/>
      <c r="Q49" s="59"/>
      <c r="R49" s="59"/>
      <c r="S49" s="59"/>
    </row>
    <row r="50" spans="1:19" ht="19.5" customHeight="1">
      <c r="A50" s="618"/>
      <c r="B50" s="9"/>
      <c r="C50" s="78"/>
      <c r="D50" s="78"/>
      <c r="E50" s="79"/>
      <c r="F50" s="79"/>
      <c r="G50" s="79"/>
      <c r="H50" s="80"/>
      <c r="M50" s="59"/>
      <c r="N50" s="59"/>
      <c r="O50" s="59"/>
      <c r="P50" s="59"/>
      <c r="Q50" s="59"/>
      <c r="R50" s="59"/>
      <c r="S50" s="59"/>
    </row>
    <row r="51" spans="1:19" ht="19.5" customHeight="1">
      <c r="A51" s="618"/>
      <c r="B51" s="9"/>
      <c r="C51" s="78"/>
      <c r="D51" s="78"/>
      <c r="E51" s="79"/>
      <c r="F51" s="79"/>
      <c r="G51" s="79"/>
      <c r="H51" s="80"/>
      <c r="M51" s="59"/>
      <c r="N51" s="59"/>
      <c r="O51" s="59"/>
      <c r="P51" s="59"/>
      <c r="Q51" s="59"/>
      <c r="R51" s="59"/>
      <c r="S51" s="59"/>
    </row>
    <row r="52" spans="1:19" ht="18.75" customHeight="1">
      <c r="A52" s="618"/>
      <c r="B52" s="9"/>
      <c r="C52" s="78"/>
      <c r="D52" s="78"/>
      <c r="E52" s="79"/>
      <c r="F52" s="79"/>
      <c r="G52" s="79"/>
      <c r="H52" s="80"/>
      <c r="M52" s="59"/>
      <c r="N52" s="59"/>
      <c r="O52" s="59"/>
      <c r="P52" s="59"/>
      <c r="Q52" s="59"/>
      <c r="R52" s="59"/>
      <c r="S52" s="59"/>
    </row>
    <row r="53" spans="1:19" ht="19.5" customHeight="1">
      <c r="A53" s="618"/>
      <c r="B53" s="9"/>
      <c r="C53" s="78"/>
      <c r="D53" s="78"/>
      <c r="E53" s="79"/>
      <c r="F53" s="79"/>
      <c r="G53" s="79"/>
      <c r="H53" s="80"/>
      <c r="M53" s="59"/>
      <c r="N53" s="59"/>
      <c r="O53" s="59"/>
      <c r="P53" s="59"/>
      <c r="Q53" s="59"/>
      <c r="R53" s="59"/>
      <c r="S53" s="59"/>
    </row>
    <row r="54" spans="1:19" ht="19.5" customHeight="1">
      <c r="A54" s="618"/>
      <c r="B54" s="9"/>
      <c r="C54" s="78"/>
      <c r="D54" s="78"/>
      <c r="E54" s="79"/>
      <c r="F54" s="79"/>
      <c r="G54" s="79"/>
      <c r="H54" s="80"/>
    </row>
    <row r="55" spans="1:19" ht="19.5" customHeight="1">
      <c r="A55" s="618"/>
      <c r="B55" s="9"/>
      <c r="C55" s="78"/>
      <c r="D55" s="78"/>
      <c r="E55" s="79"/>
      <c r="F55" s="79"/>
      <c r="G55" s="79"/>
      <c r="H55" s="80"/>
    </row>
    <row r="56" spans="1:19" ht="15" customHeight="1">
      <c r="A56" s="618"/>
      <c r="B56" s="9"/>
      <c r="C56" s="78"/>
      <c r="D56" s="78"/>
      <c r="E56" s="79"/>
      <c r="F56" s="79"/>
      <c r="G56" s="79"/>
      <c r="H56" s="80"/>
    </row>
    <row r="57" spans="1:19" ht="15" customHeight="1">
      <c r="A57" s="618"/>
      <c r="B57" s="9"/>
      <c r="C57" s="78"/>
      <c r="D57" s="78"/>
      <c r="E57" s="79"/>
      <c r="F57" s="79"/>
      <c r="G57" s="79"/>
      <c r="H57" s="80"/>
    </row>
    <row r="58" spans="1:19" ht="15" customHeight="1">
      <c r="A58" s="618"/>
      <c r="B58" s="9"/>
      <c r="C58" s="78"/>
      <c r="D58" s="78"/>
      <c r="E58" s="79"/>
      <c r="F58" s="79"/>
      <c r="G58" s="79"/>
      <c r="H58" s="80"/>
    </row>
    <row r="59" spans="1:19" ht="15" customHeight="1">
      <c r="A59" s="618"/>
      <c r="B59" s="9"/>
      <c r="C59" s="78"/>
      <c r="D59" s="78"/>
      <c r="E59" s="79"/>
      <c r="F59" s="79"/>
      <c r="G59" s="79"/>
      <c r="H59" s="81"/>
    </row>
    <row r="60" spans="1:19" ht="15" customHeight="1">
      <c r="A60" s="618"/>
      <c r="B60" s="9"/>
      <c r="C60" s="78"/>
      <c r="D60" s="78"/>
      <c r="E60" s="79"/>
      <c r="F60" s="79"/>
      <c r="G60" s="79"/>
      <c r="H60" s="81"/>
    </row>
    <row r="61" spans="1:19" ht="15" customHeight="1">
      <c r="A61" s="618"/>
      <c r="B61" s="9"/>
      <c r="C61" s="78"/>
      <c r="D61" s="78"/>
      <c r="E61" s="79"/>
      <c r="F61" s="79"/>
      <c r="G61" s="79"/>
      <c r="H61" s="80"/>
    </row>
    <row r="62" spans="1:19" ht="15" customHeight="1">
      <c r="A62" s="618"/>
      <c r="B62" s="9"/>
      <c r="C62" s="78"/>
      <c r="D62" s="78"/>
      <c r="E62" s="79"/>
      <c r="F62" s="79"/>
      <c r="G62" s="79"/>
      <c r="H62" s="80"/>
    </row>
    <row r="63" spans="1:19" ht="15" customHeight="1">
      <c r="A63" s="471"/>
      <c r="B63" s="471"/>
      <c r="C63" s="82"/>
      <c r="D63" s="82"/>
      <c r="E63" s="83"/>
      <c r="F63" s="83"/>
      <c r="G63" s="83"/>
      <c r="H63" s="82"/>
    </row>
  </sheetData>
  <mergeCells count="16">
    <mergeCell ref="K1:K2"/>
    <mergeCell ref="A32:B32"/>
    <mergeCell ref="A35:H35"/>
    <mergeCell ref="A63:B63"/>
    <mergeCell ref="A3:A10"/>
    <mergeCell ref="A11:A19"/>
    <mergeCell ref="A20:A23"/>
    <mergeCell ref="A24:A27"/>
    <mergeCell ref="A37:A59"/>
    <mergeCell ref="A60:A62"/>
    <mergeCell ref="H3:H27"/>
    <mergeCell ref="A1:H1"/>
    <mergeCell ref="A28:B28"/>
    <mergeCell ref="A29:B29"/>
    <mergeCell ref="A30:B30"/>
    <mergeCell ref="A31:B31"/>
  </mergeCells>
  <pageMargins left="0.7" right="0.7" top="0.75" bottom="0.75" header="0.3" footer="0.3"/>
  <pageSetup paperSize="8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ĐẦU VÀO</vt:lpstr>
      <vt:lpstr>CHỈ TIÊU QH</vt:lpstr>
      <vt:lpstr>NHA_NOXH</vt:lpstr>
      <vt:lpstr>TẦNG 1-3</vt:lpstr>
      <vt:lpstr>HẦM</vt:lpstr>
      <vt:lpstr>TẦNG 1-6(HH)</vt:lpstr>
      <vt:lpstr>TẦNG 7-35(NOXH)</vt:lpstr>
      <vt:lpstr>TẦNG 7-35(NOXH) (2)</vt:lpstr>
      <vt:lpstr>BANG CT SS</vt:lpstr>
      <vt:lpstr>CÂN BẰNG SỬ DỤNG ĐẤT </vt:lpstr>
      <vt:lpstr>Bảng số liệu quy hoạch</vt:lpstr>
      <vt:lpstr>NHA_DVTM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Tran Thanh</dc:creator>
  <cp:lastModifiedBy>Duan15 Bim</cp:lastModifiedBy>
  <cp:lastPrinted>2026-01-19T04:29:00Z</cp:lastPrinted>
  <dcterms:created xsi:type="dcterms:W3CDTF">2020-11-16T09:00:00Z</dcterms:created>
  <dcterms:modified xsi:type="dcterms:W3CDTF">2026-09-21T01:53:00Z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85EB9EDADFD2466F8539A67E755B54E0_12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