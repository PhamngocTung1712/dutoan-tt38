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 CỨU TT38 TỔNG HỢP" sheetId="1" state="visible" r:id="rId1"/>
    <sheet name="TH chi phí TB" sheetId="2" state="visible" r:id="rId2"/>
    <sheet name="TH chi phí XD" sheetId="3" state="visible" r:id="rId3"/>
    <sheet name="THKP hạng mục" sheetId="4" state="visible" r:id="rId4"/>
    <sheet name="Giá tổng hợp" sheetId="5" state="visible" r:id="rId5"/>
    <sheet name="Tổng hợp VT" sheetId="6" state="visible" r:id="rId6"/>
    <sheet name="Công trình" sheetId="7" state="visible" r:id="rId7"/>
    <sheet name="Giá tháng" sheetId="8" state="visible" r:id="rId8"/>
    <sheet name="Đầu vào" sheetId="9" state="visible" r:id="rId9"/>
    <sheet name="Nhân công" sheetId="10" state="visible" r:id="rId10"/>
    <sheet name="Máy" sheetId="11" state="visible" r:id="rId11"/>
    <sheet name="HaoPhiVatTu" sheetId="12" state="visible" r:id="rId12"/>
    <sheet name="THVT gộp" sheetId="13" state="visible" r:id="rId13"/>
    <sheet name="Cước VC" sheetId="14" state="visible" r:id="rId14"/>
    <sheet name="Cước bộ" sheetId="15" state="visible" r:id="rId15"/>
    <sheet name="Đơn giá chi tiết" sheetId="16" state="visible" r:id="rId16"/>
    <sheet name="Bồi thường" sheetId="17" state="visible" r:id="rId17"/>
    <sheet name="Dự phòng" sheetId="18" state="visible" r:id="rId18"/>
    <sheet name="TH kinh phí" sheetId="19" state="visible" r:id="rId19"/>
    <sheet name="Chi tiết KL" sheetId="20" state="visible" r:id="rId20"/>
    <sheet name="Công trình TL" sheetId="21" state="visible" r:id="rId21"/>
    <sheet name="Chiết tính" sheetId="22" state="visible" r:id="rId22"/>
    <sheet name="Hệ số" sheetId="23" state="visible" r:id="rId23"/>
    <sheet name="Đơn giá TH" sheetId="24" state="visible" r:id="rId24"/>
    <sheet name="Dự thầu" sheetId="25" state="visible" r:id="rId25"/>
    <sheet name="Dự phòng thầu" sheetId="26" state="visible" r:id="rId26"/>
    <sheet name="Dự toán gói thầu" sheetId="27" state="visible" r:id="rId27"/>
    <sheet name="Bìa" sheetId="28" state="visible" r:id="rId28"/>
    <sheet name="HSXL" sheetId="29" state="visible" r:id="rId29"/>
    <sheet name="Định mức tư vấn" sheetId="30" state="visible" r:id="rId30"/>
    <sheet name="Cấu hình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Times New Roman"/>
      <sz val="11"/>
    </font>
    <font>
      <name val="Times New Roman"/>
      <b val="1"/>
      <sz val="11"/>
    </font>
    <font>
      <name val="Times New Roman"/>
      <b val="1"/>
      <color rgb="00002060"/>
      <sz val="11"/>
      <u val="single"/>
    </font>
    <font>
      <name val="Times New Roman"/>
      <b val="1"/>
      <color rgb="000000FF"/>
      <sz val="11"/>
      <u val="single"/>
    </font>
    <font>
      <name val="Times New Roman"/>
      <b val="1"/>
      <color rgb="001F4E79"/>
      <sz val="16"/>
    </font>
    <font>
      <name val="Times New Roman"/>
      <i val="1"/>
      <sz val="11"/>
    </font>
    <font>
      <name val="Times New Roman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4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3" fillId="4" borderId="0" pivotButton="0" quotePrefix="0" xfId="0"/>
    <xf numFmtId="0" fontId="4" fillId="4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styles" Target="styles.xml" Id="rId32" /><Relationship Type="http://schemas.openxmlformats.org/officeDocument/2006/relationships/theme" Target="theme/theme1.xml" Id="rId3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tt38://pl5/37" TargetMode="External" Id="rId1" /><Relationship Type="http://schemas.openxmlformats.org/officeDocument/2006/relationships/hyperlink" Target="tt38://pl3/6" TargetMode="External" Id="rId2" /><Relationship Type="http://schemas.openxmlformats.org/officeDocument/2006/relationships/hyperlink" Target="tt38://pl3/6" TargetMode="External" Id="rId3" /><Relationship Type="http://schemas.openxmlformats.org/officeDocument/2006/relationships/hyperlink" Target="tt38://pl3/6" TargetMode="External" Id="rId4" /><Relationship Type="http://schemas.openxmlformats.org/officeDocument/2006/relationships/hyperlink" Target="tt38://pl3/6" TargetMode="External" Id="rId5" /><Relationship Type="http://schemas.openxmlformats.org/officeDocument/2006/relationships/hyperlink" Target="tt38://pl3/6" TargetMode="External" Id="rId6" /><Relationship Type="http://schemas.openxmlformats.org/officeDocument/2006/relationships/hyperlink" Target="tt38://pl3/6" TargetMode="External" Id="rId7" /><Relationship Type="http://schemas.openxmlformats.org/officeDocument/2006/relationships/hyperlink" Target="tt38://pl3/6" TargetMode="External" Id="rId8" /><Relationship Type="http://schemas.openxmlformats.org/officeDocument/2006/relationships/hyperlink" Target="tt38://pl3/6" TargetMode="External" Id="rId9" /><Relationship Type="http://schemas.openxmlformats.org/officeDocument/2006/relationships/hyperlink" Target="tt38://pl3/6" TargetMode="External" Id="rId10" /><Relationship Type="http://schemas.openxmlformats.org/officeDocument/2006/relationships/hyperlink" Target="tt38://pl3/6" TargetMode="External" Id="rId11" /><Relationship Type="http://schemas.openxmlformats.org/officeDocument/2006/relationships/hyperlink" Target="tt38://pl3/6" TargetMode="External" Id="rId12" /><Relationship Type="http://schemas.openxmlformats.org/officeDocument/2006/relationships/hyperlink" Target="tt38://pl3/100" TargetMode="External" Id="rId13" /><Relationship Type="http://schemas.openxmlformats.org/officeDocument/2006/relationships/hyperlink" Target="tt38://pl3/100" TargetMode="External" Id="rId14" /><Relationship Type="http://schemas.openxmlformats.org/officeDocument/2006/relationships/hyperlink" Target="tt38://pl3/100" TargetMode="External" Id="rId15" /><Relationship Type="http://schemas.openxmlformats.org/officeDocument/2006/relationships/hyperlink" Target="tt38://pl3/100" TargetMode="External" Id="rId16" /><Relationship Type="http://schemas.openxmlformats.org/officeDocument/2006/relationships/hyperlink" Target="tt38://pl3/100" TargetMode="External" Id="rId17" /><Relationship Type="http://schemas.openxmlformats.org/officeDocument/2006/relationships/hyperlink" Target="tt38://pl3/100" TargetMode="External" Id="rId18" /><Relationship Type="http://schemas.openxmlformats.org/officeDocument/2006/relationships/hyperlink" Target="tt38://pl3/100" TargetMode="External" Id="rId19" /><Relationship Type="http://schemas.openxmlformats.org/officeDocument/2006/relationships/hyperlink" Target="tt38://pl3/100" TargetMode="External" Id="rId20" /><Relationship Type="http://schemas.openxmlformats.org/officeDocument/2006/relationships/hyperlink" Target="tt38://pl3/100" TargetMode="External" Id="rId21" /><Relationship Type="http://schemas.openxmlformats.org/officeDocument/2006/relationships/hyperlink" Target="tt38://pl3/212" TargetMode="External" Id="rId22" /><Relationship Type="http://schemas.openxmlformats.org/officeDocument/2006/relationships/hyperlink" Target="tt38://pl3/212" TargetMode="External" Id="rId23" /><Relationship Type="http://schemas.openxmlformats.org/officeDocument/2006/relationships/hyperlink" Target="tt38://pl3/212" TargetMode="External" Id="rId24" /><Relationship Type="http://schemas.openxmlformats.org/officeDocument/2006/relationships/hyperlink" Target="tt38://pl3/212" TargetMode="External" Id="rId25" /><Relationship Type="http://schemas.openxmlformats.org/officeDocument/2006/relationships/hyperlink" Target="tt38://pl3/212" TargetMode="External" Id="rId26" /><Relationship Type="http://schemas.openxmlformats.org/officeDocument/2006/relationships/hyperlink" Target="tt38://pl3/212" TargetMode="External" Id="rId27" /><Relationship Type="http://schemas.openxmlformats.org/officeDocument/2006/relationships/hyperlink" Target="tt38://pl3/212" TargetMode="External" Id="rId28" /><Relationship Type="http://schemas.openxmlformats.org/officeDocument/2006/relationships/hyperlink" Target="tt38://pl3/212" TargetMode="External" Id="rId29" /><Relationship Type="http://schemas.openxmlformats.org/officeDocument/2006/relationships/hyperlink" Target="tt38://pl3/212" TargetMode="External" Id="rId30" /><Relationship Type="http://schemas.openxmlformats.org/officeDocument/2006/relationships/hyperlink" Target="tt38://pl3/71" TargetMode="External" Id="rId31" /><Relationship Type="http://schemas.openxmlformats.org/officeDocument/2006/relationships/hyperlink" Target="tt38://pl3/71" TargetMode="External" Id="rId32" /><Relationship Type="http://schemas.openxmlformats.org/officeDocument/2006/relationships/hyperlink" Target="tt38://pl3/71" TargetMode="External" Id="rId33" /><Relationship Type="http://schemas.openxmlformats.org/officeDocument/2006/relationships/hyperlink" Target="tt38://pl3/71" TargetMode="External" Id="rId34" /><Relationship Type="http://schemas.openxmlformats.org/officeDocument/2006/relationships/hyperlink" Target="tt38://pl3/71" TargetMode="External" Id="rId35" /><Relationship Type="http://schemas.openxmlformats.org/officeDocument/2006/relationships/hyperlink" Target="tt38://pl3/204" TargetMode="External" Id="rId36" /><Relationship Type="http://schemas.openxmlformats.org/officeDocument/2006/relationships/hyperlink" Target="tt38://pl3/204" TargetMode="External" Id="rId37" /><Relationship Type="http://schemas.openxmlformats.org/officeDocument/2006/relationships/hyperlink" Target="tt38://pl3/204" TargetMode="External" Id="rId38" /><Relationship Type="http://schemas.openxmlformats.org/officeDocument/2006/relationships/hyperlink" Target="tt38://pl3/204" TargetMode="External" Id="rId39" /><Relationship Type="http://schemas.openxmlformats.org/officeDocument/2006/relationships/hyperlink" Target="tt38://pl3/204" TargetMode="External" Id="rId40" /><Relationship Type="http://schemas.openxmlformats.org/officeDocument/2006/relationships/hyperlink" Target="tt38://pl3/14" TargetMode="External" Id="rId41" /><Relationship Type="http://schemas.openxmlformats.org/officeDocument/2006/relationships/hyperlink" Target="tt38://pl3/14" TargetMode="External" Id="rId42" /><Relationship Type="http://schemas.openxmlformats.org/officeDocument/2006/relationships/hyperlink" Target="tt38://pl3/14" TargetMode="External" Id="rId43" /><Relationship Type="http://schemas.openxmlformats.org/officeDocument/2006/relationships/hyperlink" Target="tt38://pl3/14" TargetMode="External" Id="rId44" /><Relationship Type="http://schemas.openxmlformats.org/officeDocument/2006/relationships/hyperlink" Target="tt38://pl5/37" TargetMode="External" Id="rId45" /><Relationship Type="http://schemas.openxmlformats.org/officeDocument/2006/relationships/hyperlink" Target="tt38://pl3/6" TargetMode="External" Id="rId46" /><Relationship Type="http://schemas.openxmlformats.org/officeDocument/2006/relationships/hyperlink" Target="tt38://pl3/6" TargetMode="External" Id="rId47" /><Relationship Type="http://schemas.openxmlformats.org/officeDocument/2006/relationships/hyperlink" Target="tt38://pl3/6" TargetMode="External" Id="rId48" /><Relationship Type="http://schemas.openxmlformats.org/officeDocument/2006/relationships/hyperlink" Target="tt38://pl3/6" TargetMode="External" Id="rId49" /><Relationship Type="http://schemas.openxmlformats.org/officeDocument/2006/relationships/hyperlink" Target="tt38://pl3/6" TargetMode="External" Id="rId50" /><Relationship Type="http://schemas.openxmlformats.org/officeDocument/2006/relationships/hyperlink" Target="tt38://pl3/6" TargetMode="External" Id="rId51" /><Relationship Type="http://schemas.openxmlformats.org/officeDocument/2006/relationships/hyperlink" Target="tt38://pl3/6" TargetMode="External" Id="rId52" /><Relationship Type="http://schemas.openxmlformats.org/officeDocument/2006/relationships/hyperlink" Target="tt38://pl3/6" TargetMode="External" Id="rId53" /><Relationship Type="http://schemas.openxmlformats.org/officeDocument/2006/relationships/hyperlink" Target="tt38://pl3/6" TargetMode="External" Id="rId54" /><Relationship Type="http://schemas.openxmlformats.org/officeDocument/2006/relationships/hyperlink" Target="tt38://pl3/6" TargetMode="External" Id="rId55" /><Relationship Type="http://schemas.openxmlformats.org/officeDocument/2006/relationships/hyperlink" Target="tt38://pl3/6" TargetMode="External" Id="rId56" /><Relationship Type="http://schemas.openxmlformats.org/officeDocument/2006/relationships/hyperlink" Target="tt38://pl3/100" TargetMode="External" Id="rId57" /><Relationship Type="http://schemas.openxmlformats.org/officeDocument/2006/relationships/hyperlink" Target="tt38://pl3/100" TargetMode="External" Id="rId58" /><Relationship Type="http://schemas.openxmlformats.org/officeDocument/2006/relationships/hyperlink" Target="tt38://pl3/100" TargetMode="External" Id="rId59" /><Relationship Type="http://schemas.openxmlformats.org/officeDocument/2006/relationships/hyperlink" Target="tt38://pl3/100" TargetMode="External" Id="rId60" /><Relationship Type="http://schemas.openxmlformats.org/officeDocument/2006/relationships/hyperlink" Target="tt38://pl3/100" TargetMode="External" Id="rId61" /><Relationship Type="http://schemas.openxmlformats.org/officeDocument/2006/relationships/hyperlink" Target="tt38://pl3/100" TargetMode="External" Id="rId62" /><Relationship Type="http://schemas.openxmlformats.org/officeDocument/2006/relationships/hyperlink" Target="tt38://pl3/100" TargetMode="External" Id="rId63" /><Relationship Type="http://schemas.openxmlformats.org/officeDocument/2006/relationships/hyperlink" Target="tt38://pl3/100" TargetMode="External" Id="rId64" /><Relationship Type="http://schemas.openxmlformats.org/officeDocument/2006/relationships/hyperlink" Target="tt38://pl3/100" TargetMode="External" Id="rId65" /><Relationship Type="http://schemas.openxmlformats.org/officeDocument/2006/relationships/hyperlink" Target="tt38://pl3/212" TargetMode="External" Id="rId66" /><Relationship Type="http://schemas.openxmlformats.org/officeDocument/2006/relationships/hyperlink" Target="tt38://pl3/212" TargetMode="External" Id="rId67" /><Relationship Type="http://schemas.openxmlformats.org/officeDocument/2006/relationships/hyperlink" Target="tt38://pl3/212" TargetMode="External" Id="rId68" /><Relationship Type="http://schemas.openxmlformats.org/officeDocument/2006/relationships/hyperlink" Target="tt38://pl3/212" TargetMode="External" Id="rId69" /><Relationship Type="http://schemas.openxmlformats.org/officeDocument/2006/relationships/hyperlink" Target="tt38://pl3/212" TargetMode="External" Id="rId70" /><Relationship Type="http://schemas.openxmlformats.org/officeDocument/2006/relationships/hyperlink" Target="tt38://pl3/212" TargetMode="External" Id="rId71" /><Relationship Type="http://schemas.openxmlformats.org/officeDocument/2006/relationships/hyperlink" Target="tt38://pl3/212" TargetMode="External" Id="rId72" /><Relationship Type="http://schemas.openxmlformats.org/officeDocument/2006/relationships/hyperlink" Target="tt38://pl3/212" TargetMode="External" Id="rId73" /><Relationship Type="http://schemas.openxmlformats.org/officeDocument/2006/relationships/hyperlink" Target="tt38://pl3/212" TargetMode="External" Id="rId74" /><Relationship Type="http://schemas.openxmlformats.org/officeDocument/2006/relationships/hyperlink" Target="tt38://pl3/71" TargetMode="External" Id="rId75" /><Relationship Type="http://schemas.openxmlformats.org/officeDocument/2006/relationships/hyperlink" Target="tt38://pl3/71" TargetMode="External" Id="rId76" /><Relationship Type="http://schemas.openxmlformats.org/officeDocument/2006/relationships/hyperlink" Target="tt38://pl3/71" TargetMode="External" Id="rId77" /><Relationship Type="http://schemas.openxmlformats.org/officeDocument/2006/relationships/hyperlink" Target="tt38://pl3/71" TargetMode="External" Id="rId78" /><Relationship Type="http://schemas.openxmlformats.org/officeDocument/2006/relationships/hyperlink" Target="tt38://pl3/71" TargetMode="External" Id="rId79" /><Relationship Type="http://schemas.openxmlformats.org/officeDocument/2006/relationships/hyperlink" Target="tt38://pl3/204" TargetMode="External" Id="rId80" /><Relationship Type="http://schemas.openxmlformats.org/officeDocument/2006/relationships/hyperlink" Target="tt38://pl3/204" TargetMode="External" Id="rId81" /><Relationship Type="http://schemas.openxmlformats.org/officeDocument/2006/relationships/hyperlink" Target="tt38://pl3/204" TargetMode="External" Id="rId82" /><Relationship Type="http://schemas.openxmlformats.org/officeDocument/2006/relationships/hyperlink" Target="tt38://pl3/204" TargetMode="External" Id="rId83" /><Relationship Type="http://schemas.openxmlformats.org/officeDocument/2006/relationships/hyperlink" Target="tt38://pl3/204" TargetMode="External" Id="rId84" /><Relationship Type="http://schemas.openxmlformats.org/officeDocument/2006/relationships/hyperlink" Target="tt38://pl3/14" TargetMode="External" Id="rId85" /><Relationship Type="http://schemas.openxmlformats.org/officeDocument/2006/relationships/hyperlink" Target="tt38://pl3/14" TargetMode="External" Id="rId86" /><Relationship Type="http://schemas.openxmlformats.org/officeDocument/2006/relationships/hyperlink" Target="tt38://pl3/14" TargetMode="External" Id="rId87" /><Relationship Type="http://schemas.openxmlformats.org/officeDocument/2006/relationships/hyperlink" Target="tt38://pl3/14" TargetMode="External" Id="rId88" /><Relationship Type="http://schemas.openxmlformats.org/officeDocument/2006/relationships/hyperlink" Target="tt38://pl5/37" TargetMode="External" Id="rId89" /><Relationship Type="http://schemas.openxmlformats.org/officeDocument/2006/relationships/hyperlink" Target="tt38://pl3/6" TargetMode="External" Id="rId90" /><Relationship Type="http://schemas.openxmlformats.org/officeDocument/2006/relationships/hyperlink" Target="tt38://pl3/6" TargetMode="External" Id="rId91" /><Relationship Type="http://schemas.openxmlformats.org/officeDocument/2006/relationships/hyperlink" Target="tt38://pl3/6" TargetMode="External" Id="rId92" /><Relationship Type="http://schemas.openxmlformats.org/officeDocument/2006/relationships/hyperlink" Target="tt38://pl3/6" TargetMode="External" Id="rId93" /><Relationship Type="http://schemas.openxmlformats.org/officeDocument/2006/relationships/hyperlink" Target="tt38://pl3/6" TargetMode="External" Id="rId94" /><Relationship Type="http://schemas.openxmlformats.org/officeDocument/2006/relationships/hyperlink" Target="tt38://pl3/6" TargetMode="External" Id="rId95" /><Relationship Type="http://schemas.openxmlformats.org/officeDocument/2006/relationships/hyperlink" Target="tt38://pl3/6" TargetMode="External" Id="rId96" /><Relationship Type="http://schemas.openxmlformats.org/officeDocument/2006/relationships/hyperlink" Target="tt38://pl3/6" TargetMode="External" Id="rId97" /><Relationship Type="http://schemas.openxmlformats.org/officeDocument/2006/relationships/hyperlink" Target="tt38://pl3/6" TargetMode="External" Id="rId98" /><Relationship Type="http://schemas.openxmlformats.org/officeDocument/2006/relationships/hyperlink" Target="tt38://pl3/6" TargetMode="External" Id="rId99" /><Relationship Type="http://schemas.openxmlformats.org/officeDocument/2006/relationships/hyperlink" Target="tt38://pl3/6" TargetMode="External" Id="rId100" /><Relationship Type="http://schemas.openxmlformats.org/officeDocument/2006/relationships/hyperlink" Target="tt38://pl3/100" TargetMode="External" Id="rId101" /><Relationship Type="http://schemas.openxmlformats.org/officeDocument/2006/relationships/hyperlink" Target="tt38://pl3/100" TargetMode="External" Id="rId102" /><Relationship Type="http://schemas.openxmlformats.org/officeDocument/2006/relationships/hyperlink" Target="tt38://pl3/100" TargetMode="External" Id="rId103" /><Relationship Type="http://schemas.openxmlformats.org/officeDocument/2006/relationships/hyperlink" Target="tt38://pl3/100" TargetMode="External" Id="rId104" /><Relationship Type="http://schemas.openxmlformats.org/officeDocument/2006/relationships/hyperlink" Target="tt38://pl3/100" TargetMode="External" Id="rId105" /><Relationship Type="http://schemas.openxmlformats.org/officeDocument/2006/relationships/hyperlink" Target="tt38://pl3/100" TargetMode="External" Id="rId106" /><Relationship Type="http://schemas.openxmlformats.org/officeDocument/2006/relationships/hyperlink" Target="tt38://pl3/100" TargetMode="External" Id="rId107" /><Relationship Type="http://schemas.openxmlformats.org/officeDocument/2006/relationships/hyperlink" Target="tt38://pl3/100" TargetMode="External" Id="rId108" /><Relationship Type="http://schemas.openxmlformats.org/officeDocument/2006/relationships/hyperlink" Target="tt38://pl3/100" TargetMode="External" Id="rId109" /><Relationship Type="http://schemas.openxmlformats.org/officeDocument/2006/relationships/hyperlink" Target="tt38://pl3/212" TargetMode="External" Id="rId110" /><Relationship Type="http://schemas.openxmlformats.org/officeDocument/2006/relationships/hyperlink" Target="tt38://pl3/212" TargetMode="External" Id="rId111" /><Relationship Type="http://schemas.openxmlformats.org/officeDocument/2006/relationships/hyperlink" Target="tt38://pl3/212" TargetMode="External" Id="rId112" /><Relationship Type="http://schemas.openxmlformats.org/officeDocument/2006/relationships/hyperlink" Target="tt38://pl3/212" TargetMode="External" Id="rId113" /><Relationship Type="http://schemas.openxmlformats.org/officeDocument/2006/relationships/hyperlink" Target="tt38://pl3/212" TargetMode="External" Id="rId114" /><Relationship Type="http://schemas.openxmlformats.org/officeDocument/2006/relationships/hyperlink" Target="tt38://pl3/212" TargetMode="External" Id="rId115" /><Relationship Type="http://schemas.openxmlformats.org/officeDocument/2006/relationships/hyperlink" Target="tt38://pl3/212" TargetMode="External" Id="rId116" /><Relationship Type="http://schemas.openxmlformats.org/officeDocument/2006/relationships/hyperlink" Target="tt38://pl3/212" TargetMode="External" Id="rId117" /><Relationship Type="http://schemas.openxmlformats.org/officeDocument/2006/relationships/hyperlink" Target="tt38://pl3/212" TargetMode="External" Id="rId118" /><Relationship Type="http://schemas.openxmlformats.org/officeDocument/2006/relationships/hyperlink" Target="tt38://pl3/71" TargetMode="External" Id="rId119" /><Relationship Type="http://schemas.openxmlformats.org/officeDocument/2006/relationships/hyperlink" Target="tt38://pl3/71" TargetMode="External" Id="rId120" /><Relationship Type="http://schemas.openxmlformats.org/officeDocument/2006/relationships/hyperlink" Target="tt38://pl3/71" TargetMode="External" Id="rId121" /><Relationship Type="http://schemas.openxmlformats.org/officeDocument/2006/relationships/hyperlink" Target="tt38://pl3/71" TargetMode="External" Id="rId122" /><Relationship Type="http://schemas.openxmlformats.org/officeDocument/2006/relationships/hyperlink" Target="tt38://pl3/71" TargetMode="External" Id="rId123" /><Relationship Type="http://schemas.openxmlformats.org/officeDocument/2006/relationships/hyperlink" Target="tt38://pl3/204" TargetMode="External" Id="rId124" /><Relationship Type="http://schemas.openxmlformats.org/officeDocument/2006/relationships/hyperlink" Target="tt38://pl3/204" TargetMode="External" Id="rId125" /><Relationship Type="http://schemas.openxmlformats.org/officeDocument/2006/relationships/hyperlink" Target="tt38://pl3/204" TargetMode="External" Id="rId126" /><Relationship Type="http://schemas.openxmlformats.org/officeDocument/2006/relationships/hyperlink" Target="tt38://pl3/204" TargetMode="External" Id="rId127" /><Relationship Type="http://schemas.openxmlformats.org/officeDocument/2006/relationships/hyperlink" Target="tt38://pl3/204" TargetMode="External" Id="rId128" /><Relationship Type="http://schemas.openxmlformats.org/officeDocument/2006/relationships/hyperlink" Target="tt38://pl3/14" TargetMode="External" Id="rId129" /><Relationship Type="http://schemas.openxmlformats.org/officeDocument/2006/relationships/hyperlink" Target="tt38://pl3/14" TargetMode="External" Id="rId130" /><Relationship Type="http://schemas.openxmlformats.org/officeDocument/2006/relationships/hyperlink" Target="tt38://pl3/14" TargetMode="External" Id="rId131" /><Relationship Type="http://schemas.openxmlformats.org/officeDocument/2006/relationships/hyperlink" Target="tt38://pl3/14" TargetMode="External" Id="rId132" /><Relationship Type="http://schemas.openxmlformats.org/officeDocument/2006/relationships/hyperlink" Target="tt38://pl5/37" TargetMode="External" Id="rId133" /><Relationship Type="http://schemas.openxmlformats.org/officeDocument/2006/relationships/hyperlink" Target="tt38://pl3/6" TargetMode="External" Id="rId134" /><Relationship Type="http://schemas.openxmlformats.org/officeDocument/2006/relationships/hyperlink" Target="tt38://pl3/6" TargetMode="External" Id="rId135" /><Relationship Type="http://schemas.openxmlformats.org/officeDocument/2006/relationships/hyperlink" Target="tt38://pl3/6" TargetMode="External" Id="rId136" /><Relationship Type="http://schemas.openxmlformats.org/officeDocument/2006/relationships/hyperlink" Target="tt38://pl3/6" TargetMode="External" Id="rId137" /><Relationship Type="http://schemas.openxmlformats.org/officeDocument/2006/relationships/hyperlink" Target="tt38://pl3/6" TargetMode="External" Id="rId138" /><Relationship Type="http://schemas.openxmlformats.org/officeDocument/2006/relationships/hyperlink" Target="tt38://pl3/6" TargetMode="External" Id="rId139" /><Relationship Type="http://schemas.openxmlformats.org/officeDocument/2006/relationships/hyperlink" Target="tt38://pl3/6" TargetMode="External" Id="rId140" /><Relationship Type="http://schemas.openxmlformats.org/officeDocument/2006/relationships/hyperlink" Target="tt38://pl3/6" TargetMode="External" Id="rId141" /><Relationship Type="http://schemas.openxmlformats.org/officeDocument/2006/relationships/hyperlink" Target="tt38://pl3/6" TargetMode="External" Id="rId142" /><Relationship Type="http://schemas.openxmlformats.org/officeDocument/2006/relationships/hyperlink" Target="tt38://pl3/6" TargetMode="External" Id="rId143" /><Relationship Type="http://schemas.openxmlformats.org/officeDocument/2006/relationships/hyperlink" Target="tt38://pl3/6" TargetMode="External" Id="rId144" /><Relationship Type="http://schemas.openxmlformats.org/officeDocument/2006/relationships/hyperlink" Target="tt38://pl3/100" TargetMode="External" Id="rId145" /><Relationship Type="http://schemas.openxmlformats.org/officeDocument/2006/relationships/hyperlink" Target="tt38://pl3/100" TargetMode="External" Id="rId146" /><Relationship Type="http://schemas.openxmlformats.org/officeDocument/2006/relationships/hyperlink" Target="tt38://pl3/100" TargetMode="External" Id="rId147" /><Relationship Type="http://schemas.openxmlformats.org/officeDocument/2006/relationships/hyperlink" Target="tt38://pl3/100" TargetMode="External" Id="rId148" /><Relationship Type="http://schemas.openxmlformats.org/officeDocument/2006/relationships/hyperlink" Target="tt38://pl3/100" TargetMode="External" Id="rId149" /><Relationship Type="http://schemas.openxmlformats.org/officeDocument/2006/relationships/hyperlink" Target="tt38://pl3/100" TargetMode="External" Id="rId150" /><Relationship Type="http://schemas.openxmlformats.org/officeDocument/2006/relationships/hyperlink" Target="tt38://pl3/100" TargetMode="External" Id="rId151" /><Relationship Type="http://schemas.openxmlformats.org/officeDocument/2006/relationships/hyperlink" Target="tt38://pl3/100" TargetMode="External" Id="rId152" /><Relationship Type="http://schemas.openxmlformats.org/officeDocument/2006/relationships/hyperlink" Target="tt38://pl3/100" TargetMode="External" Id="rId153" /><Relationship Type="http://schemas.openxmlformats.org/officeDocument/2006/relationships/hyperlink" Target="tt38://pl3/212" TargetMode="External" Id="rId154" /><Relationship Type="http://schemas.openxmlformats.org/officeDocument/2006/relationships/hyperlink" Target="tt38://pl3/212" TargetMode="External" Id="rId155" /><Relationship Type="http://schemas.openxmlformats.org/officeDocument/2006/relationships/hyperlink" Target="tt38://pl3/212" TargetMode="External" Id="rId156" /><Relationship Type="http://schemas.openxmlformats.org/officeDocument/2006/relationships/hyperlink" Target="tt38://pl3/212" TargetMode="External" Id="rId157" /><Relationship Type="http://schemas.openxmlformats.org/officeDocument/2006/relationships/hyperlink" Target="tt38://pl3/212" TargetMode="External" Id="rId158" /><Relationship Type="http://schemas.openxmlformats.org/officeDocument/2006/relationships/hyperlink" Target="tt38://pl3/212" TargetMode="External" Id="rId159" /><Relationship Type="http://schemas.openxmlformats.org/officeDocument/2006/relationships/hyperlink" Target="tt38://pl3/212" TargetMode="External" Id="rId160" /><Relationship Type="http://schemas.openxmlformats.org/officeDocument/2006/relationships/hyperlink" Target="tt38://pl3/212" TargetMode="External" Id="rId161" /><Relationship Type="http://schemas.openxmlformats.org/officeDocument/2006/relationships/hyperlink" Target="tt38://pl3/212" TargetMode="External" Id="rId162" /><Relationship Type="http://schemas.openxmlformats.org/officeDocument/2006/relationships/hyperlink" Target="tt38://pl3/71" TargetMode="External" Id="rId163" /><Relationship Type="http://schemas.openxmlformats.org/officeDocument/2006/relationships/hyperlink" Target="tt38://pl3/71" TargetMode="External" Id="rId164" /><Relationship Type="http://schemas.openxmlformats.org/officeDocument/2006/relationships/hyperlink" Target="tt38://pl3/71" TargetMode="External" Id="rId165" /><Relationship Type="http://schemas.openxmlformats.org/officeDocument/2006/relationships/hyperlink" Target="tt38://pl3/71" TargetMode="External" Id="rId166" /><Relationship Type="http://schemas.openxmlformats.org/officeDocument/2006/relationships/hyperlink" Target="tt38://pl3/71" TargetMode="External" Id="rId167" /><Relationship Type="http://schemas.openxmlformats.org/officeDocument/2006/relationships/hyperlink" Target="tt38://pl3/204" TargetMode="External" Id="rId168" /><Relationship Type="http://schemas.openxmlformats.org/officeDocument/2006/relationships/hyperlink" Target="tt38://pl3/204" TargetMode="External" Id="rId169" /><Relationship Type="http://schemas.openxmlformats.org/officeDocument/2006/relationships/hyperlink" Target="tt38://pl3/204" TargetMode="External" Id="rId170" /><Relationship Type="http://schemas.openxmlformats.org/officeDocument/2006/relationships/hyperlink" Target="tt38://pl3/204" TargetMode="External" Id="rId171" /><Relationship Type="http://schemas.openxmlformats.org/officeDocument/2006/relationships/hyperlink" Target="tt38://pl3/204" TargetMode="External" Id="rId172" /><Relationship Type="http://schemas.openxmlformats.org/officeDocument/2006/relationships/hyperlink" Target="tt38://pl3/14" TargetMode="External" Id="rId173" /><Relationship Type="http://schemas.openxmlformats.org/officeDocument/2006/relationships/hyperlink" Target="tt38://pl3/14" TargetMode="External" Id="rId174" /><Relationship Type="http://schemas.openxmlformats.org/officeDocument/2006/relationships/hyperlink" Target="tt38://pl3/14" TargetMode="External" Id="rId175" /><Relationship Type="http://schemas.openxmlformats.org/officeDocument/2006/relationships/hyperlink" Target="tt38://pl3/14" TargetMode="External" Id="rId176" /><Relationship Type="http://schemas.openxmlformats.org/officeDocument/2006/relationships/hyperlink" Target="tt38://pl5/37" TargetMode="External" Id="rId177" /><Relationship Type="http://schemas.openxmlformats.org/officeDocument/2006/relationships/hyperlink" Target="tt38://pl3/6" TargetMode="External" Id="rId178" /><Relationship Type="http://schemas.openxmlformats.org/officeDocument/2006/relationships/hyperlink" Target="tt38://pl3/6" TargetMode="External" Id="rId179" /><Relationship Type="http://schemas.openxmlformats.org/officeDocument/2006/relationships/hyperlink" Target="tt38://pl3/6" TargetMode="External" Id="rId180" /><Relationship Type="http://schemas.openxmlformats.org/officeDocument/2006/relationships/hyperlink" Target="tt38://pl3/6" TargetMode="External" Id="rId181" /><Relationship Type="http://schemas.openxmlformats.org/officeDocument/2006/relationships/hyperlink" Target="tt38://pl3/6" TargetMode="External" Id="rId182" /><Relationship Type="http://schemas.openxmlformats.org/officeDocument/2006/relationships/hyperlink" Target="tt38://pl3/6" TargetMode="External" Id="rId183" /><Relationship Type="http://schemas.openxmlformats.org/officeDocument/2006/relationships/hyperlink" Target="tt38://pl3/6" TargetMode="External" Id="rId184" /><Relationship Type="http://schemas.openxmlformats.org/officeDocument/2006/relationships/hyperlink" Target="tt38://pl3/6" TargetMode="External" Id="rId185" /><Relationship Type="http://schemas.openxmlformats.org/officeDocument/2006/relationships/hyperlink" Target="tt38://pl3/6" TargetMode="External" Id="rId186" /><Relationship Type="http://schemas.openxmlformats.org/officeDocument/2006/relationships/hyperlink" Target="tt38://pl3/6" TargetMode="External" Id="rId187" /><Relationship Type="http://schemas.openxmlformats.org/officeDocument/2006/relationships/hyperlink" Target="tt38://pl3/6" TargetMode="External" Id="rId188" /><Relationship Type="http://schemas.openxmlformats.org/officeDocument/2006/relationships/hyperlink" Target="tt38://pl3/100" TargetMode="External" Id="rId189" /><Relationship Type="http://schemas.openxmlformats.org/officeDocument/2006/relationships/hyperlink" Target="tt38://pl3/100" TargetMode="External" Id="rId190" /><Relationship Type="http://schemas.openxmlformats.org/officeDocument/2006/relationships/hyperlink" Target="tt38://pl3/100" TargetMode="External" Id="rId191" /><Relationship Type="http://schemas.openxmlformats.org/officeDocument/2006/relationships/hyperlink" Target="tt38://pl3/100" TargetMode="External" Id="rId192" /><Relationship Type="http://schemas.openxmlformats.org/officeDocument/2006/relationships/hyperlink" Target="tt38://pl3/100" TargetMode="External" Id="rId193" /><Relationship Type="http://schemas.openxmlformats.org/officeDocument/2006/relationships/hyperlink" Target="tt38://pl3/100" TargetMode="External" Id="rId194" /><Relationship Type="http://schemas.openxmlformats.org/officeDocument/2006/relationships/hyperlink" Target="tt38://pl3/100" TargetMode="External" Id="rId195" /><Relationship Type="http://schemas.openxmlformats.org/officeDocument/2006/relationships/hyperlink" Target="tt38://pl3/100" TargetMode="External" Id="rId196" /><Relationship Type="http://schemas.openxmlformats.org/officeDocument/2006/relationships/hyperlink" Target="tt38://pl3/100" TargetMode="External" Id="rId197" /><Relationship Type="http://schemas.openxmlformats.org/officeDocument/2006/relationships/hyperlink" Target="tt38://pl3/212" TargetMode="External" Id="rId198" /><Relationship Type="http://schemas.openxmlformats.org/officeDocument/2006/relationships/hyperlink" Target="tt38://pl3/212" TargetMode="External" Id="rId199" /><Relationship Type="http://schemas.openxmlformats.org/officeDocument/2006/relationships/hyperlink" Target="tt38://pl3/212" TargetMode="External" Id="rId200" /><Relationship Type="http://schemas.openxmlformats.org/officeDocument/2006/relationships/hyperlink" Target="tt38://pl3/212" TargetMode="External" Id="rId201" /><Relationship Type="http://schemas.openxmlformats.org/officeDocument/2006/relationships/hyperlink" Target="tt38://pl3/212" TargetMode="External" Id="rId202" /><Relationship Type="http://schemas.openxmlformats.org/officeDocument/2006/relationships/hyperlink" Target="tt38://pl3/212" TargetMode="External" Id="rId203" /><Relationship Type="http://schemas.openxmlformats.org/officeDocument/2006/relationships/hyperlink" Target="tt38://pl3/212" TargetMode="External" Id="rId204" /><Relationship Type="http://schemas.openxmlformats.org/officeDocument/2006/relationships/hyperlink" Target="tt38://pl3/212" TargetMode="External" Id="rId205" /><Relationship Type="http://schemas.openxmlformats.org/officeDocument/2006/relationships/hyperlink" Target="tt38://pl3/212" TargetMode="External" Id="rId206" /><Relationship Type="http://schemas.openxmlformats.org/officeDocument/2006/relationships/hyperlink" Target="tt38://pl3/71" TargetMode="External" Id="rId207" /><Relationship Type="http://schemas.openxmlformats.org/officeDocument/2006/relationships/hyperlink" Target="tt38://pl3/71" TargetMode="External" Id="rId208" /><Relationship Type="http://schemas.openxmlformats.org/officeDocument/2006/relationships/hyperlink" Target="tt38://pl3/71" TargetMode="External" Id="rId209" /><Relationship Type="http://schemas.openxmlformats.org/officeDocument/2006/relationships/hyperlink" Target="tt38://pl3/71" TargetMode="External" Id="rId210" /><Relationship Type="http://schemas.openxmlformats.org/officeDocument/2006/relationships/hyperlink" Target="tt38://pl3/71" TargetMode="External" Id="rId211" /><Relationship Type="http://schemas.openxmlformats.org/officeDocument/2006/relationships/hyperlink" Target="tt38://pl3/204" TargetMode="External" Id="rId212" /><Relationship Type="http://schemas.openxmlformats.org/officeDocument/2006/relationships/hyperlink" Target="tt38://pl3/204" TargetMode="External" Id="rId213" /><Relationship Type="http://schemas.openxmlformats.org/officeDocument/2006/relationships/hyperlink" Target="tt38://pl3/204" TargetMode="External" Id="rId214" /><Relationship Type="http://schemas.openxmlformats.org/officeDocument/2006/relationships/hyperlink" Target="tt38://pl3/204" TargetMode="External" Id="rId215" /><Relationship Type="http://schemas.openxmlformats.org/officeDocument/2006/relationships/hyperlink" Target="tt38://pl3/204" TargetMode="External" Id="rId216" /><Relationship Type="http://schemas.openxmlformats.org/officeDocument/2006/relationships/hyperlink" Target="tt38://pl3/14" TargetMode="External" Id="rId217" /><Relationship Type="http://schemas.openxmlformats.org/officeDocument/2006/relationships/hyperlink" Target="tt38://pl3/14" TargetMode="External" Id="rId218" /><Relationship Type="http://schemas.openxmlformats.org/officeDocument/2006/relationships/hyperlink" Target="tt38://pl3/14" TargetMode="External" Id="rId219" /><Relationship Type="http://schemas.openxmlformats.org/officeDocument/2006/relationships/hyperlink" Target="tt38://pl3/14" TargetMode="External" Id="rId220" /><Relationship Type="http://schemas.openxmlformats.org/officeDocument/2006/relationships/hyperlink" Target="tt38://pl5/37" TargetMode="External" Id="rId221" /><Relationship Type="http://schemas.openxmlformats.org/officeDocument/2006/relationships/hyperlink" Target="tt38://pl3/6" TargetMode="External" Id="rId222" /><Relationship Type="http://schemas.openxmlformats.org/officeDocument/2006/relationships/hyperlink" Target="tt38://pl3/6" TargetMode="External" Id="rId223" /><Relationship Type="http://schemas.openxmlformats.org/officeDocument/2006/relationships/hyperlink" Target="tt38://pl3/6" TargetMode="External" Id="rId224" /><Relationship Type="http://schemas.openxmlformats.org/officeDocument/2006/relationships/hyperlink" Target="tt38://pl3/6" TargetMode="External" Id="rId225" /><Relationship Type="http://schemas.openxmlformats.org/officeDocument/2006/relationships/hyperlink" Target="tt38://pl3/6" TargetMode="External" Id="rId226" /><Relationship Type="http://schemas.openxmlformats.org/officeDocument/2006/relationships/hyperlink" Target="tt38://pl3/6" TargetMode="External" Id="rId227" /><Relationship Type="http://schemas.openxmlformats.org/officeDocument/2006/relationships/hyperlink" Target="tt38://pl3/6" TargetMode="External" Id="rId228" /><Relationship Type="http://schemas.openxmlformats.org/officeDocument/2006/relationships/hyperlink" Target="tt38://pl3/6" TargetMode="External" Id="rId229" /><Relationship Type="http://schemas.openxmlformats.org/officeDocument/2006/relationships/hyperlink" Target="tt38://pl3/6" TargetMode="External" Id="rId230" /><Relationship Type="http://schemas.openxmlformats.org/officeDocument/2006/relationships/hyperlink" Target="tt38://pl3/6" TargetMode="External" Id="rId231" /><Relationship Type="http://schemas.openxmlformats.org/officeDocument/2006/relationships/hyperlink" Target="tt38://pl3/6" TargetMode="External" Id="rId232" /><Relationship Type="http://schemas.openxmlformats.org/officeDocument/2006/relationships/hyperlink" Target="tt38://pl3/100" TargetMode="External" Id="rId233" /><Relationship Type="http://schemas.openxmlformats.org/officeDocument/2006/relationships/hyperlink" Target="tt38://pl3/100" TargetMode="External" Id="rId234" /><Relationship Type="http://schemas.openxmlformats.org/officeDocument/2006/relationships/hyperlink" Target="tt38://pl3/100" TargetMode="External" Id="rId235" /><Relationship Type="http://schemas.openxmlformats.org/officeDocument/2006/relationships/hyperlink" Target="tt38://pl3/100" TargetMode="External" Id="rId236" /><Relationship Type="http://schemas.openxmlformats.org/officeDocument/2006/relationships/hyperlink" Target="tt38://pl3/100" TargetMode="External" Id="rId237" /><Relationship Type="http://schemas.openxmlformats.org/officeDocument/2006/relationships/hyperlink" Target="tt38://pl3/100" TargetMode="External" Id="rId238" /><Relationship Type="http://schemas.openxmlformats.org/officeDocument/2006/relationships/hyperlink" Target="tt38://pl3/100" TargetMode="External" Id="rId239" /><Relationship Type="http://schemas.openxmlformats.org/officeDocument/2006/relationships/hyperlink" Target="tt38://pl3/100" TargetMode="External" Id="rId240" /><Relationship Type="http://schemas.openxmlformats.org/officeDocument/2006/relationships/hyperlink" Target="tt38://pl3/100" TargetMode="External" Id="rId241" /><Relationship Type="http://schemas.openxmlformats.org/officeDocument/2006/relationships/hyperlink" Target="tt38://pl3/212" TargetMode="External" Id="rId242" /><Relationship Type="http://schemas.openxmlformats.org/officeDocument/2006/relationships/hyperlink" Target="tt38://pl3/212" TargetMode="External" Id="rId243" /><Relationship Type="http://schemas.openxmlformats.org/officeDocument/2006/relationships/hyperlink" Target="tt38://pl3/212" TargetMode="External" Id="rId244" /><Relationship Type="http://schemas.openxmlformats.org/officeDocument/2006/relationships/hyperlink" Target="tt38://pl3/212" TargetMode="External" Id="rId245" /><Relationship Type="http://schemas.openxmlformats.org/officeDocument/2006/relationships/hyperlink" Target="tt38://pl3/212" TargetMode="External" Id="rId246" /><Relationship Type="http://schemas.openxmlformats.org/officeDocument/2006/relationships/hyperlink" Target="tt38://pl3/212" TargetMode="External" Id="rId247" /><Relationship Type="http://schemas.openxmlformats.org/officeDocument/2006/relationships/hyperlink" Target="tt38://pl3/212" TargetMode="External" Id="rId248" /><Relationship Type="http://schemas.openxmlformats.org/officeDocument/2006/relationships/hyperlink" Target="tt38://pl3/212" TargetMode="External" Id="rId249" /><Relationship Type="http://schemas.openxmlformats.org/officeDocument/2006/relationships/hyperlink" Target="tt38://pl3/212" TargetMode="External" Id="rId250" /><Relationship Type="http://schemas.openxmlformats.org/officeDocument/2006/relationships/hyperlink" Target="tt38://pl3/71" TargetMode="External" Id="rId251" /><Relationship Type="http://schemas.openxmlformats.org/officeDocument/2006/relationships/hyperlink" Target="tt38://pl3/71" TargetMode="External" Id="rId252" /><Relationship Type="http://schemas.openxmlformats.org/officeDocument/2006/relationships/hyperlink" Target="tt38://pl3/71" TargetMode="External" Id="rId253" /><Relationship Type="http://schemas.openxmlformats.org/officeDocument/2006/relationships/hyperlink" Target="tt38://pl3/71" TargetMode="External" Id="rId254" /><Relationship Type="http://schemas.openxmlformats.org/officeDocument/2006/relationships/hyperlink" Target="tt38://pl3/71" TargetMode="External" Id="rId255" /><Relationship Type="http://schemas.openxmlformats.org/officeDocument/2006/relationships/hyperlink" Target="tt38://pl3/204" TargetMode="External" Id="rId256" /><Relationship Type="http://schemas.openxmlformats.org/officeDocument/2006/relationships/hyperlink" Target="tt38://pl3/204" TargetMode="External" Id="rId257" /><Relationship Type="http://schemas.openxmlformats.org/officeDocument/2006/relationships/hyperlink" Target="tt38://pl3/204" TargetMode="External" Id="rId258" /><Relationship Type="http://schemas.openxmlformats.org/officeDocument/2006/relationships/hyperlink" Target="tt38://pl3/204" TargetMode="External" Id="rId259" /><Relationship Type="http://schemas.openxmlformats.org/officeDocument/2006/relationships/hyperlink" Target="tt38://pl3/204" TargetMode="External" Id="rId260" /><Relationship Type="http://schemas.openxmlformats.org/officeDocument/2006/relationships/hyperlink" Target="tt38://pl3/14" TargetMode="External" Id="rId261" /><Relationship Type="http://schemas.openxmlformats.org/officeDocument/2006/relationships/hyperlink" Target="tt38://pl3/14" TargetMode="External" Id="rId262" /><Relationship Type="http://schemas.openxmlformats.org/officeDocument/2006/relationships/hyperlink" Target="tt38://pl3/14" TargetMode="External" Id="rId263" /><Relationship Type="http://schemas.openxmlformats.org/officeDocument/2006/relationships/hyperlink" Target="tt38://pl3/14" TargetMode="External" Id="rId264" /><Relationship Type="http://schemas.openxmlformats.org/officeDocument/2006/relationships/hyperlink" Target="tt38://pl5/37" TargetMode="External" Id="rId265" /><Relationship Type="http://schemas.openxmlformats.org/officeDocument/2006/relationships/hyperlink" Target="tt38://pl3/6" TargetMode="External" Id="rId266" /><Relationship Type="http://schemas.openxmlformats.org/officeDocument/2006/relationships/hyperlink" Target="tt38://pl3/6" TargetMode="External" Id="rId267" /><Relationship Type="http://schemas.openxmlformats.org/officeDocument/2006/relationships/hyperlink" Target="tt38://pl3/6" TargetMode="External" Id="rId268" /><Relationship Type="http://schemas.openxmlformats.org/officeDocument/2006/relationships/hyperlink" Target="tt38://pl3/6" TargetMode="External" Id="rId269" /><Relationship Type="http://schemas.openxmlformats.org/officeDocument/2006/relationships/hyperlink" Target="tt38://pl3/6" TargetMode="External" Id="rId270" /><Relationship Type="http://schemas.openxmlformats.org/officeDocument/2006/relationships/hyperlink" Target="tt38://pl3/6" TargetMode="External" Id="rId271" /><Relationship Type="http://schemas.openxmlformats.org/officeDocument/2006/relationships/hyperlink" Target="tt38://pl3/6" TargetMode="External" Id="rId272" /><Relationship Type="http://schemas.openxmlformats.org/officeDocument/2006/relationships/hyperlink" Target="tt38://pl3/6" TargetMode="External" Id="rId273" /><Relationship Type="http://schemas.openxmlformats.org/officeDocument/2006/relationships/hyperlink" Target="tt38://pl3/6" TargetMode="External" Id="rId274" /><Relationship Type="http://schemas.openxmlformats.org/officeDocument/2006/relationships/hyperlink" Target="tt38://pl3/6" TargetMode="External" Id="rId275" /><Relationship Type="http://schemas.openxmlformats.org/officeDocument/2006/relationships/hyperlink" Target="tt38://pl3/6" TargetMode="External" Id="rId276" /><Relationship Type="http://schemas.openxmlformats.org/officeDocument/2006/relationships/hyperlink" Target="tt38://pl3/100" TargetMode="External" Id="rId277" /><Relationship Type="http://schemas.openxmlformats.org/officeDocument/2006/relationships/hyperlink" Target="tt38://pl3/100" TargetMode="External" Id="rId278" /><Relationship Type="http://schemas.openxmlformats.org/officeDocument/2006/relationships/hyperlink" Target="tt38://pl3/100" TargetMode="External" Id="rId279" /><Relationship Type="http://schemas.openxmlformats.org/officeDocument/2006/relationships/hyperlink" Target="tt38://pl3/100" TargetMode="External" Id="rId280" /><Relationship Type="http://schemas.openxmlformats.org/officeDocument/2006/relationships/hyperlink" Target="tt38://pl3/100" TargetMode="External" Id="rId281" /><Relationship Type="http://schemas.openxmlformats.org/officeDocument/2006/relationships/hyperlink" Target="tt38://pl3/100" TargetMode="External" Id="rId282" /><Relationship Type="http://schemas.openxmlformats.org/officeDocument/2006/relationships/hyperlink" Target="tt38://pl3/100" TargetMode="External" Id="rId283" /><Relationship Type="http://schemas.openxmlformats.org/officeDocument/2006/relationships/hyperlink" Target="tt38://pl3/100" TargetMode="External" Id="rId284" /><Relationship Type="http://schemas.openxmlformats.org/officeDocument/2006/relationships/hyperlink" Target="tt38://pl3/100" TargetMode="External" Id="rId285" /><Relationship Type="http://schemas.openxmlformats.org/officeDocument/2006/relationships/hyperlink" Target="tt38://pl3/212" TargetMode="External" Id="rId286" /><Relationship Type="http://schemas.openxmlformats.org/officeDocument/2006/relationships/hyperlink" Target="tt38://pl3/212" TargetMode="External" Id="rId287" /><Relationship Type="http://schemas.openxmlformats.org/officeDocument/2006/relationships/hyperlink" Target="tt38://pl3/212" TargetMode="External" Id="rId288" /><Relationship Type="http://schemas.openxmlformats.org/officeDocument/2006/relationships/hyperlink" Target="tt38://pl3/212" TargetMode="External" Id="rId289" /><Relationship Type="http://schemas.openxmlformats.org/officeDocument/2006/relationships/hyperlink" Target="tt38://pl3/212" TargetMode="External" Id="rId290" /><Relationship Type="http://schemas.openxmlformats.org/officeDocument/2006/relationships/hyperlink" Target="tt38://pl3/212" TargetMode="External" Id="rId291" /><Relationship Type="http://schemas.openxmlformats.org/officeDocument/2006/relationships/hyperlink" Target="tt38://pl3/212" TargetMode="External" Id="rId292" /><Relationship Type="http://schemas.openxmlformats.org/officeDocument/2006/relationships/hyperlink" Target="tt38://pl3/212" TargetMode="External" Id="rId293" /><Relationship Type="http://schemas.openxmlformats.org/officeDocument/2006/relationships/hyperlink" Target="tt38://pl3/212" TargetMode="External" Id="rId294" /><Relationship Type="http://schemas.openxmlformats.org/officeDocument/2006/relationships/hyperlink" Target="tt38://pl3/71" TargetMode="External" Id="rId295" /><Relationship Type="http://schemas.openxmlformats.org/officeDocument/2006/relationships/hyperlink" Target="tt38://pl3/71" TargetMode="External" Id="rId296" /><Relationship Type="http://schemas.openxmlformats.org/officeDocument/2006/relationships/hyperlink" Target="tt38://pl3/71" TargetMode="External" Id="rId297" /><Relationship Type="http://schemas.openxmlformats.org/officeDocument/2006/relationships/hyperlink" Target="tt38://pl3/71" TargetMode="External" Id="rId298" /><Relationship Type="http://schemas.openxmlformats.org/officeDocument/2006/relationships/hyperlink" Target="tt38://pl3/71" TargetMode="External" Id="rId299" /><Relationship Type="http://schemas.openxmlformats.org/officeDocument/2006/relationships/hyperlink" Target="tt38://pl3/204" TargetMode="External" Id="rId300" /><Relationship Type="http://schemas.openxmlformats.org/officeDocument/2006/relationships/hyperlink" Target="tt38://pl3/204" TargetMode="External" Id="rId301" /><Relationship Type="http://schemas.openxmlformats.org/officeDocument/2006/relationships/hyperlink" Target="tt38://pl3/204" TargetMode="External" Id="rId302" /><Relationship Type="http://schemas.openxmlformats.org/officeDocument/2006/relationships/hyperlink" Target="tt38://pl3/204" TargetMode="External" Id="rId303" /><Relationship Type="http://schemas.openxmlformats.org/officeDocument/2006/relationships/hyperlink" Target="tt38://pl3/204" TargetMode="External" Id="rId304" /><Relationship Type="http://schemas.openxmlformats.org/officeDocument/2006/relationships/hyperlink" Target="tt38://pl3/14" TargetMode="External" Id="rId305" /><Relationship Type="http://schemas.openxmlformats.org/officeDocument/2006/relationships/hyperlink" Target="tt38://pl3/14" TargetMode="External" Id="rId306" /><Relationship Type="http://schemas.openxmlformats.org/officeDocument/2006/relationships/hyperlink" Target="tt38://pl3/14" TargetMode="External" Id="rId307" /><Relationship Type="http://schemas.openxmlformats.org/officeDocument/2006/relationships/hyperlink" Target="tt38://pl3/14" TargetMode="External" Id="rId308" /></Relationships>
</file>

<file path=xl/worksheets/_rels/sheet5.xml.rels><Relationships xmlns="http://schemas.openxmlformats.org/package/2006/relationships"><Relationship Type="http://schemas.openxmlformats.org/officeDocument/2006/relationships/hyperlink" Target="tt38://pl5/37" TargetMode="External" Id="rId1" /><Relationship Type="http://schemas.openxmlformats.org/officeDocument/2006/relationships/hyperlink" Target="tt38://pl5/37" TargetMode="External" Id="rId2" /><Relationship Type="http://schemas.openxmlformats.org/officeDocument/2006/relationships/hyperlink" Target="tt38://pl3/6" TargetMode="External" Id="rId3" /><Relationship Type="http://schemas.openxmlformats.org/officeDocument/2006/relationships/hyperlink" Target="tt38://pl3/6" TargetMode="External" Id="rId4" /><Relationship Type="http://schemas.openxmlformats.org/officeDocument/2006/relationships/hyperlink" Target="tt38://pl3/6" TargetMode="External" Id="rId5" /><Relationship Type="http://schemas.openxmlformats.org/officeDocument/2006/relationships/hyperlink" Target="tt38://pl3/6" TargetMode="External" Id="rId6" /><Relationship Type="http://schemas.openxmlformats.org/officeDocument/2006/relationships/hyperlink" Target="tt38://pl3/6" TargetMode="External" Id="rId7" /><Relationship Type="http://schemas.openxmlformats.org/officeDocument/2006/relationships/hyperlink" Target="tt38://pl3/6" TargetMode="External" Id="rId8" /><Relationship Type="http://schemas.openxmlformats.org/officeDocument/2006/relationships/hyperlink" Target="tt38://pl3/6" TargetMode="External" Id="rId9" /><Relationship Type="http://schemas.openxmlformats.org/officeDocument/2006/relationships/hyperlink" Target="tt38://pl3/6" TargetMode="External" Id="rId10" /><Relationship Type="http://schemas.openxmlformats.org/officeDocument/2006/relationships/hyperlink" Target="tt38://pl3/6" TargetMode="External" Id="rId11" /><Relationship Type="http://schemas.openxmlformats.org/officeDocument/2006/relationships/hyperlink" Target="tt38://pl3/6" TargetMode="External" Id="rId12" /><Relationship Type="http://schemas.openxmlformats.org/officeDocument/2006/relationships/hyperlink" Target="tt38://pl3/6" TargetMode="External" Id="rId13" /><Relationship Type="http://schemas.openxmlformats.org/officeDocument/2006/relationships/hyperlink" Target="tt38://pl3/6" TargetMode="External" Id="rId14" /><Relationship Type="http://schemas.openxmlformats.org/officeDocument/2006/relationships/hyperlink" Target="tt38://pl3/6" TargetMode="External" Id="rId15" /><Relationship Type="http://schemas.openxmlformats.org/officeDocument/2006/relationships/hyperlink" Target="tt38://pl3/6" TargetMode="External" Id="rId16" /><Relationship Type="http://schemas.openxmlformats.org/officeDocument/2006/relationships/hyperlink" Target="tt38://pl3/6" TargetMode="External" Id="rId17" /><Relationship Type="http://schemas.openxmlformats.org/officeDocument/2006/relationships/hyperlink" Target="tt38://pl3/6" TargetMode="External" Id="rId18" /><Relationship Type="http://schemas.openxmlformats.org/officeDocument/2006/relationships/hyperlink" Target="tt38://pl3/6" TargetMode="External" Id="rId19" /><Relationship Type="http://schemas.openxmlformats.org/officeDocument/2006/relationships/hyperlink" Target="tt38://pl3/6" TargetMode="External" Id="rId20" /><Relationship Type="http://schemas.openxmlformats.org/officeDocument/2006/relationships/hyperlink" Target="tt38://pl3/6" TargetMode="External" Id="rId21" /><Relationship Type="http://schemas.openxmlformats.org/officeDocument/2006/relationships/hyperlink" Target="tt38://pl3/6" TargetMode="External" Id="rId22" /><Relationship Type="http://schemas.openxmlformats.org/officeDocument/2006/relationships/hyperlink" Target="tt38://pl3/6" TargetMode="External" Id="rId23" /><Relationship Type="http://schemas.openxmlformats.org/officeDocument/2006/relationships/hyperlink" Target="tt38://pl3/6" TargetMode="External" Id="rId24" /><Relationship Type="http://schemas.openxmlformats.org/officeDocument/2006/relationships/hyperlink" Target="tt38://pl3/100" TargetMode="External" Id="rId25" /><Relationship Type="http://schemas.openxmlformats.org/officeDocument/2006/relationships/hyperlink" Target="tt38://pl3/100" TargetMode="External" Id="rId26" /><Relationship Type="http://schemas.openxmlformats.org/officeDocument/2006/relationships/hyperlink" Target="tt38://pl3/100" TargetMode="External" Id="rId27" /><Relationship Type="http://schemas.openxmlformats.org/officeDocument/2006/relationships/hyperlink" Target="tt38://pl3/100" TargetMode="External" Id="rId28" /><Relationship Type="http://schemas.openxmlformats.org/officeDocument/2006/relationships/hyperlink" Target="tt38://pl3/100" TargetMode="External" Id="rId29" /><Relationship Type="http://schemas.openxmlformats.org/officeDocument/2006/relationships/hyperlink" Target="tt38://pl3/100" TargetMode="External" Id="rId30" /><Relationship Type="http://schemas.openxmlformats.org/officeDocument/2006/relationships/hyperlink" Target="tt38://pl3/100" TargetMode="External" Id="rId31" /><Relationship Type="http://schemas.openxmlformats.org/officeDocument/2006/relationships/hyperlink" Target="tt38://pl3/100" TargetMode="External" Id="rId32" /><Relationship Type="http://schemas.openxmlformats.org/officeDocument/2006/relationships/hyperlink" Target="tt38://pl3/100" TargetMode="External" Id="rId33" /><Relationship Type="http://schemas.openxmlformats.org/officeDocument/2006/relationships/hyperlink" Target="tt38://pl3/100" TargetMode="External" Id="rId34" /><Relationship Type="http://schemas.openxmlformats.org/officeDocument/2006/relationships/hyperlink" Target="tt38://pl3/100" TargetMode="External" Id="rId35" /><Relationship Type="http://schemas.openxmlformats.org/officeDocument/2006/relationships/hyperlink" Target="tt38://pl3/100" TargetMode="External" Id="rId36" /><Relationship Type="http://schemas.openxmlformats.org/officeDocument/2006/relationships/hyperlink" Target="tt38://pl3/100" TargetMode="External" Id="rId37" /><Relationship Type="http://schemas.openxmlformats.org/officeDocument/2006/relationships/hyperlink" Target="tt38://pl3/100" TargetMode="External" Id="rId38" /><Relationship Type="http://schemas.openxmlformats.org/officeDocument/2006/relationships/hyperlink" Target="tt38://pl3/100" TargetMode="External" Id="rId39" /><Relationship Type="http://schemas.openxmlformats.org/officeDocument/2006/relationships/hyperlink" Target="tt38://pl3/100" TargetMode="External" Id="rId40" /><Relationship Type="http://schemas.openxmlformats.org/officeDocument/2006/relationships/hyperlink" Target="tt38://pl3/100" TargetMode="External" Id="rId41" /><Relationship Type="http://schemas.openxmlformats.org/officeDocument/2006/relationships/hyperlink" Target="tt38://pl3/100" TargetMode="External" Id="rId42" /><Relationship Type="http://schemas.openxmlformats.org/officeDocument/2006/relationships/hyperlink" Target="tt38://pl3/212" TargetMode="External" Id="rId43" /><Relationship Type="http://schemas.openxmlformats.org/officeDocument/2006/relationships/hyperlink" Target="tt38://pl3/212" TargetMode="External" Id="rId44" /><Relationship Type="http://schemas.openxmlformats.org/officeDocument/2006/relationships/hyperlink" Target="tt38://pl3/212" TargetMode="External" Id="rId45" /><Relationship Type="http://schemas.openxmlformats.org/officeDocument/2006/relationships/hyperlink" Target="tt38://pl3/212" TargetMode="External" Id="rId46" /><Relationship Type="http://schemas.openxmlformats.org/officeDocument/2006/relationships/hyperlink" Target="tt38://pl3/212" TargetMode="External" Id="rId47" /><Relationship Type="http://schemas.openxmlformats.org/officeDocument/2006/relationships/hyperlink" Target="tt38://pl3/212" TargetMode="External" Id="rId48" /><Relationship Type="http://schemas.openxmlformats.org/officeDocument/2006/relationships/hyperlink" Target="tt38://pl3/212" TargetMode="External" Id="rId49" /><Relationship Type="http://schemas.openxmlformats.org/officeDocument/2006/relationships/hyperlink" Target="tt38://pl3/212" TargetMode="External" Id="rId50" /><Relationship Type="http://schemas.openxmlformats.org/officeDocument/2006/relationships/hyperlink" Target="tt38://pl3/212" TargetMode="External" Id="rId51" /><Relationship Type="http://schemas.openxmlformats.org/officeDocument/2006/relationships/hyperlink" Target="tt38://pl3/212" TargetMode="External" Id="rId52" /><Relationship Type="http://schemas.openxmlformats.org/officeDocument/2006/relationships/hyperlink" Target="tt38://pl3/212" TargetMode="External" Id="rId53" /><Relationship Type="http://schemas.openxmlformats.org/officeDocument/2006/relationships/hyperlink" Target="tt38://pl3/212" TargetMode="External" Id="rId54" /><Relationship Type="http://schemas.openxmlformats.org/officeDocument/2006/relationships/hyperlink" Target="tt38://pl3/212" TargetMode="External" Id="rId55" /><Relationship Type="http://schemas.openxmlformats.org/officeDocument/2006/relationships/hyperlink" Target="tt38://pl3/212" TargetMode="External" Id="rId56" /><Relationship Type="http://schemas.openxmlformats.org/officeDocument/2006/relationships/hyperlink" Target="tt38://pl3/212" TargetMode="External" Id="rId57" /><Relationship Type="http://schemas.openxmlformats.org/officeDocument/2006/relationships/hyperlink" Target="tt38://pl3/212" TargetMode="External" Id="rId58" /><Relationship Type="http://schemas.openxmlformats.org/officeDocument/2006/relationships/hyperlink" Target="tt38://pl3/212" TargetMode="External" Id="rId59" /><Relationship Type="http://schemas.openxmlformats.org/officeDocument/2006/relationships/hyperlink" Target="tt38://pl3/212" TargetMode="External" Id="rId60" /><Relationship Type="http://schemas.openxmlformats.org/officeDocument/2006/relationships/hyperlink" Target="tt38://pl3/71" TargetMode="External" Id="rId61" /><Relationship Type="http://schemas.openxmlformats.org/officeDocument/2006/relationships/hyperlink" Target="tt38://pl3/71" TargetMode="External" Id="rId62" /><Relationship Type="http://schemas.openxmlformats.org/officeDocument/2006/relationships/hyperlink" Target="tt38://pl3/71" TargetMode="External" Id="rId63" /><Relationship Type="http://schemas.openxmlformats.org/officeDocument/2006/relationships/hyperlink" Target="tt38://pl3/71" TargetMode="External" Id="rId64" /><Relationship Type="http://schemas.openxmlformats.org/officeDocument/2006/relationships/hyperlink" Target="tt38://pl3/71" TargetMode="External" Id="rId65" /><Relationship Type="http://schemas.openxmlformats.org/officeDocument/2006/relationships/hyperlink" Target="tt38://pl3/71" TargetMode="External" Id="rId66" /><Relationship Type="http://schemas.openxmlformats.org/officeDocument/2006/relationships/hyperlink" Target="tt38://pl3/71" TargetMode="External" Id="rId67" /><Relationship Type="http://schemas.openxmlformats.org/officeDocument/2006/relationships/hyperlink" Target="tt38://pl3/71" TargetMode="External" Id="rId68" /><Relationship Type="http://schemas.openxmlformats.org/officeDocument/2006/relationships/hyperlink" Target="tt38://pl3/71" TargetMode="External" Id="rId69" /><Relationship Type="http://schemas.openxmlformats.org/officeDocument/2006/relationships/hyperlink" Target="tt38://pl3/71" TargetMode="External" Id="rId70" /><Relationship Type="http://schemas.openxmlformats.org/officeDocument/2006/relationships/hyperlink" Target="tt38://pl3/204" TargetMode="External" Id="rId71" /><Relationship Type="http://schemas.openxmlformats.org/officeDocument/2006/relationships/hyperlink" Target="tt38://pl3/204" TargetMode="External" Id="rId72" /><Relationship Type="http://schemas.openxmlformats.org/officeDocument/2006/relationships/hyperlink" Target="tt38://pl3/204" TargetMode="External" Id="rId73" /><Relationship Type="http://schemas.openxmlformats.org/officeDocument/2006/relationships/hyperlink" Target="tt38://pl3/204" TargetMode="External" Id="rId74" /><Relationship Type="http://schemas.openxmlformats.org/officeDocument/2006/relationships/hyperlink" Target="tt38://pl3/204" TargetMode="External" Id="rId75" /><Relationship Type="http://schemas.openxmlformats.org/officeDocument/2006/relationships/hyperlink" Target="tt38://pl3/204" TargetMode="External" Id="rId76" /><Relationship Type="http://schemas.openxmlformats.org/officeDocument/2006/relationships/hyperlink" Target="tt38://pl3/204" TargetMode="External" Id="rId77" /><Relationship Type="http://schemas.openxmlformats.org/officeDocument/2006/relationships/hyperlink" Target="tt38://pl3/204" TargetMode="External" Id="rId78" /><Relationship Type="http://schemas.openxmlformats.org/officeDocument/2006/relationships/hyperlink" Target="tt38://pl3/204" TargetMode="External" Id="rId79" /><Relationship Type="http://schemas.openxmlformats.org/officeDocument/2006/relationships/hyperlink" Target="tt38://pl3/204" TargetMode="External" Id="rId80" /><Relationship Type="http://schemas.openxmlformats.org/officeDocument/2006/relationships/hyperlink" Target="tt38://pl3/14" TargetMode="External" Id="rId81" /><Relationship Type="http://schemas.openxmlformats.org/officeDocument/2006/relationships/hyperlink" Target="tt38://pl3/14" TargetMode="External" Id="rId82" /><Relationship Type="http://schemas.openxmlformats.org/officeDocument/2006/relationships/hyperlink" Target="tt38://pl3/14" TargetMode="External" Id="rId83" /><Relationship Type="http://schemas.openxmlformats.org/officeDocument/2006/relationships/hyperlink" Target="tt38://pl3/14" TargetMode="External" Id="rId84" /><Relationship Type="http://schemas.openxmlformats.org/officeDocument/2006/relationships/hyperlink" Target="tt38://pl3/14" TargetMode="External" Id="rId85" /><Relationship Type="http://schemas.openxmlformats.org/officeDocument/2006/relationships/hyperlink" Target="tt38://pl3/14" TargetMode="External" Id="rId86" /><Relationship Type="http://schemas.openxmlformats.org/officeDocument/2006/relationships/hyperlink" Target="tt38://pl3/14" TargetMode="External" Id="rId87" /><Relationship Type="http://schemas.openxmlformats.org/officeDocument/2006/relationships/hyperlink" Target="tt38://pl3/14" TargetMode="External" Id="rId88" /></Relationships>
</file>

<file path=xl/worksheets/_rels/sheet7.xml.rels><Relationships xmlns="http://schemas.openxmlformats.org/package/2006/relationships"><Relationship Type="http://schemas.openxmlformats.org/officeDocument/2006/relationships/hyperlink" Target="tt38://pl5/37" TargetMode="External" Id="rId1" /><Relationship Type="http://schemas.openxmlformats.org/officeDocument/2006/relationships/hyperlink" Target="tt38://pl5/37" TargetMode="External" Id="rId2" /><Relationship Type="http://schemas.openxmlformats.org/officeDocument/2006/relationships/hyperlink" Target="tt38://pl3/6" TargetMode="External" Id="rId3" /><Relationship Type="http://schemas.openxmlformats.org/officeDocument/2006/relationships/hyperlink" Target="tt38://pl3/6" TargetMode="External" Id="rId4" /><Relationship Type="http://schemas.openxmlformats.org/officeDocument/2006/relationships/hyperlink" Target="tt38://pl3/6" TargetMode="External" Id="rId5" /><Relationship Type="http://schemas.openxmlformats.org/officeDocument/2006/relationships/hyperlink" Target="tt38://pl3/6" TargetMode="External" Id="rId6" /><Relationship Type="http://schemas.openxmlformats.org/officeDocument/2006/relationships/hyperlink" Target="tt38://pl3/6" TargetMode="External" Id="rId7" /><Relationship Type="http://schemas.openxmlformats.org/officeDocument/2006/relationships/hyperlink" Target="tt38://pl3/6" TargetMode="External" Id="rId8" /><Relationship Type="http://schemas.openxmlformats.org/officeDocument/2006/relationships/hyperlink" Target="tt38://pl3/6" TargetMode="External" Id="rId9" /><Relationship Type="http://schemas.openxmlformats.org/officeDocument/2006/relationships/hyperlink" Target="tt38://pl3/6" TargetMode="External" Id="rId10" /><Relationship Type="http://schemas.openxmlformats.org/officeDocument/2006/relationships/hyperlink" Target="tt38://pl3/6" TargetMode="External" Id="rId11" /><Relationship Type="http://schemas.openxmlformats.org/officeDocument/2006/relationships/hyperlink" Target="tt38://pl3/6" TargetMode="External" Id="rId12" /><Relationship Type="http://schemas.openxmlformats.org/officeDocument/2006/relationships/hyperlink" Target="tt38://pl3/6" TargetMode="External" Id="rId13" /><Relationship Type="http://schemas.openxmlformats.org/officeDocument/2006/relationships/hyperlink" Target="tt38://pl3/6" TargetMode="External" Id="rId14" /><Relationship Type="http://schemas.openxmlformats.org/officeDocument/2006/relationships/hyperlink" Target="tt38://pl3/6" TargetMode="External" Id="rId15" /><Relationship Type="http://schemas.openxmlformats.org/officeDocument/2006/relationships/hyperlink" Target="tt38://pl3/6" TargetMode="External" Id="rId16" /><Relationship Type="http://schemas.openxmlformats.org/officeDocument/2006/relationships/hyperlink" Target="tt38://pl3/6" TargetMode="External" Id="rId17" /><Relationship Type="http://schemas.openxmlformats.org/officeDocument/2006/relationships/hyperlink" Target="tt38://pl3/6" TargetMode="External" Id="rId18" /><Relationship Type="http://schemas.openxmlformats.org/officeDocument/2006/relationships/hyperlink" Target="tt38://pl3/6" TargetMode="External" Id="rId19" /><Relationship Type="http://schemas.openxmlformats.org/officeDocument/2006/relationships/hyperlink" Target="tt38://pl3/6" TargetMode="External" Id="rId20" /><Relationship Type="http://schemas.openxmlformats.org/officeDocument/2006/relationships/hyperlink" Target="tt38://pl3/6" TargetMode="External" Id="rId21" /><Relationship Type="http://schemas.openxmlformats.org/officeDocument/2006/relationships/hyperlink" Target="tt38://pl3/6" TargetMode="External" Id="rId22" /><Relationship Type="http://schemas.openxmlformats.org/officeDocument/2006/relationships/hyperlink" Target="tt38://pl3/6" TargetMode="External" Id="rId23" /><Relationship Type="http://schemas.openxmlformats.org/officeDocument/2006/relationships/hyperlink" Target="tt38://pl3/6" TargetMode="External" Id="rId24" /><Relationship Type="http://schemas.openxmlformats.org/officeDocument/2006/relationships/hyperlink" Target="tt38://pl3/100" TargetMode="External" Id="rId25" /><Relationship Type="http://schemas.openxmlformats.org/officeDocument/2006/relationships/hyperlink" Target="tt38://pl3/100" TargetMode="External" Id="rId26" /><Relationship Type="http://schemas.openxmlformats.org/officeDocument/2006/relationships/hyperlink" Target="tt38://pl3/100" TargetMode="External" Id="rId27" /><Relationship Type="http://schemas.openxmlformats.org/officeDocument/2006/relationships/hyperlink" Target="tt38://pl3/100" TargetMode="External" Id="rId28" /><Relationship Type="http://schemas.openxmlformats.org/officeDocument/2006/relationships/hyperlink" Target="tt38://pl3/100" TargetMode="External" Id="rId29" /><Relationship Type="http://schemas.openxmlformats.org/officeDocument/2006/relationships/hyperlink" Target="tt38://pl3/100" TargetMode="External" Id="rId30" /><Relationship Type="http://schemas.openxmlformats.org/officeDocument/2006/relationships/hyperlink" Target="tt38://pl3/100" TargetMode="External" Id="rId31" /><Relationship Type="http://schemas.openxmlformats.org/officeDocument/2006/relationships/hyperlink" Target="tt38://pl3/100" TargetMode="External" Id="rId32" /><Relationship Type="http://schemas.openxmlformats.org/officeDocument/2006/relationships/hyperlink" Target="tt38://pl3/100" TargetMode="External" Id="rId33" /><Relationship Type="http://schemas.openxmlformats.org/officeDocument/2006/relationships/hyperlink" Target="tt38://pl3/100" TargetMode="External" Id="rId34" /><Relationship Type="http://schemas.openxmlformats.org/officeDocument/2006/relationships/hyperlink" Target="tt38://pl3/100" TargetMode="External" Id="rId35" /><Relationship Type="http://schemas.openxmlformats.org/officeDocument/2006/relationships/hyperlink" Target="tt38://pl3/100" TargetMode="External" Id="rId36" /><Relationship Type="http://schemas.openxmlformats.org/officeDocument/2006/relationships/hyperlink" Target="tt38://pl3/100" TargetMode="External" Id="rId37" /><Relationship Type="http://schemas.openxmlformats.org/officeDocument/2006/relationships/hyperlink" Target="tt38://pl3/100" TargetMode="External" Id="rId38" /><Relationship Type="http://schemas.openxmlformats.org/officeDocument/2006/relationships/hyperlink" Target="tt38://pl3/100" TargetMode="External" Id="rId39" /><Relationship Type="http://schemas.openxmlformats.org/officeDocument/2006/relationships/hyperlink" Target="tt38://pl3/100" TargetMode="External" Id="rId40" /><Relationship Type="http://schemas.openxmlformats.org/officeDocument/2006/relationships/hyperlink" Target="tt38://pl3/100" TargetMode="External" Id="rId41" /><Relationship Type="http://schemas.openxmlformats.org/officeDocument/2006/relationships/hyperlink" Target="tt38://pl3/100" TargetMode="External" Id="rId42" /><Relationship Type="http://schemas.openxmlformats.org/officeDocument/2006/relationships/hyperlink" Target="tt38://pl3/212" TargetMode="External" Id="rId43" /><Relationship Type="http://schemas.openxmlformats.org/officeDocument/2006/relationships/hyperlink" Target="tt38://pl3/212" TargetMode="External" Id="rId44" /><Relationship Type="http://schemas.openxmlformats.org/officeDocument/2006/relationships/hyperlink" Target="tt38://pl3/212" TargetMode="External" Id="rId45" /><Relationship Type="http://schemas.openxmlformats.org/officeDocument/2006/relationships/hyperlink" Target="tt38://pl3/212" TargetMode="External" Id="rId46" /><Relationship Type="http://schemas.openxmlformats.org/officeDocument/2006/relationships/hyperlink" Target="tt38://pl3/212" TargetMode="External" Id="rId47" /><Relationship Type="http://schemas.openxmlformats.org/officeDocument/2006/relationships/hyperlink" Target="tt38://pl3/212" TargetMode="External" Id="rId48" /><Relationship Type="http://schemas.openxmlformats.org/officeDocument/2006/relationships/hyperlink" Target="tt38://pl3/212" TargetMode="External" Id="rId49" /><Relationship Type="http://schemas.openxmlformats.org/officeDocument/2006/relationships/hyperlink" Target="tt38://pl3/212" TargetMode="External" Id="rId50" /><Relationship Type="http://schemas.openxmlformats.org/officeDocument/2006/relationships/hyperlink" Target="tt38://pl3/212" TargetMode="External" Id="rId51" /><Relationship Type="http://schemas.openxmlformats.org/officeDocument/2006/relationships/hyperlink" Target="tt38://pl3/212" TargetMode="External" Id="rId52" /><Relationship Type="http://schemas.openxmlformats.org/officeDocument/2006/relationships/hyperlink" Target="tt38://pl3/212" TargetMode="External" Id="rId53" /><Relationship Type="http://schemas.openxmlformats.org/officeDocument/2006/relationships/hyperlink" Target="tt38://pl3/212" TargetMode="External" Id="rId54" /><Relationship Type="http://schemas.openxmlformats.org/officeDocument/2006/relationships/hyperlink" Target="tt38://pl3/212" TargetMode="External" Id="rId55" /><Relationship Type="http://schemas.openxmlformats.org/officeDocument/2006/relationships/hyperlink" Target="tt38://pl3/212" TargetMode="External" Id="rId56" /><Relationship Type="http://schemas.openxmlformats.org/officeDocument/2006/relationships/hyperlink" Target="tt38://pl3/212" TargetMode="External" Id="rId57" /><Relationship Type="http://schemas.openxmlformats.org/officeDocument/2006/relationships/hyperlink" Target="tt38://pl3/212" TargetMode="External" Id="rId58" /><Relationship Type="http://schemas.openxmlformats.org/officeDocument/2006/relationships/hyperlink" Target="tt38://pl3/212" TargetMode="External" Id="rId59" /><Relationship Type="http://schemas.openxmlformats.org/officeDocument/2006/relationships/hyperlink" Target="tt38://pl3/212" TargetMode="External" Id="rId60" /><Relationship Type="http://schemas.openxmlformats.org/officeDocument/2006/relationships/hyperlink" Target="tt38://pl3/71" TargetMode="External" Id="rId61" /><Relationship Type="http://schemas.openxmlformats.org/officeDocument/2006/relationships/hyperlink" Target="tt38://pl3/71" TargetMode="External" Id="rId62" /><Relationship Type="http://schemas.openxmlformats.org/officeDocument/2006/relationships/hyperlink" Target="tt38://pl3/71" TargetMode="External" Id="rId63" /><Relationship Type="http://schemas.openxmlformats.org/officeDocument/2006/relationships/hyperlink" Target="tt38://pl3/71" TargetMode="External" Id="rId64" /><Relationship Type="http://schemas.openxmlformats.org/officeDocument/2006/relationships/hyperlink" Target="tt38://pl3/71" TargetMode="External" Id="rId65" /><Relationship Type="http://schemas.openxmlformats.org/officeDocument/2006/relationships/hyperlink" Target="tt38://pl3/71" TargetMode="External" Id="rId66" /><Relationship Type="http://schemas.openxmlformats.org/officeDocument/2006/relationships/hyperlink" Target="tt38://pl3/71" TargetMode="External" Id="rId67" /><Relationship Type="http://schemas.openxmlformats.org/officeDocument/2006/relationships/hyperlink" Target="tt38://pl3/71" TargetMode="External" Id="rId68" /><Relationship Type="http://schemas.openxmlformats.org/officeDocument/2006/relationships/hyperlink" Target="tt38://pl3/71" TargetMode="External" Id="rId69" /><Relationship Type="http://schemas.openxmlformats.org/officeDocument/2006/relationships/hyperlink" Target="tt38://pl3/71" TargetMode="External" Id="rId70" /><Relationship Type="http://schemas.openxmlformats.org/officeDocument/2006/relationships/hyperlink" Target="tt38://pl3/204" TargetMode="External" Id="rId71" /><Relationship Type="http://schemas.openxmlformats.org/officeDocument/2006/relationships/hyperlink" Target="tt38://pl3/204" TargetMode="External" Id="rId72" /><Relationship Type="http://schemas.openxmlformats.org/officeDocument/2006/relationships/hyperlink" Target="tt38://pl3/204" TargetMode="External" Id="rId73" /><Relationship Type="http://schemas.openxmlformats.org/officeDocument/2006/relationships/hyperlink" Target="tt38://pl3/204" TargetMode="External" Id="rId74" /><Relationship Type="http://schemas.openxmlformats.org/officeDocument/2006/relationships/hyperlink" Target="tt38://pl3/204" TargetMode="External" Id="rId75" /><Relationship Type="http://schemas.openxmlformats.org/officeDocument/2006/relationships/hyperlink" Target="tt38://pl3/204" TargetMode="External" Id="rId76" /><Relationship Type="http://schemas.openxmlformats.org/officeDocument/2006/relationships/hyperlink" Target="tt38://pl3/204" TargetMode="External" Id="rId77" /><Relationship Type="http://schemas.openxmlformats.org/officeDocument/2006/relationships/hyperlink" Target="tt38://pl3/204" TargetMode="External" Id="rId78" /><Relationship Type="http://schemas.openxmlformats.org/officeDocument/2006/relationships/hyperlink" Target="tt38://pl3/204" TargetMode="External" Id="rId79" /><Relationship Type="http://schemas.openxmlformats.org/officeDocument/2006/relationships/hyperlink" Target="tt38://pl3/204" TargetMode="External" Id="rId80" /><Relationship Type="http://schemas.openxmlformats.org/officeDocument/2006/relationships/hyperlink" Target="tt38://pl3/14" TargetMode="External" Id="rId81" /><Relationship Type="http://schemas.openxmlformats.org/officeDocument/2006/relationships/hyperlink" Target="tt38://pl3/14" TargetMode="External" Id="rId82" /><Relationship Type="http://schemas.openxmlformats.org/officeDocument/2006/relationships/hyperlink" Target="tt38://pl3/14" TargetMode="External" Id="rId83" /><Relationship Type="http://schemas.openxmlformats.org/officeDocument/2006/relationships/hyperlink" Target="tt38://pl3/14" TargetMode="External" Id="rId84" /><Relationship Type="http://schemas.openxmlformats.org/officeDocument/2006/relationships/hyperlink" Target="tt38://pl3/14" TargetMode="External" Id="rId85" /><Relationship Type="http://schemas.openxmlformats.org/officeDocument/2006/relationships/hyperlink" Target="tt38://pl3/14" TargetMode="External" Id="rId86" /><Relationship Type="http://schemas.openxmlformats.org/officeDocument/2006/relationships/hyperlink" Target="tt38://pl3/14" TargetMode="External" Id="rId87" /><Relationship Type="http://schemas.openxmlformats.org/officeDocument/2006/relationships/hyperlink" Target="tt38://pl3/14" TargetMode="External" Id="rId88" /></Relationships>
</file>

<file path=xl/worksheets/_rels/sheet12.xml.rels><Relationships xmlns="http://schemas.openxmlformats.org/package/2006/relationships"><Relationship Type="http://schemas.openxmlformats.org/officeDocument/2006/relationships/hyperlink" Target="tt38://pl5/37" TargetMode="External" Id="rId1" /><Relationship Type="http://schemas.openxmlformats.org/officeDocument/2006/relationships/hyperlink" Target="tt38://pl5/37" TargetMode="External" Id="rId2" /><Relationship Type="http://schemas.openxmlformats.org/officeDocument/2006/relationships/hyperlink" Target="tt38://pl3/6" TargetMode="External" Id="rId3" /><Relationship Type="http://schemas.openxmlformats.org/officeDocument/2006/relationships/hyperlink" Target="tt38://pl3/6" TargetMode="External" Id="rId4" /><Relationship Type="http://schemas.openxmlformats.org/officeDocument/2006/relationships/hyperlink" Target="tt38://pl3/6" TargetMode="External" Id="rId5" /><Relationship Type="http://schemas.openxmlformats.org/officeDocument/2006/relationships/hyperlink" Target="tt38://pl3/6" TargetMode="External" Id="rId6" /><Relationship Type="http://schemas.openxmlformats.org/officeDocument/2006/relationships/hyperlink" Target="tt38://pl3/6" TargetMode="External" Id="rId7" /><Relationship Type="http://schemas.openxmlformats.org/officeDocument/2006/relationships/hyperlink" Target="tt38://pl3/6" TargetMode="External" Id="rId8" /><Relationship Type="http://schemas.openxmlformats.org/officeDocument/2006/relationships/hyperlink" Target="tt38://pl3/6" TargetMode="External" Id="rId9" /><Relationship Type="http://schemas.openxmlformats.org/officeDocument/2006/relationships/hyperlink" Target="tt38://pl3/6" TargetMode="External" Id="rId10" /><Relationship Type="http://schemas.openxmlformats.org/officeDocument/2006/relationships/hyperlink" Target="tt38://pl3/6" TargetMode="External" Id="rId11" /><Relationship Type="http://schemas.openxmlformats.org/officeDocument/2006/relationships/hyperlink" Target="tt38://pl3/6" TargetMode="External" Id="rId12" /><Relationship Type="http://schemas.openxmlformats.org/officeDocument/2006/relationships/hyperlink" Target="tt38://pl3/6" TargetMode="External" Id="rId13" /><Relationship Type="http://schemas.openxmlformats.org/officeDocument/2006/relationships/hyperlink" Target="tt38://pl3/6" TargetMode="External" Id="rId14" /><Relationship Type="http://schemas.openxmlformats.org/officeDocument/2006/relationships/hyperlink" Target="tt38://pl3/6" TargetMode="External" Id="rId15" /><Relationship Type="http://schemas.openxmlformats.org/officeDocument/2006/relationships/hyperlink" Target="tt38://pl3/6" TargetMode="External" Id="rId16" /><Relationship Type="http://schemas.openxmlformats.org/officeDocument/2006/relationships/hyperlink" Target="tt38://pl3/6" TargetMode="External" Id="rId17" /><Relationship Type="http://schemas.openxmlformats.org/officeDocument/2006/relationships/hyperlink" Target="tt38://pl3/6" TargetMode="External" Id="rId18" /><Relationship Type="http://schemas.openxmlformats.org/officeDocument/2006/relationships/hyperlink" Target="tt38://pl3/6" TargetMode="External" Id="rId19" /><Relationship Type="http://schemas.openxmlformats.org/officeDocument/2006/relationships/hyperlink" Target="tt38://pl3/6" TargetMode="External" Id="rId20" /><Relationship Type="http://schemas.openxmlformats.org/officeDocument/2006/relationships/hyperlink" Target="tt38://pl3/6" TargetMode="External" Id="rId21" /><Relationship Type="http://schemas.openxmlformats.org/officeDocument/2006/relationships/hyperlink" Target="tt38://pl3/6" TargetMode="External" Id="rId22" /><Relationship Type="http://schemas.openxmlformats.org/officeDocument/2006/relationships/hyperlink" Target="tt38://pl3/6" TargetMode="External" Id="rId23" /><Relationship Type="http://schemas.openxmlformats.org/officeDocument/2006/relationships/hyperlink" Target="tt38://pl3/6" TargetMode="External" Id="rId24" /><Relationship Type="http://schemas.openxmlformats.org/officeDocument/2006/relationships/hyperlink" Target="tt38://pl3/100" TargetMode="External" Id="rId25" /><Relationship Type="http://schemas.openxmlformats.org/officeDocument/2006/relationships/hyperlink" Target="tt38://pl3/100" TargetMode="External" Id="rId26" /><Relationship Type="http://schemas.openxmlformats.org/officeDocument/2006/relationships/hyperlink" Target="tt38://pl3/100" TargetMode="External" Id="rId27" /><Relationship Type="http://schemas.openxmlformats.org/officeDocument/2006/relationships/hyperlink" Target="tt38://pl3/100" TargetMode="External" Id="rId28" /><Relationship Type="http://schemas.openxmlformats.org/officeDocument/2006/relationships/hyperlink" Target="tt38://pl3/100" TargetMode="External" Id="rId29" /><Relationship Type="http://schemas.openxmlformats.org/officeDocument/2006/relationships/hyperlink" Target="tt38://pl3/100" TargetMode="External" Id="rId30" /><Relationship Type="http://schemas.openxmlformats.org/officeDocument/2006/relationships/hyperlink" Target="tt38://pl3/100" TargetMode="External" Id="rId31" /><Relationship Type="http://schemas.openxmlformats.org/officeDocument/2006/relationships/hyperlink" Target="tt38://pl3/100" TargetMode="External" Id="rId32" /><Relationship Type="http://schemas.openxmlformats.org/officeDocument/2006/relationships/hyperlink" Target="tt38://pl3/100" TargetMode="External" Id="rId33" /><Relationship Type="http://schemas.openxmlformats.org/officeDocument/2006/relationships/hyperlink" Target="tt38://pl3/100" TargetMode="External" Id="rId34" /><Relationship Type="http://schemas.openxmlformats.org/officeDocument/2006/relationships/hyperlink" Target="tt38://pl3/100" TargetMode="External" Id="rId35" /><Relationship Type="http://schemas.openxmlformats.org/officeDocument/2006/relationships/hyperlink" Target="tt38://pl3/100" TargetMode="External" Id="rId36" /><Relationship Type="http://schemas.openxmlformats.org/officeDocument/2006/relationships/hyperlink" Target="tt38://pl3/100" TargetMode="External" Id="rId37" /><Relationship Type="http://schemas.openxmlformats.org/officeDocument/2006/relationships/hyperlink" Target="tt38://pl3/100" TargetMode="External" Id="rId38" /><Relationship Type="http://schemas.openxmlformats.org/officeDocument/2006/relationships/hyperlink" Target="tt38://pl3/100" TargetMode="External" Id="rId39" /><Relationship Type="http://schemas.openxmlformats.org/officeDocument/2006/relationships/hyperlink" Target="tt38://pl3/100" TargetMode="External" Id="rId40" /><Relationship Type="http://schemas.openxmlformats.org/officeDocument/2006/relationships/hyperlink" Target="tt38://pl3/100" TargetMode="External" Id="rId41" /><Relationship Type="http://schemas.openxmlformats.org/officeDocument/2006/relationships/hyperlink" Target="tt38://pl3/100" TargetMode="External" Id="rId42" /><Relationship Type="http://schemas.openxmlformats.org/officeDocument/2006/relationships/hyperlink" Target="tt38://pl3/212" TargetMode="External" Id="rId43" /><Relationship Type="http://schemas.openxmlformats.org/officeDocument/2006/relationships/hyperlink" Target="tt38://pl3/212" TargetMode="External" Id="rId44" /><Relationship Type="http://schemas.openxmlformats.org/officeDocument/2006/relationships/hyperlink" Target="tt38://pl3/212" TargetMode="External" Id="rId45" /><Relationship Type="http://schemas.openxmlformats.org/officeDocument/2006/relationships/hyperlink" Target="tt38://pl3/212" TargetMode="External" Id="rId46" /><Relationship Type="http://schemas.openxmlformats.org/officeDocument/2006/relationships/hyperlink" Target="tt38://pl3/212" TargetMode="External" Id="rId47" /><Relationship Type="http://schemas.openxmlformats.org/officeDocument/2006/relationships/hyperlink" Target="tt38://pl3/212" TargetMode="External" Id="rId48" /><Relationship Type="http://schemas.openxmlformats.org/officeDocument/2006/relationships/hyperlink" Target="tt38://pl3/212" TargetMode="External" Id="rId49" /><Relationship Type="http://schemas.openxmlformats.org/officeDocument/2006/relationships/hyperlink" Target="tt38://pl3/212" TargetMode="External" Id="rId50" /><Relationship Type="http://schemas.openxmlformats.org/officeDocument/2006/relationships/hyperlink" Target="tt38://pl3/212" TargetMode="External" Id="rId51" /><Relationship Type="http://schemas.openxmlformats.org/officeDocument/2006/relationships/hyperlink" Target="tt38://pl3/212" TargetMode="External" Id="rId52" /><Relationship Type="http://schemas.openxmlformats.org/officeDocument/2006/relationships/hyperlink" Target="tt38://pl3/212" TargetMode="External" Id="rId53" /><Relationship Type="http://schemas.openxmlformats.org/officeDocument/2006/relationships/hyperlink" Target="tt38://pl3/212" TargetMode="External" Id="rId54" /><Relationship Type="http://schemas.openxmlformats.org/officeDocument/2006/relationships/hyperlink" Target="tt38://pl3/212" TargetMode="External" Id="rId55" /><Relationship Type="http://schemas.openxmlformats.org/officeDocument/2006/relationships/hyperlink" Target="tt38://pl3/212" TargetMode="External" Id="rId56" /><Relationship Type="http://schemas.openxmlformats.org/officeDocument/2006/relationships/hyperlink" Target="tt38://pl3/212" TargetMode="External" Id="rId57" /><Relationship Type="http://schemas.openxmlformats.org/officeDocument/2006/relationships/hyperlink" Target="tt38://pl3/212" TargetMode="External" Id="rId58" /><Relationship Type="http://schemas.openxmlformats.org/officeDocument/2006/relationships/hyperlink" Target="tt38://pl3/212" TargetMode="External" Id="rId59" /><Relationship Type="http://schemas.openxmlformats.org/officeDocument/2006/relationships/hyperlink" Target="tt38://pl3/212" TargetMode="External" Id="rId60" /><Relationship Type="http://schemas.openxmlformats.org/officeDocument/2006/relationships/hyperlink" Target="tt38://pl3/71" TargetMode="External" Id="rId61" /><Relationship Type="http://schemas.openxmlformats.org/officeDocument/2006/relationships/hyperlink" Target="tt38://pl3/71" TargetMode="External" Id="rId62" /><Relationship Type="http://schemas.openxmlformats.org/officeDocument/2006/relationships/hyperlink" Target="tt38://pl3/71" TargetMode="External" Id="rId63" /><Relationship Type="http://schemas.openxmlformats.org/officeDocument/2006/relationships/hyperlink" Target="tt38://pl3/71" TargetMode="External" Id="rId64" /><Relationship Type="http://schemas.openxmlformats.org/officeDocument/2006/relationships/hyperlink" Target="tt38://pl3/71" TargetMode="External" Id="rId65" /><Relationship Type="http://schemas.openxmlformats.org/officeDocument/2006/relationships/hyperlink" Target="tt38://pl3/71" TargetMode="External" Id="rId66" /><Relationship Type="http://schemas.openxmlformats.org/officeDocument/2006/relationships/hyperlink" Target="tt38://pl3/71" TargetMode="External" Id="rId67" /><Relationship Type="http://schemas.openxmlformats.org/officeDocument/2006/relationships/hyperlink" Target="tt38://pl3/71" TargetMode="External" Id="rId68" /><Relationship Type="http://schemas.openxmlformats.org/officeDocument/2006/relationships/hyperlink" Target="tt38://pl3/71" TargetMode="External" Id="rId69" /><Relationship Type="http://schemas.openxmlformats.org/officeDocument/2006/relationships/hyperlink" Target="tt38://pl3/71" TargetMode="External" Id="rId70" /><Relationship Type="http://schemas.openxmlformats.org/officeDocument/2006/relationships/hyperlink" Target="tt38://pl3/204" TargetMode="External" Id="rId71" /><Relationship Type="http://schemas.openxmlformats.org/officeDocument/2006/relationships/hyperlink" Target="tt38://pl3/204" TargetMode="External" Id="rId72" /><Relationship Type="http://schemas.openxmlformats.org/officeDocument/2006/relationships/hyperlink" Target="tt38://pl3/204" TargetMode="External" Id="rId73" /><Relationship Type="http://schemas.openxmlformats.org/officeDocument/2006/relationships/hyperlink" Target="tt38://pl3/204" TargetMode="External" Id="rId74" /><Relationship Type="http://schemas.openxmlformats.org/officeDocument/2006/relationships/hyperlink" Target="tt38://pl3/204" TargetMode="External" Id="rId75" /><Relationship Type="http://schemas.openxmlformats.org/officeDocument/2006/relationships/hyperlink" Target="tt38://pl3/204" TargetMode="External" Id="rId76" /><Relationship Type="http://schemas.openxmlformats.org/officeDocument/2006/relationships/hyperlink" Target="tt38://pl3/204" TargetMode="External" Id="rId77" /><Relationship Type="http://schemas.openxmlformats.org/officeDocument/2006/relationships/hyperlink" Target="tt38://pl3/204" TargetMode="External" Id="rId78" /><Relationship Type="http://schemas.openxmlformats.org/officeDocument/2006/relationships/hyperlink" Target="tt38://pl3/204" TargetMode="External" Id="rId79" /><Relationship Type="http://schemas.openxmlformats.org/officeDocument/2006/relationships/hyperlink" Target="tt38://pl3/204" TargetMode="External" Id="rId80" /><Relationship Type="http://schemas.openxmlformats.org/officeDocument/2006/relationships/hyperlink" Target="tt38://pl3/14" TargetMode="External" Id="rId81" /><Relationship Type="http://schemas.openxmlformats.org/officeDocument/2006/relationships/hyperlink" Target="tt38://pl3/14" TargetMode="External" Id="rId82" /><Relationship Type="http://schemas.openxmlformats.org/officeDocument/2006/relationships/hyperlink" Target="tt38://pl3/14" TargetMode="External" Id="rId83" /><Relationship Type="http://schemas.openxmlformats.org/officeDocument/2006/relationships/hyperlink" Target="tt38://pl3/14" TargetMode="External" Id="rId84" /><Relationship Type="http://schemas.openxmlformats.org/officeDocument/2006/relationships/hyperlink" Target="tt38://pl3/14" TargetMode="External" Id="rId85" /><Relationship Type="http://schemas.openxmlformats.org/officeDocument/2006/relationships/hyperlink" Target="tt38://pl3/14" TargetMode="External" Id="rId86" /><Relationship Type="http://schemas.openxmlformats.org/officeDocument/2006/relationships/hyperlink" Target="tt38://pl3/14" TargetMode="External" Id="rId87" /><Relationship Type="http://schemas.openxmlformats.org/officeDocument/2006/relationships/hyperlink" Target="tt38://pl3/14" TargetMode="External" Id="rId88" /></Relationships>
</file>

<file path=xl/worksheets/_rels/sheet16.xml.rels><Relationships xmlns="http://schemas.openxmlformats.org/package/2006/relationships"><Relationship Type="http://schemas.openxmlformats.org/officeDocument/2006/relationships/hyperlink" Target="tt38://pl5/37" TargetMode="External" Id="rId1" /><Relationship Type="http://schemas.openxmlformats.org/officeDocument/2006/relationships/hyperlink" Target="tt38://pl5/37" TargetMode="External" Id="rId2" /><Relationship Type="http://schemas.openxmlformats.org/officeDocument/2006/relationships/hyperlink" Target="tt38://pl3/6" TargetMode="External" Id="rId3" /><Relationship Type="http://schemas.openxmlformats.org/officeDocument/2006/relationships/hyperlink" Target="tt38://pl3/6" TargetMode="External" Id="rId4" /><Relationship Type="http://schemas.openxmlformats.org/officeDocument/2006/relationships/hyperlink" Target="tt38://pl3/6" TargetMode="External" Id="rId5" /><Relationship Type="http://schemas.openxmlformats.org/officeDocument/2006/relationships/hyperlink" Target="tt38://pl3/6" TargetMode="External" Id="rId6" /><Relationship Type="http://schemas.openxmlformats.org/officeDocument/2006/relationships/hyperlink" Target="tt38://pl3/6" TargetMode="External" Id="rId7" /><Relationship Type="http://schemas.openxmlformats.org/officeDocument/2006/relationships/hyperlink" Target="tt38://pl3/6" TargetMode="External" Id="rId8" /><Relationship Type="http://schemas.openxmlformats.org/officeDocument/2006/relationships/hyperlink" Target="tt38://pl3/6" TargetMode="External" Id="rId9" /><Relationship Type="http://schemas.openxmlformats.org/officeDocument/2006/relationships/hyperlink" Target="tt38://pl3/6" TargetMode="External" Id="rId10" /><Relationship Type="http://schemas.openxmlformats.org/officeDocument/2006/relationships/hyperlink" Target="tt38://pl3/6" TargetMode="External" Id="rId11" /><Relationship Type="http://schemas.openxmlformats.org/officeDocument/2006/relationships/hyperlink" Target="tt38://pl3/6" TargetMode="External" Id="rId12" /><Relationship Type="http://schemas.openxmlformats.org/officeDocument/2006/relationships/hyperlink" Target="tt38://pl3/6" TargetMode="External" Id="rId13" /><Relationship Type="http://schemas.openxmlformats.org/officeDocument/2006/relationships/hyperlink" Target="tt38://pl3/6" TargetMode="External" Id="rId14" /><Relationship Type="http://schemas.openxmlformats.org/officeDocument/2006/relationships/hyperlink" Target="tt38://pl3/6" TargetMode="External" Id="rId15" /><Relationship Type="http://schemas.openxmlformats.org/officeDocument/2006/relationships/hyperlink" Target="tt38://pl3/6" TargetMode="External" Id="rId16" /><Relationship Type="http://schemas.openxmlformats.org/officeDocument/2006/relationships/hyperlink" Target="tt38://pl3/6" TargetMode="External" Id="rId17" /><Relationship Type="http://schemas.openxmlformats.org/officeDocument/2006/relationships/hyperlink" Target="tt38://pl3/6" TargetMode="External" Id="rId18" /><Relationship Type="http://schemas.openxmlformats.org/officeDocument/2006/relationships/hyperlink" Target="tt38://pl3/6" TargetMode="External" Id="rId19" /><Relationship Type="http://schemas.openxmlformats.org/officeDocument/2006/relationships/hyperlink" Target="tt38://pl3/6" TargetMode="External" Id="rId20" /><Relationship Type="http://schemas.openxmlformats.org/officeDocument/2006/relationships/hyperlink" Target="tt38://pl3/6" TargetMode="External" Id="rId21" /><Relationship Type="http://schemas.openxmlformats.org/officeDocument/2006/relationships/hyperlink" Target="tt38://pl3/6" TargetMode="External" Id="rId22" /><Relationship Type="http://schemas.openxmlformats.org/officeDocument/2006/relationships/hyperlink" Target="tt38://pl3/6" TargetMode="External" Id="rId23" /><Relationship Type="http://schemas.openxmlformats.org/officeDocument/2006/relationships/hyperlink" Target="tt38://pl3/6" TargetMode="External" Id="rId24" /><Relationship Type="http://schemas.openxmlformats.org/officeDocument/2006/relationships/hyperlink" Target="tt38://pl3/100" TargetMode="External" Id="rId25" /><Relationship Type="http://schemas.openxmlformats.org/officeDocument/2006/relationships/hyperlink" Target="tt38://pl3/100" TargetMode="External" Id="rId26" /><Relationship Type="http://schemas.openxmlformats.org/officeDocument/2006/relationships/hyperlink" Target="tt38://pl3/100" TargetMode="External" Id="rId27" /><Relationship Type="http://schemas.openxmlformats.org/officeDocument/2006/relationships/hyperlink" Target="tt38://pl3/100" TargetMode="External" Id="rId28" /><Relationship Type="http://schemas.openxmlformats.org/officeDocument/2006/relationships/hyperlink" Target="tt38://pl3/100" TargetMode="External" Id="rId29" /><Relationship Type="http://schemas.openxmlformats.org/officeDocument/2006/relationships/hyperlink" Target="tt38://pl3/100" TargetMode="External" Id="rId30" /><Relationship Type="http://schemas.openxmlformats.org/officeDocument/2006/relationships/hyperlink" Target="tt38://pl3/100" TargetMode="External" Id="rId31" /><Relationship Type="http://schemas.openxmlformats.org/officeDocument/2006/relationships/hyperlink" Target="tt38://pl3/100" TargetMode="External" Id="rId32" /><Relationship Type="http://schemas.openxmlformats.org/officeDocument/2006/relationships/hyperlink" Target="tt38://pl3/100" TargetMode="External" Id="rId33" /><Relationship Type="http://schemas.openxmlformats.org/officeDocument/2006/relationships/hyperlink" Target="tt38://pl3/100" TargetMode="External" Id="rId34" /><Relationship Type="http://schemas.openxmlformats.org/officeDocument/2006/relationships/hyperlink" Target="tt38://pl3/100" TargetMode="External" Id="rId35" /><Relationship Type="http://schemas.openxmlformats.org/officeDocument/2006/relationships/hyperlink" Target="tt38://pl3/100" TargetMode="External" Id="rId36" /><Relationship Type="http://schemas.openxmlformats.org/officeDocument/2006/relationships/hyperlink" Target="tt38://pl3/100" TargetMode="External" Id="rId37" /><Relationship Type="http://schemas.openxmlformats.org/officeDocument/2006/relationships/hyperlink" Target="tt38://pl3/100" TargetMode="External" Id="rId38" /><Relationship Type="http://schemas.openxmlformats.org/officeDocument/2006/relationships/hyperlink" Target="tt38://pl3/100" TargetMode="External" Id="rId39" /><Relationship Type="http://schemas.openxmlformats.org/officeDocument/2006/relationships/hyperlink" Target="tt38://pl3/100" TargetMode="External" Id="rId40" /><Relationship Type="http://schemas.openxmlformats.org/officeDocument/2006/relationships/hyperlink" Target="tt38://pl3/100" TargetMode="External" Id="rId41" /><Relationship Type="http://schemas.openxmlformats.org/officeDocument/2006/relationships/hyperlink" Target="tt38://pl3/100" TargetMode="External" Id="rId42" /><Relationship Type="http://schemas.openxmlformats.org/officeDocument/2006/relationships/hyperlink" Target="tt38://pl3/212" TargetMode="External" Id="rId43" /><Relationship Type="http://schemas.openxmlformats.org/officeDocument/2006/relationships/hyperlink" Target="tt38://pl3/212" TargetMode="External" Id="rId44" /><Relationship Type="http://schemas.openxmlformats.org/officeDocument/2006/relationships/hyperlink" Target="tt38://pl3/212" TargetMode="External" Id="rId45" /><Relationship Type="http://schemas.openxmlformats.org/officeDocument/2006/relationships/hyperlink" Target="tt38://pl3/212" TargetMode="External" Id="rId46" /><Relationship Type="http://schemas.openxmlformats.org/officeDocument/2006/relationships/hyperlink" Target="tt38://pl3/212" TargetMode="External" Id="rId47" /><Relationship Type="http://schemas.openxmlformats.org/officeDocument/2006/relationships/hyperlink" Target="tt38://pl3/212" TargetMode="External" Id="rId48" /><Relationship Type="http://schemas.openxmlformats.org/officeDocument/2006/relationships/hyperlink" Target="tt38://pl3/212" TargetMode="External" Id="rId49" /><Relationship Type="http://schemas.openxmlformats.org/officeDocument/2006/relationships/hyperlink" Target="tt38://pl3/212" TargetMode="External" Id="rId50" /><Relationship Type="http://schemas.openxmlformats.org/officeDocument/2006/relationships/hyperlink" Target="tt38://pl3/212" TargetMode="External" Id="rId51" /><Relationship Type="http://schemas.openxmlformats.org/officeDocument/2006/relationships/hyperlink" Target="tt38://pl3/212" TargetMode="External" Id="rId52" /><Relationship Type="http://schemas.openxmlformats.org/officeDocument/2006/relationships/hyperlink" Target="tt38://pl3/212" TargetMode="External" Id="rId53" /><Relationship Type="http://schemas.openxmlformats.org/officeDocument/2006/relationships/hyperlink" Target="tt38://pl3/212" TargetMode="External" Id="rId54" /><Relationship Type="http://schemas.openxmlformats.org/officeDocument/2006/relationships/hyperlink" Target="tt38://pl3/212" TargetMode="External" Id="rId55" /><Relationship Type="http://schemas.openxmlformats.org/officeDocument/2006/relationships/hyperlink" Target="tt38://pl3/212" TargetMode="External" Id="rId56" /><Relationship Type="http://schemas.openxmlformats.org/officeDocument/2006/relationships/hyperlink" Target="tt38://pl3/212" TargetMode="External" Id="rId57" /><Relationship Type="http://schemas.openxmlformats.org/officeDocument/2006/relationships/hyperlink" Target="tt38://pl3/212" TargetMode="External" Id="rId58" /><Relationship Type="http://schemas.openxmlformats.org/officeDocument/2006/relationships/hyperlink" Target="tt38://pl3/212" TargetMode="External" Id="rId59" /><Relationship Type="http://schemas.openxmlformats.org/officeDocument/2006/relationships/hyperlink" Target="tt38://pl3/212" TargetMode="External" Id="rId60" /><Relationship Type="http://schemas.openxmlformats.org/officeDocument/2006/relationships/hyperlink" Target="tt38://pl3/71" TargetMode="External" Id="rId61" /><Relationship Type="http://schemas.openxmlformats.org/officeDocument/2006/relationships/hyperlink" Target="tt38://pl3/71" TargetMode="External" Id="rId62" /><Relationship Type="http://schemas.openxmlformats.org/officeDocument/2006/relationships/hyperlink" Target="tt38://pl3/71" TargetMode="External" Id="rId63" /><Relationship Type="http://schemas.openxmlformats.org/officeDocument/2006/relationships/hyperlink" Target="tt38://pl3/71" TargetMode="External" Id="rId64" /><Relationship Type="http://schemas.openxmlformats.org/officeDocument/2006/relationships/hyperlink" Target="tt38://pl3/71" TargetMode="External" Id="rId65" /><Relationship Type="http://schemas.openxmlformats.org/officeDocument/2006/relationships/hyperlink" Target="tt38://pl3/71" TargetMode="External" Id="rId66" /><Relationship Type="http://schemas.openxmlformats.org/officeDocument/2006/relationships/hyperlink" Target="tt38://pl3/71" TargetMode="External" Id="rId67" /><Relationship Type="http://schemas.openxmlformats.org/officeDocument/2006/relationships/hyperlink" Target="tt38://pl3/71" TargetMode="External" Id="rId68" /><Relationship Type="http://schemas.openxmlformats.org/officeDocument/2006/relationships/hyperlink" Target="tt38://pl3/71" TargetMode="External" Id="rId69" /><Relationship Type="http://schemas.openxmlformats.org/officeDocument/2006/relationships/hyperlink" Target="tt38://pl3/71" TargetMode="External" Id="rId70" /><Relationship Type="http://schemas.openxmlformats.org/officeDocument/2006/relationships/hyperlink" Target="tt38://pl3/204" TargetMode="External" Id="rId71" /><Relationship Type="http://schemas.openxmlformats.org/officeDocument/2006/relationships/hyperlink" Target="tt38://pl3/204" TargetMode="External" Id="rId72" /><Relationship Type="http://schemas.openxmlformats.org/officeDocument/2006/relationships/hyperlink" Target="tt38://pl3/204" TargetMode="External" Id="rId73" /><Relationship Type="http://schemas.openxmlformats.org/officeDocument/2006/relationships/hyperlink" Target="tt38://pl3/204" TargetMode="External" Id="rId74" /><Relationship Type="http://schemas.openxmlformats.org/officeDocument/2006/relationships/hyperlink" Target="tt38://pl3/204" TargetMode="External" Id="rId75" /><Relationship Type="http://schemas.openxmlformats.org/officeDocument/2006/relationships/hyperlink" Target="tt38://pl3/204" TargetMode="External" Id="rId76" /><Relationship Type="http://schemas.openxmlformats.org/officeDocument/2006/relationships/hyperlink" Target="tt38://pl3/204" TargetMode="External" Id="rId77" /><Relationship Type="http://schemas.openxmlformats.org/officeDocument/2006/relationships/hyperlink" Target="tt38://pl3/204" TargetMode="External" Id="rId78" /><Relationship Type="http://schemas.openxmlformats.org/officeDocument/2006/relationships/hyperlink" Target="tt38://pl3/204" TargetMode="External" Id="rId79" /><Relationship Type="http://schemas.openxmlformats.org/officeDocument/2006/relationships/hyperlink" Target="tt38://pl3/204" TargetMode="External" Id="rId80" /><Relationship Type="http://schemas.openxmlformats.org/officeDocument/2006/relationships/hyperlink" Target="tt38://pl3/14" TargetMode="External" Id="rId81" /><Relationship Type="http://schemas.openxmlformats.org/officeDocument/2006/relationships/hyperlink" Target="tt38://pl3/14" TargetMode="External" Id="rId82" /><Relationship Type="http://schemas.openxmlformats.org/officeDocument/2006/relationships/hyperlink" Target="tt38://pl3/14" TargetMode="External" Id="rId83" /><Relationship Type="http://schemas.openxmlformats.org/officeDocument/2006/relationships/hyperlink" Target="tt38://pl3/14" TargetMode="External" Id="rId84" /><Relationship Type="http://schemas.openxmlformats.org/officeDocument/2006/relationships/hyperlink" Target="tt38://pl3/14" TargetMode="External" Id="rId85" /><Relationship Type="http://schemas.openxmlformats.org/officeDocument/2006/relationships/hyperlink" Target="tt38://pl3/14" TargetMode="External" Id="rId86" /><Relationship Type="http://schemas.openxmlformats.org/officeDocument/2006/relationships/hyperlink" Target="tt38://pl3/14" TargetMode="External" Id="rId87" /><Relationship Type="http://schemas.openxmlformats.org/officeDocument/2006/relationships/hyperlink" Target="tt38://pl3/14" TargetMode="External" Id="rId88" /></Relationships>
</file>

<file path=xl/worksheets/_rels/sheet20.xml.rels><Relationships xmlns="http://schemas.openxmlformats.org/package/2006/relationships"><Relationship Type="http://schemas.openxmlformats.org/officeDocument/2006/relationships/hyperlink" Target="tt38://pl5/37" TargetMode="External" Id="rId1" /><Relationship Type="http://schemas.openxmlformats.org/officeDocument/2006/relationships/hyperlink" Target="tt38://pl5/37" TargetMode="External" Id="rId2" /><Relationship Type="http://schemas.openxmlformats.org/officeDocument/2006/relationships/hyperlink" Target="tt38://pl3/6" TargetMode="External" Id="rId3" /><Relationship Type="http://schemas.openxmlformats.org/officeDocument/2006/relationships/hyperlink" Target="tt38://pl3/6" TargetMode="External" Id="rId4" /><Relationship Type="http://schemas.openxmlformats.org/officeDocument/2006/relationships/hyperlink" Target="tt38://pl3/6" TargetMode="External" Id="rId5" /><Relationship Type="http://schemas.openxmlformats.org/officeDocument/2006/relationships/hyperlink" Target="tt38://pl3/6" TargetMode="External" Id="rId6" /><Relationship Type="http://schemas.openxmlformats.org/officeDocument/2006/relationships/hyperlink" Target="tt38://pl3/6" TargetMode="External" Id="rId7" /><Relationship Type="http://schemas.openxmlformats.org/officeDocument/2006/relationships/hyperlink" Target="tt38://pl3/6" TargetMode="External" Id="rId8" /><Relationship Type="http://schemas.openxmlformats.org/officeDocument/2006/relationships/hyperlink" Target="tt38://pl3/6" TargetMode="External" Id="rId9" /><Relationship Type="http://schemas.openxmlformats.org/officeDocument/2006/relationships/hyperlink" Target="tt38://pl3/6" TargetMode="External" Id="rId10" /><Relationship Type="http://schemas.openxmlformats.org/officeDocument/2006/relationships/hyperlink" Target="tt38://pl3/6" TargetMode="External" Id="rId11" /><Relationship Type="http://schemas.openxmlformats.org/officeDocument/2006/relationships/hyperlink" Target="tt38://pl3/6" TargetMode="External" Id="rId12" /><Relationship Type="http://schemas.openxmlformats.org/officeDocument/2006/relationships/hyperlink" Target="tt38://pl3/6" TargetMode="External" Id="rId13" /><Relationship Type="http://schemas.openxmlformats.org/officeDocument/2006/relationships/hyperlink" Target="tt38://pl3/6" TargetMode="External" Id="rId14" /><Relationship Type="http://schemas.openxmlformats.org/officeDocument/2006/relationships/hyperlink" Target="tt38://pl3/6" TargetMode="External" Id="rId15" /><Relationship Type="http://schemas.openxmlformats.org/officeDocument/2006/relationships/hyperlink" Target="tt38://pl3/6" TargetMode="External" Id="rId16" /><Relationship Type="http://schemas.openxmlformats.org/officeDocument/2006/relationships/hyperlink" Target="tt38://pl3/6" TargetMode="External" Id="rId17" /><Relationship Type="http://schemas.openxmlformats.org/officeDocument/2006/relationships/hyperlink" Target="tt38://pl3/6" TargetMode="External" Id="rId18" /><Relationship Type="http://schemas.openxmlformats.org/officeDocument/2006/relationships/hyperlink" Target="tt38://pl3/6" TargetMode="External" Id="rId19" /><Relationship Type="http://schemas.openxmlformats.org/officeDocument/2006/relationships/hyperlink" Target="tt38://pl3/6" TargetMode="External" Id="rId20" /><Relationship Type="http://schemas.openxmlformats.org/officeDocument/2006/relationships/hyperlink" Target="tt38://pl3/6" TargetMode="External" Id="rId21" /><Relationship Type="http://schemas.openxmlformats.org/officeDocument/2006/relationships/hyperlink" Target="tt38://pl3/6" TargetMode="External" Id="rId22" /><Relationship Type="http://schemas.openxmlformats.org/officeDocument/2006/relationships/hyperlink" Target="tt38://pl3/6" TargetMode="External" Id="rId23" /><Relationship Type="http://schemas.openxmlformats.org/officeDocument/2006/relationships/hyperlink" Target="tt38://pl3/6" TargetMode="External" Id="rId24" /><Relationship Type="http://schemas.openxmlformats.org/officeDocument/2006/relationships/hyperlink" Target="tt38://pl3/100" TargetMode="External" Id="rId25" /><Relationship Type="http://schemas.openxmlformats.org/officeDocument/2006/relationships/hyperlink" Target="tt38://pl3/100" TargetMode="External" Id="rId26" /><Relationship Type="http://schemas.openxmlformats.org/officeDocument/2006/relationships/hyperlink" Target="tt38://pl3/100" TargetMode="External" Id="rId27" /><Relationship Type="http://schemas.openxmlformats.org/officeDocument/2006/relationships/hyperlink" Target="tt38://pl3/100" TargetMode="External" Id="rId28" /><Relationship Type="http://schemas.openxmlformats.org/officeDocument/2006/relationships/hyperlink" Target="tt38://pl3/100" TargetMode="External" Id="rId29" /><Relationship Type="http://schemas.openxmlformats.org/officeDocument/2006/relationships/hyperlink" Target="tt38://pl3/100" TargetMode="External" Id="rId30" /><Relationship Type="http://schemas.openxmlformats.org/officeDocument/2006/relationships/hyperlink" Target="tt38://pl3/100" TargetMode="External" Id="rId31" /><Relationship Type="http://schemas.openxmlformats.org/officeDocument/2006/relationships/hyperlink" Target="tt38://pl3/100" TargetMode="External" Id="rId32" /><Relationship Type="http://schemas.openxmlformats.org/officeDocument/2006/relationships/hyperlink" Target="tt38://pl3/100" TargetMode="External" Id="rId33" /><Relationship Type="http://schemas.openxmlformats.org/officeDocument/2006/relationships/hyperlink" Target="tt38://pl3/100" TargetMode="External" Id="rId34" /><Relationship Type="http://schemas.openxmlformats.org/officeDocument/2006/relationships/hyperlink" Target="tt38://pl3/100" TargetMode="External" Id="rId35" /><Relationship Type="http://schemas.openxmlformats.org/officeDocument/2006/relationships/hyperlink" Target="tt38://pl3/100" TargetMode="External" Id="rId36" /><Relationship Type="http://schemas.openxmlformats.org/officeDocument/2006/relationships/hyperlink" Target="tt38://pl3/100" TargetMode="External" Id="rId37" /><Relationship Type="http://schemas.openxmlformats.org/officeDocument/2006/relationships/hyperlink" Target="tt38://pl3/100" TargetMode="External" Id="rId38" /><Relationship Type="http://schemas.openxmlformats.org/officeDocument/2006/relationships/hyperlink" Target="tt38://pl3/100" TargetMode="External" Id="rId39" /><Relationship Type="http://schemas.openxmlformats.org/officeDocument/2006/relationships/hyperlink" Target="tt38://pl3/100" TargetMode="External" Id="rId40" /><Relationship Type="http://schemas.openxmlformats.org/officeDocument/2006/relationships/hyperlink" Target="tt38://pl3/100" TargetMode="External" Id="rId41" /><Relationship Type="http://schemas.openxmlformats.org/officeDocument/2006/relationships/hyperlink" Target="tt38://pl3/100" TargetMode="External" Id="rId42" /><Relationship Type="http://schemas.openxmlformats.org/officeDocument/2006/relationships/hyperlink" Target="tt38://pl3/212" TargetMode="External" Id="rId43" /><Relationship Type="http://schemas.openxmlformats.org/officeDocument/2006/relationships/hyperlink" Target="tt38://pl3/212" TargetMode="External" Id="rId44" /><Relationship Type="http://schemas.openxmlformats.org/officeDocument/2006/relationships/hyperlink" Target="tt38://pl3/212" TargetMode="External" Id="rId45" /><Relationship Type="http://schemas.openxmlformats.org/officeDocument/2006/relationships/hyperlink" Target="tt38://pl3/212" TargetMode="External" Id="rId46" /><Relationship Type="http://schemas.openxmlformats.org/officeDocument/2006/relationships/hyperlink" Target="tt38://pl3/212" TargetMode="External" Id="rId47" /><Relationship Type="http://schemas.openxmlformats.org/officeDocument/2006/relationships/hyperlink" Target="tt38://pl3/212" TargetMode="External" Id="rId48" /><Relationship Type="http://schemas.openxmlformats.org/officeDocument/2006/relationships/hyperlink" Target="tt38://pl3/212" TargetMode="External" Id="rId49" /><Relationship Type="http://schemas.openxmlformats.org/officeDocument/2006/relationships/hyperlink" Target="tt38://pl3/212" TargetMode="External" Id="rId50" /><Relationship Type="http://schemas.openxmlformats.org/officeDocument/2006/relationships/hyperlink" Target="tt38://pl3/212" TargetMode="External" Id="rId51" /><Relationship Type="http://schemas.openxmlformats.org/officeDocument/2006/relationships/hyperlink" Target="tt38://pl3/212" TargetMode="External" Id="rId52" /><Relationship Type="http://schemas.openxmlformats.org/officeDocument/2006/relationships/hyperlink" Target="tt38://pl3/212" TargetMode="External" Id="rId53" /><Relationship Type="http://schemas.openxmlformats.org/officeDocument/2006/relationships/hyperlink" Target="tt38://pl3/212" TargetMode="External" Id="rId54" /><Relationship Type="http://schemas.openxmlformats.org/officeDocument/2006/relationships/hyperlink" Target="tt38://pl3/212" TargetMode="External" Id="rId55" /><Relationship Type="http://schemas.openxmlformats.org/officeDocument/2006/relationships/hyperlink" Target="tt38://pl3/212" TargetMode="External" Id="rId56" /><Relationship Type="http://schemas.openxmlformats.org/officeDocument/2006/relationships/hyperlink" Target="tt38://pl3/212" TargetMode="External" Id="rId57" /><Relationship Type="http://schemas.openxmlformats.org/officeDocument/2006/relationships/hyperlink" Target="tt38://pl3/212" TargetMode="External" Id="rId58" /><Relationship Type="http://schemas.openxmlformats.org/officeDocument/2006/relationships/hyperlink" Target="tt38://pl3/212" TargetMode="External" Id="rId59" /><Relationship Type="http://schemas.openxmlformats.org/officeDocument/2006/relationships/hyperlink" Target="tt38://pl3/212" TargetMode="External" Id="rId60" /><Relationship Type="http://schemas.openxmlformats.org/officeDocument/2006/relationships/hyperlink" Target="tt38://pl3/71" TargetMode="External" Id="rId61" /><Relationship Type="http://schemas.openxmlformats.org/officeDocument/2006/relationships/hyperlink" Target="tt38://pl3/71" TargetMode="External" Id="rId62" /><Relationship Type="http://schemas.openxmlformats.org/officeDocument/2006/relationships/hyperlink" Target="tt38://pl3/71" TargetMode="External" Id="rId63" /><Relationship Type="http://schemas.openxmlformats.org/officeDocument/2006/relationships/hyperlink" Target="tt38://pl3/71" TargetMode="External" Id="rId64" /><Relationship Type="http://schemas.openxmlformats.org/officeDocument/2006/relationships/hyperlink" Target="tt38://pl3/71" TargetMode="External" Id="rId65" /><Relationship Type="http://schemas.openxmlformats.org/officeDocument/2006/relationships/hyperlink" Target="tt38://pl3/71" TargetMode="External" Id="rId66" /><Relationship Type="http://schemas.openxmlformats.org/officeDocument/2006/relationships/hyperlink" Target="tt38://pl3/71" TargetMode="External" Id="rId67" /><Relationship Type="http://schemas.openxmlformats.org/officeDocument/2006/relationships/hyperlink" Target="tt38://pl3/71" TargetMode="External" Id="rId68" /><Relationship Type="http://schemas.openxmlformats.org/officeDocument/2006/relationships/hyperlink" Target="tt38://pl3/71" TargetMode="External" Id="rId69" /><Relationship Type="http://schemas.openxmlformats.org/officeDocument/2006/relationships/hyperlink" Target="tt38://pl3/71" TargetMode="External" Id="rId70" /><Relationship Type="http://schemas.openxmlformats.org/officeDocument/2006/relationships/hyperlink" Target="tt38://pl3/204" TargetMode="External" Id="rId71" /><Relationship Type="http://schemas.openxmlformats.org/officeDocument/2006/relationships/hyperlink" Target="tt38://pl3/204" TargetMode="External" Id="rId72" /><Relationship Type="http://schemas.openxmlformats.org/officeDocument/2006/relationships/hyperlink" Target="tt38://pl3/204" TargetMode="External" Id="rId73" /><Relationship Type="http://schemas.openxmlformats.org/officeDocument/2006/relationships/hyperlink" Target="tt38://pl3/204" TargetMode="External" Id="rId74" /><Relationship Type="http://schemas.openxmlformats.org/officeDocument/2006/relationships/hyperlink" Target="tt38://pl3/204" TargetMode="External" Id="rId75" /><Relationship Type="http://schemas.openxmlformats.org/officeDocument/2006/relationships/hyperlink" Target="tt38://pl3/204" TargetMode="External" Id="rId76" /><Relationship Type="http://schemas.openxmlformats.org/officeDocument/2006/relationships/hyperlink" Target="tt38://pl3/204" TargetMode="External" Id="rId77" /><Relationship Type="http://schemas.openxmlformats.org/officeDocument/2006/relationships/hyperlink" Target="tt38://pl3/204" TargetMode="External" Id="rId78" /><Relationship Type="http://schemas.openxmlformats.org/officeDocument/2006/relationships/hyperlink" Target="tt38://pl3/204" TargetMode="External" Id="rId79" /><Relationship Type="http://schemas.openxmlformats.org/officeDocument/2006/relationships/hyperlink" Target="tt38://pl3/204" TargetMode="External" Id="rId80" /><Relationship Type="http://schemas.openxmlformats.org/officeDocument/2006/relationships/hyperlink" Target="tt38://pl3/14" TargetMode="External" Id="rId81" /><Relationship Type="http://schemas.openxmlformats.org/officeDocument/2006/relationships/hyperlink" Target="tt38://pl3/14" TargetMode="External" Id="rId82" /><Relationship Type="http://schemas.openxmlformats.org/officeDocument/2006/relationships/hyperlink" Target="tt38://pl3/14" TargetMode="External" Id="rId83" /><Relationship Type="http://schemas.openxmlformats.org/officeDocument/2006/relationships/hyperlink" Target="tt38://pl3/14" TargetMode="External" Id="rId84" /><Relationship Type="http://schemas.openxmlformats.org/officeDocument/2006/relationships/hyperlink" Target="tt38://pl3/14" TargetMode="External" Id="rId85" /><Relationship Type="http://schemas.openxmlformats.org/officeDocument/2006/relationships/hyperlink" Target="tt38://pl3/14" TargetMode="External" Id="rId86" /><Relationship Type="http://schemas.openxmlformats.org/officeDocument/2006/relationships/hyperlink" Target="tt38://pl3/14" TargetMode="External" Id="rId87" /><Relationship Type="http://schemas.openxmlformats.org/officeDocument/2006/relationships/hyperlink" Target="tt38://pl3/14" TargetMode="External" Id="rId88" /></Relationships>
</file>

<file path=xl/worksheets/_rels/sheet22.xml.rels><Relationships xmlns="http://schemas.openxmlformats.org/package/2006/relationships"><Relationship Type="http://schemas.openxmlformats.org/officeDocument/2006/relationships/hyperlink" Target="tt38://pl5/37" TargetMode="External" Id="rId1" /><Relationship Type="http://schemas.openxmlformats.org/officeDocument/2006/relationships/hyperlink" Target="tt38://pl5/37" TargetMode="External" Id="rId2" /><Relationship Type="http://schemas.openxmlformats.org/officeDocument/2006/relationships/hyperlink" Target="tt38://pl3/6" TargetMode="External" Id="rId3" /><Relationship Type="http://schemas.openxmlformats.org/officeDocument/2006/relationships/hyperlink" Target="tt38://pl3/6" TargetMode="External" Id="rId4" /><Relationship Type="http://schemas.openxmlformats.org/officeDocument/2006/relationships/hyperlink" Target="tt38://pl3/6" TargetMode="External" Id="rId5" /><Relationship Type="http://schemas.openxmlformats.org/officeDocument/2006/relationships/hyperlink" Target="tt38://pl3/6" TargetMode="External" Id="rId6" /><Relationship Type="http://schemas.openxmlformats.org/officeDocument/2006/relationships/hyperlink" Target="tt38://pl3/6" TargetMode="External" Id="rId7" /><Relationship Type="http://schemas.openxmlformats.org/officeDocument/2006/relationships/hyperlink" Target="tt38://pl3/6" TargetMode="External" Id="rId8" /><Relationship Type="http://schemas.openxmlformats.org/officeDocument/2006/relationships/hyperlink" Target="tt38://pl3/6" TargetMode="External" Id="rId9" /><Relationship Type="http://schemas.openxmlformats.org/officeDocument/2006/relationships/hyperlink" Target="tt38://pl3/6" TargetMode="External" Id="rId10" /><Relationship Type="http://schemas.openxmlformats.org/officeDocument/2006/relationships/hyperlink" Target="tt38://pl3/6" TargetMode="External" Id="rId11" /><Relationship Type="http://schemas.openxmlformats.org/officeDocument/2006/relationships/hyperlink" Target="tt38://pl3/6" TargetMode="External" Id="rId12" /><Relationship Type="http://schemas.openxmlformats.org/officeDocument/2006/relationships/hyperlink" Target="tt38://pl3/6" TargetMode="External" Id="rId13" /><Relationship Type="http://schemas.openxmlformats.org/officeDocument/2006/relationships/hyperlink" Target="tt38://pl3/6" TargetMode="External" Id="rId14" /><Relationship Type="http://schemas.openxmlformats.org/officeDocument/2006/relationships/hyperlink" Target="tt38://pl3/6" TargetMode="External" Id="rId15" /><Relationship Type="http://schemas.openxmlformats.org/officeDocument/2006/relationships/hyperlink" Target="tt38://pl3/6" TargetMode="External" Id="rId16" /><Relationship Type="http://schemas.openxmlformats.org/officeDocument/2006/relationships/hyperlink" Target="tt38://pl3/6" TargetMode="External" Id="rId17" /><Relationship Type="http://schemas.openxmlformats.org/officeDocument/2006/relationships/hyperlink" Target="tt38://pl3/6" TargetMode="External" Id="rId18" /><Relationship Type="http://schemas.openxmlformats.org/officeDocument/2006/relationships/hyperlink" Target="tt38://pl3/6" TargetMode="External" Id="rId19" /><Relationship Type="http://schemas.openxmlformats.org/officeDocument/2006/relationships/hyperlink" Target="tt38://pl3/6" TargetMode="External" Id="rId20" /><Relationship Type="http://schemas.openxmlformats.org/officeDocument/2006/relationships/hyperlink" Target="tt38://pl3/6" TargetMode="External" Id="rId21" /><Relationship Type="http://schemas.openxmlformats.org/officeDocument/2006/relationships/hyperlink" Target="tt38://pl3/6" TargetMode="External" Id="rId22" /><Relationship Type="http://schemas.openxmlformats.org/officeDocument/2006/relationships/hyperlink" Target="tt38://pl3/6" TargetMode="External" Id="rId23" /><Relationship Type="http://schemas.openxmlformats.org/officeDocument/2006/relationships/hyperlink" Target="tt38://pl3/6" TargetMode="External" Id="rId24" /><Relationship Type="http://schemas.openxmlformats.org/officeDocument/2006/relationships/hyperlink" Target="tt38://pl3/100" TargetMode="External" Id="rId25" /><Relationship Type="http://schemas.openxmlformats.org/officeDocument/2006/relationships/hyperlink" Target="tt38://pl3/100" TargetMode="External" Id="rId26" /><Relationship Type="http://schemas.openxmlformats.org/officeDocument/2006/relationships/hyperlink" Target="tt38://pl3/100" TargetMode="External" Id="rId27" /><Relationship Type="http://schemas.openxmlformats.org/officeDocument/2006/relationships/hyperlink" Target="tt38://pl3/100" TargetMode="External" Id="rId28" /><Relationship Type="http://schemas.openxmlformats.org/officeDocument/2006/relationships/hyperlink" Target="tt38://pl3/100" TargetMode="External" Id="rId29" /><Relationship Type="http://schemas.openxmlformats.org/officeDocument/2006/relationships/hyperlink" Target="tt38://pl3/100" TargetMode="External" Id="rId30" /><Relationship Type="http://schemas.openxmlformats.org/officeDocument/2006/relationships/hyperlink" Target="tt38://pl3/100" TargetMode="External" Id="rId31" /><Relationship Type="http://schemas.openxmlformats.org/officeDocument/2006/relationships/hyperlink" Target="tt38://pl3/100" TargetMode="External" Id="rId32" /><Relationship Type="http://schemas.openxmlformats.org/officeDocument/2006/relationships/hyperlink" Target="tt38://pl3/100" TargetMode="External" Id="rId33" /><Relationship Type="http://schemas.openxmlformats.org/officeDocument/2006/relationships/hyperlink" Target="tt38://pl3/100" TargetMode="External" Id="rId34" /><Relationship Type="http://schemas.openxmlformats.org/officeDocument/2006/relationships/hyperlink" Target="tt38://pl3/100" TargetMode="External" Id="rId35" /><Relationship Type="http://schemas.openxmlformats.org/officeDocument/2006/relationships/hyperlink" Target="tt38://pl3/100" TargetMode="External" Id="rId36" /><Relationship Type="http://schemas.openxmlformats.org/officeDocument/2006/relationships/hyperlink" Target="tt38://pl3/100" TargetMode="External" Id="rId37" /><Relationship Type="http://schemas.openxmlformats.org/officeDocument/2006/relationships/hyperlink" Target="tt38://pl3/100" TargetMode="External" Id="rId38" /><Relationship Type="http://schemas.openxmlformats.org/officeDocument/2006/relationships/hyperlink" Target="tt38://pl3/100" TargetMode="External" Id="rId39" /><Relationship Type="http://schemas.openxmlformats.org/officeDocument/2006/relationships/hyperlink" Target="tt38://pl3/100" TargetMode="External" Id="rId40" /><Relationship Type="http://schemas.openxmlformats.org/officeDocument/2006/relationships/hyperlink" Target="tt38://pl3/100" TargetMode="External" Id="rId41" /><Relationship Type="http://schemas.openxmlformats.org/officeDocument/2006/relationships/hyperlink" Target="tt38://pl3/100" TargetMode="External" Id="rId42" /><Relationship Type="http://schemas.openxmlformats.org/officeDocument/2006/relationships/hyperlink" Target="tt38://pl3/212" TargetMode="External" Id="rId43" /><Relationship Type="http://schemas.openxmlformats.org/officeDocument/2006/relationships/hyperlink" Target="tt38://pl3/212" TargetMode="External" Id="rId44" /><Relationship Type="http://schemas.openxmlformats.org/officeDocument/2006/relationships/hyperlink" Target="tt38://pl3/212" TargetMode="External" Id="rId45" /><Relationship Type="http://schemas.openxmlformats.org/officeDocument/2006/relationships/hyperlink" Target="tt38://pl3/212" TargetMode="External" Id="rId46" /><Relationship Type="http://schemas.openxmlformats.org/officeDocument/2006/relationships/hyperlink" Target="tt38://pl3/212" TargetMode="External" Id="rId47" /><Relationship Type="http://schemas.openxmlformats.org/officeDocument/2006/relationships/hyperlink" Target="tt38://pl3/212" TargetMode="External" Id="rId48" /><Relationship Type="http://schemas.openxmlformats.org/officeDocument/2006/relationships/hyperlink" Target="tt38://pl3/212" TargetMode="External" Id="rId49" /><Relationship Type="http://schemas.openxmlformats.org/officeDocument/2006/relationships/hyperlink" Target="tt38://pl3/212" TargetMode="External" Id="rId50" /><Relationship Type="http://schemas.openxmlformats.org/officeDocument/2006/relationships/hyperlink" Target="tt38://pl3/212" TargetMode="External" Id="rId51" /><Relationship Type="http://schemas.openxmlformats.org/officeDocument/2006/relationships/hyperlink" Target="tt38://pl3/212" TargetMode="External" Id="rId52" /><Relationship Type="http://schemas.openxmlformats.org/officeDocument/2006/relationships/hyperlink" Target="tt38://pl3/212" TargetMode="External" Id="rId53" /><Relationship Type="http://schemas.openxmlformats.org/officeDocument/2006/relationships/hyperlink" Target="tt38://pl3/212" TargetMode="External" Id="rId54" /><Relationship Type="http://schemas.openxmlformats.org/officeDocument/2006/relationships/hyperlink" Target="tt38://pl3/212" TargetMode="External" Id="rId55" /><Relationship Type="http://schemas.openxmlformats.org/officeDocument/2006/relationships/hyperlink" Target="tt38://pl3/212" TargetMode="External" Id="rId56" /><Relationship Type="http://schemas.openxmlformats.org/officeDocument/2006/relationships/hyperlink" Target="tt38://pl3/212" TargetMode="External" Id="rId57" /><Relationship Type="http://schemas.openxmlformats.org/officeDocument/2006/relationships/hyperlink" Target="tt38://pl3/212" TargetMode="External" Id="rId58" /><Relationship Type="http://schemas.openxmlformats.org/officeDocument/2006/relationships/hyperlink" Target="tt38://pl3/212" TargetMode="External" Id="rId59" /><Relationship Type="http://schemas.openxmlformats.org/officeDocument/2006/relationships/hyperlink" Target="tt38://pl3/212" TargetMode="External" Id="rId60" /><Relationship Type="http://schemas.openxmlformats.org/officeDocument/2006/relationships/hyperlink" Target="tt38://pl3/71" TargetMode="External" Id="rId61" /><Relationship Type="http://schemas.openxmlformats.org/officeDocument/2006/relationships/hyperlink" Target="tt38://pl3/71" TargetMode="External" Id="rId62" /><Relationship Type="http://schemas.openxmlformats.org/officeDocument/2006/relationships/hyperlink" Target="tt38://pl3/71" TargetMode="External" Id="rId63" /><Relationship Type="http://schemas.openxmlformats.org/officeDocument/2006/relationships/hyperlink" Target="tt38://pl3/71" TargetMode="External" Id="rId64" /><Relationship Type="http://schemas.openxmlformats.org/officeDocument/2006/relationships/hyperlink" Target="tt38://pl3/71" TargetMode="External" Id="rId65" /><Relationship Type="http://schemas.openxmlformats.org/officeDocument/2006/relationships/hyperlink" Target="tt38://pl3/71" TargetMode="External" Id="rId66" /><Relationship Type="http://schemas.openxmlformats.org/officeDocument/2006/relationships/hyperlink" Target="tt38://pl3/71" TargetMode="External" Id="rId67" /><Relationship Type="http://schemas.openxmlformats.org/officeDocument/2006/relationships/hyperlink" Target="tt38://pl3/71" TargetMode="External" Id="rId68" /><Relationship Type="http://schemas.openxmlformats.org/officeDocument/2006/relationships/hyperlink" Target="tt38://pl3/71" TargetMode="External" Id="rId69" /><Relationship Type="http://schemas.openxmlformats.org/officeDocument/2006/relationships/hyperlink" Target="tt38://pl3/71" TargetMode="External" Id="rId70" /><Relationship Type="http://schemas.openxmlformats.org/officeDocument/2006/relationships/hyperlink" Target="tt38://pl3/204" TargetMode="External" Id="rId71" /><Relationship Type="http://schemas.openxmlformats.org/officeDocument/2006/relationships/hyperlink" Target="tt38://pl3/204" TargetMode="External" Id="rId72" /><Relationship Type="http://schemas.openxmlformats.org/officeDocument/2006/relationships/hyperlink" Target="tt38://pl3/204" TargetMode="External" Id="rId73" /><Relationship Type="http://schemas.openxmlformats.org/officeDocument/2006/relationships/hyperlink" Target="tt38://pl3/204" TargetMode="External" Id="rId74" /><Relationship Type="http://schemas.openxmlformats.org/officeDocument/2006/relationships/hyperlink" Target="tt38://pl3/204" TargetMode="External" Id="rId75" /><Relationship Type="http://schemas.openxmlformats.org/officeDocument/2006/relationships/hyperlink" Target="tt38://pl3/204" TargetMode="External" Id="rId76" /><Relationship Type="http://schemas.openxmlformats.org/officeDocument/2006/relationships/hyperlink" Target="tt38://pl3/204" TargetMode="External" Id="rId77" /><Relationship Type="http://schemas.openxmlformats.org/officeDocument/2006/relationships/hyperlink" Target="tt38://pl3/204" TargetMode="External" Id="rId78" /><Relationship Type="http://schemas.openxmlformats.org/officeDocument/2006/relationships/hyperlink" Target="tt38://pl3/204" TargetMode="External" Id="rId79" /><Relationship Type="http://schemas.openxmlformats.org/officeDocument/2006/relationships/hyperlink" Target="tt38://pl3/204" TargetMode="External" Id="rId80" /><Relationship Type="http://schemas.openxmlformats.org/officeDocument/2006/relationships/hyperlink" Target="tt38://pl3/14" TargetMode="External" Id="rId81" /><Relationship Type="http://schemas.openxmlformats.org/officeDocument/2006/relationships/hyperlink" Target="tt38://pl3/14" TargetMode="External" Id="rId82" /><Relationship Type="http://schemas.openxmlformats.org/officeDocument/2006/relationships/hyperlink" Target="tt38://pl3/14" TargetMode="External" Id="rId83" /><Relationship Type="http://schemas.openxmlformats.org/officeDocument/2006/relationships/hyperlink" Target="tt38://pl3/14" TargetMode="External" Id="rId84" /><Relationship Type="http://schemas.openxmlformats.org/officeDocument/2006/relationships/hyperlink" Target="tt38://pl3/14" TargetMode="External" Id="rId85" /><Relationship Type="http://schemas.openxmlformats.org/officeDocument/2006/relationships/hyperlink" Target="tt38://pl3/14" TargetMode="External" Id="rId86" /><Relationship Type="http://schemas.openxmlformats.org/officeDocument/2006/relationships/hyperlink" Target="tt38://pl3/14" TargetMode="External" Id="rId87" /><Relationship Type="http://schemas.openxmlformats.org/officeDocument/2006/relationships/hyperlink" Target="tt38://pl3/14" TargetMode="External" Id="rId88" /></Relationships>
</file>

<file path=xl/worksheets/_rels/sheet25.xml.rels><Relationships xmlns="http://schemas.openxmlformats.org/package/2006/relationships"><Relationship Type="http://schemas.openxmlformats.org/officeDocument/2006/relationships/hyperlink" Target="tt38://pl5/37" TargetMode="External" Id="rId1" /><Relationship Type="http://schemas.openxmlformats.org/officeDocument/2006/relationships/hyperlink" Target="tt38://pl5/37" TargetMode="External" Id="rId2" /><Relationship Type="http://schemas.openxmlformats.org/officeDocument/2006/relationships/hyperlink" Target="tt38://pl3/6" TargetMode="External" Id="rId3" /><Relationship Type="http://schemas.openxmlformats.org/officeDocument/2006/relationships/hyperlink" Target="tt38://pl3/6" TargetMode="External" Id="rId4" /><Relationship Type="http://schemas.openxmlformats.org/officeDocument/2006/relationships/hyperlink" Target="tt38://pl3/6" TargetMode="External" Id="rId5" /><Relationship Type="http://schemas.openxmlformats.org/officeDocument/2006/relationships/hyperlink" Target="tt38://pl3/6" TargetMode="External" Id="rId6" /><Relationship Type="http://schemas.openxmlformats.org/officeDocument/2006/relationships/hyperlink" Target="tt38://pl3/6" TargetMode="External" Id="rId7" /><Relationship Type="http://schemas.openxmlformats.org/officeDocument/2006/relationships/hyperlink" Target="tt38://pl3/6" TargetMode="External" Id="rId8" /><Relationship Type="http://schemas.openxmlformats.org/officeDocument/2006/relationships/hyperlink" Target="tt38://pl3/6" TargetMode="External" Id="rId9" /><Relationship Type="http://schemas.openxmlformats.org/officeDocument/2006/relationships/hyperlink" Target="tt38://pl3/6" TargetMode="External" Id="rId10" /><Relationship Type="http://schemas.openxmlformats.org/officeDocument/2006/relationships/hyperlink" Target="tt38://pl3/6" TargetMode="External" Id="rId11" /><Relationship Type="http://schemas.openxmlformats.org/officeDocument/2006/relationships/hyperlink" Target="tt38://pl3/6" TargetMode="External" Id="rId12" /><Relationship Type="http://schemas.openxmlformats.org/officeDocument/2006/relationships/hyperlink" Target="tt38://pl3/6" TargetMode="External" Id="rId13" /><Relationship Type="http://schemas.openxmlformats.org/officeDocument/2006/relationships/hyperlink" Target="tt38://pl3/6" TargetMode="External" Id="rId14" /><Relationship Type="http://schemas.openxmlformats.org/officeDocument/2006/relationships/hyperlink" Target="tt38://pl3/6" TargetMode="External" Id="rId15" /><Relationship Type="http://schemas.openxmlformats.org/officeDocument/2006/relationships/hyperlink" Target="tt38://pl3/6" TargetMode="External" Id="rId16" /><Relationship Type="http://schemas.openxmlformats.org/officeDocument/2006/relationships/hyperlink" Target="tt38://pl3/6" TargetMode="External" Id="rId17" /><Relationship Type="http://schemas.openxmlformats.org/officeDocument/2006/relationships/hyperlink" Target="tt38://pl3/6" TargetMode="External" Id="rId18" /><Relationship Type="http://schemas.openxmlformats.org/officeDocument/2006/relationships/hyperlink" Target="tt38://pl3/6" TargetMode="External" Id="rId19" /><Relationship Type="http://schemas.openxmlformats.org/officeDocument/2006/relationships/hyperlink" Target="tt38://pl3/6" TargetMode="External" Id="rId20" /><Relationship Type="http://schemas.openxmlformats.org/officeDocument/2006/relationships/hyperlink" Target="tt38://pl3/6" TargetMode="External" Id="rId21" /><Relationship Type="http://schemas.openxmlformats.org/officeDocument/2006/relationships/hyperlink" Target="tt38://pl3/6" TargetMode="External" Id="rId22" /><Relationship Type="http://schemas.openxmlformats.org/officeDocument/2006/relationships/hyperlink" Target="tt38://pl3/6" TargetMode="External" Id="rId23" /><Relationship Type="http://schemas.openxmlformats.org/officeDocument/2006/relationships/hyperlink" Target="tt38://pl3/6" TargetMode="External" Id="rId24" /><Relationship Type="http://schemas.openxmlformats.org/officeDocument/2006/relationships/hyperlink" Target="tt38://pl3/100" TargetMode="External" Id="rId25" /><Relationship Type="http://schemas.openxmlformats.org/officeDocument/2006/relationships/hyperlink" Target="tt38://pl3/100" TargetMode="External" Id="rId26" /><Relationship Type="http://schemas.openxmlformats.org/officeDocument/2006/relationships/hyperlink" Target="tt38://pl3/100" TargetMode="External" Id="rId27" /><Relationship Type="http://schemas.openxmlformats.org/officeDocument/2006/relationships/hyperlink" Target="tt38://pl3/100" TargetMode="External" Id="rId28" /><Relationship Type="http://schemas.openxmlformats.org/officeDocument/2006/relationships/hyperlink" Target="tt38://pl3/100" TargetMode="External" Id="rId29" /><Relationship Type="http://schemas.openxmlformats.org/officeDocument/2006/relationships/hyperlink" Target="tt38://pl3/100" TargetMode="External" Id="rId30" /><Relationship Type="http://schemas.openxmlformats.org/officeDocument/2006/relationships/hyperlink" Target="tt38://pl3/100" TargetMode="External" Id="rId31" /><Relationship Type="http://schemas.openxmlformats.org/officeDocument/2006/relationships/hyperlink" Target="tt38://pl3/100" TargetMode="External" Id="rId32" /><Relationship Type="http://schemas.openxmlformats.org/officeDocument/2006/relationships/hyperlink" Target="tt38://pl3/100" TargetMode="External" Id="rId33" /><Relationship Type="http://schemas.openxmlformats.org/officeDocument/2006/relationships/hyperlink" Target="tt38://pl3/100" TargetMode="External" Id="rId34" /><Relationship Type="http://schemas.openxmlformats.org/officeDocument/2006/relationships/hyperlink" Target="tt38://pl3/100" TargetMode="External" Id="rId35" /><Relationship Type="http://schemas.openxmlformats.org/officeDocument/2006/relationships/hyperlink" Target="tt38://pl3/100" TargetMode="External" Id="rId36" /><Relationship Type="http://schemas.openxmlformats.org/officeDocument/2006/relationships/hyperlink" Target="tt38://pl3/100" TargetMode="External" Id="rId37" /><Relationship Type="http://schemas.openxmlformats.org/officeDocument/2006/relationships/hyperlink" Target="tt38://pl3/100" TargetMode="External" Id="rId38" /><Relationship Type="http://schemas.openxmlformats.org/officeDocument/2006/relationships/hyperlink" Target="tt38://pl3/100" TargetMode="External" Id="rId39" /><Relationship Type="http://schemas.openxmlformats.org/officeDocument/2006/relationships/hyperlink" Target="tt38://pl3/100" TargetMode="External" Id="rId40" /><Relationship Type="http://schemas.openxmlformats.org/officeDocument/2006/relationships/hyperlink" Target="tt38://pl3/100" TargetMode="External" Id="rId41" /><Relationship Type="http://schemas.openxmlformats.org/officeDocument/2006/relationships/hyperlink" Target="tt38://pl3/100" TargetMode="External" Id="rId42" /><Relationship Type="http://schemas.openxmlformats.org/officeDocument/2006/relationships/hyperlink" Target="tt38://pl3/212" TargetMode="External" Id="rId43" /><Relationship Type="http://schemas.openxmlformats.org/officeDocument/2006/relationships/hyperlink" Target="tt38://pl3/212" TargetMode="External" Id="rId44" /><Relationship Type="http://schemas.openxmlformats.org/officeDocument/2006/relationships/hyperlink" Target="tt38://pl3/212" TargetMode="External" Id="rId45" /><Relationship Type="http://schemas.openxmlformats.org/officeDocument/2006/relationships/hyperlink" Target="tt38://pl3/212" TargetMode="External" Id="rId46" /><Relationship Type="http://schemas.openxmlformats.org/officeDocument/2006/relationships/hyperlink" Target="tt38://pl3/212" TargetMode="External" Id="rId47" /><Relationship Type="http://schemas.openxmlformats.org/officeDocument/2006/relationships/hyperlink" Target="tt38://pl3/212" TargetMode="External" Id="rId48" /><Relationship Type="http://schemas.openxmlformats.org/officeDocument/2006/relationships/hyperlink" Target="tt38://pl3/212" TargetMode="External" Id="rId49" /><Relationship Type="http://schemas.openxmlformats.org/officeDocument/2006/relationships/hyperlink" Target="tt38://pl3/212" TargetMode="External" Id="rId50" /><Relationship Type="http://schemas.openxmlformats.org/officeDocument/2006/relationships/hyperlink" Target="tt38://pl3/212" TargetMode="External" Id="rId51" /><Relationship Type="http://schemas.openxmlformats.org/officeDocument/2006/relationships/hyperlink" Target="tt38://pl3/212" TargetMode="External" Id="rId52" /><Relationship Type="http://schemas.openxmlformats.org/officeDocument/2006/relationships/hyperlink" Target="tt38://pl3/212" TargetMode="External" Id="rId53" /><Relationship Type="http://schemas.openxmlformats.org/officeDocument/2006/relationships/hyperlink" Target="tt38://pl3/212" TargetMode="External" Id="rId54" /><Relationship Type="http://schemas.openxmlformats.org/officeDocument/2006/relationships/hyperlink" Target="tt38://pl3/212" TargetMode="External" Id="rId55" /><Relationship Type="http://schemas.openxmlformats.org/officeDocument/2006/relationships/hyperlink" Target="tt38://pl3/212" TargetMode="External" Id="rId56" /><Relationship Type="http://schemas.openxmlformats.org/officeDocument/2006/relationships/hyperlink" Target="tt38://pl3/212" TargetMode="External" Id="rId57" /><Relationship Type="http://schemas.openxmlformats.org/officeDocument/2006/relationships/hyperlink" Target="tt38://pl3/212" TargetMode="External" Id="rId58" /><Relationship Type="http://schemas.openxmlformats.org/officeDocument/2006/relationships/hyperlink" Target="tt38://pl3/212" TargetMode="External" Id="rId59" /><Relationship Type="http://schemas.openxmlformats.org/officeDocument/2006/relationships/hyperlink" Target="tt38://pl3/212" TargetMode="External" Id="rId60" /><Relationship Type="http://schemas.openxmlformats.org/officeDocument/2006/relationships/hyperlink" Target="tt38://pl3/71" TargetMode="External" Id="rId61" /><Relationship Type="http://schemas.openxmlformats.org/officeDocument/2006/relationships/hyperlink" Target="tt38://pl3/71" TargetMode="External" Id="rId62" /><Relationship Type="http://schemas.openxmlformats.org/officeDocument/2006/relationships/hyperlink" Target="tt38://pl3/71" TargetMode="External" Id="rId63" /><Relationship Type="http://schemas.openxmlformats.org/officeDocument/2006/relationships/hyperlink" Target="tt38://pl3/71" TargetMode="External" Id="rId64" /><Relationship Type="http://schemas.openxmlformats.org/officeDocument/2006/relationships/hyperlink" Target="tt38://pl3/71" TargetMode="External" Id="rId65" /><Relationship Type="http://schemas.openxmlformats.org/officeDocument/2006/relationships/hyperlink" Target="tt38://pl3/71" TargetMode="External" Id="rId66" /><Relationship Type="http://schemas.openxmlformats.org/officeDocument/2006/relationships/hyperlink" Target="tt38://pl3/71" TargetMode="External" Id="rId67" /><Relationship Type="http://schemas.openxmlformats.org/officeDocument/2006/relationships/hyperlink" Target="tt38://pl3/71" TargetMode="External" Id="rId68" /><Relationship Type="http://schemas.openxmlformats.org/officeDocument/2006/relationships/hyperlink" Target="tt38://pl3/71" TargetMode="External" Id="rId69" /><Relationship Type="http://schemas.openxmlformats.org/officeDocument/2006/relationships/hyperlink" Target="tt38://pl3/71" TargetMode="External" Id="rId70" /><Relationship Type="http://schemas.openxmlformats.org/officeDocument/2006/relationships/hyperlink" Target="tt38://pl3/204" TargetMode="External" Id="rId71" /><Relationship Type="http://schemas.openxmlformats.org/officeDocument/2006/relationships/hyperlink" Target="tt38://pl3/204" TargetMode="External" Id="rId72" /><Relationship Type="http://schemas.openxmlformats.org/officeDocument/2006/relationships/hyperlink" Target="tt38://pl3/204" TargetMode="External" Id="rId73" /><Relationship Type="http://schemas.openxmlformats.org/officeDocument/2006/relationships/hyperlink" Target="tt38://pl3/204" TargetMode="External" Id="rId74" /><Relationship Type="http://schemas.openxmlformats.org/officeDocument/2006/relationships/hyperlink" Target="tt38://pl3/204" TargetMode="External" Id="rId75" /><Relationship Type="http://schemas.openxmlformats.org/officeDocument/2006/relationships/hyperlink" Target="tt38://pl3/204" TargetMode="External" Id="rId76" /><Relationship Type="http://schemas.openxmlformats.org/officeDocument/2006/relationships/hyperlink" Target="tt38://pl3/204" TargetMode="External" Id="rId77" /><Relationship Type="http://schemas.openxmlformats.org/officeDocument/2006/relationships/hyperlink" Target="tt38://pl3/204" TargetMode="External" Id="rId78" /><Relationship Type="http://schemas.openxmlformats.org/officeDocument/2006/relationships/hyperlink" Target="tt38://pl3/204" TargetMode="External" Id="rId79" /><Relationship Type="http://schemas.openxmlformats.org/officeDocument/2006/relationships/hyperlink" Target="tt38://pl3/204" TargetMode="External" Id="rId80" /><Relationship Type="http://schemas.openxmlformats.org/officeDocument/2006/relationships/hyperlink" Target="tt38://pl3/14" TargetMode="External" Id="rId81" /><Relationship Type="http://schemas.openxmlformats.org/officeDocument/2006/relationships/hyperlink" Target="tt38://pl3/14" TargetMode="External" Id="rId82" /><Relationship Type="http://schemas.openxmlformats.org/officeDocument/2006/relationships/hyperlink" Target="tt38://pl3/14" TargetMode="External" Id="rId83" /><Relationship Type="http://schemas.openxmlformats.org/officeDocument/2006/relationships/hyperlink" Target="tt38://pl3/14" TargetMode="External" Id="rId84" /><Relationship Type="http://schemas.openxmlformats.org/officeDocument/2006/relationships/hyperlink" Target="tt38://pl3/14" TargetMode="External" Id="rId85" /><Relationship Type="http://schemas.openxmlformats.org/officeDocument/2006/relationships/hyperlink" Target="tt38://pl3/14" TargetMode="External" Id="rId86" /><Relationship Type="http://schemas.openxmlformats.org/officeDocument/2006/relationships/hyperlink" Target="tt38://pl3/14" TargetMode="External" Id="rId87" /><Relationship Type="http://schemas.openxmlformats.org/officeDocument/2006/relationships/hyperlink" Target="tt38://pl3/14" TargetMode="External" Id="rId8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13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0" customWidth="1" min="3" max="3"/>
    <col width="18" customWidth="1" min="4" max="4"/>
    <col width="50" customWidth="1" min="5" max="5"/>
    <col width="18" customWidth="1" min="6" max="6"/>
    <col width="24" customWidth="1" min="7" max="7"/>
    <col width="40" customWidth="1" min="8" max="8"/>
  </cols>
  <sheetData>
    <row r="2">
      <c r="A2" s="1" t="inlineStr">
        <is>
          <t>BẢNG TỔNG HỢP LIÊN KẾT TRA CỨU ĐỊNH MỨC THÔNG TƯ 38/2026/TT-BXD</t>
        </is>
      </c>
    </row>
    <row r="3">
      <c r="A3" s="2" t="inlineStr">
        <is>
          <t>Tệp dự toán: DHKK KHOI DE.xls  |  Tổng số hạng mục nhận diện: 308  |  Bấm trực tiếp vào đường link để mở trang PDF Thông tư 38</t>
        </is>
      </c>
    </row>
    <row r="5">
      <c r="A5" s="3" t="inlineStr">
        <is>
          <t>STT</t>
        </is>
      </c>
      <c r="B5" s="3" t="inlineStr">
        <is>
          <t>Sheet nguồn</t>
        </is>
      </c>
      <c r="C5" s="3" t="inlineStr">
        <is>
          <t>Dòng</t>
        </is>
      </c>
      <c r="D5" s="3" t="inlineStr">
        <is>
          <t>Mã hiệu dự toán</t>
        </is>
      </c>
      <c r="E5" s="3" t="inlineStr">
        <is>
          <t>Tên công tác / Hạng mục</t>
        </is>
      </c>
      <c r="F5" s="3" t="inlineStr">
        <is>
          <t>Trạng thái</t>
        </is>
      </c>
      <c r="G5" s="3" t="inlineStr">
        <is>
          <t>Phân loại khớp</t>
        </is>
      </c>
      <c r="H5" s="3" t="inlineStr">
        <is>
          <t>LINK MỞ TRANG THÔNG TƯ 38</t>
        </is>
      </c>
    </row>
    <row r="6">
      <c r="A6" s="4" t="n">
        <v>1</v>
      </c>
      <c r="B6" t="inlineStr">
        <is>
          <t>Giá tổng hợp</t>
        </is>
      </c>
      <c r="C6" s="4" t="n">
        <v>6</v>
      </c>
      <c r="D6" s="5" t="inlineStr">
        <is>
          <t>MD.12002</t>
        </is>
      </c>
      <c r="E6" t="inlineStr">
        <is>
          <t>Dàn nóng điều hòa VRF, Multi</t>
        </is>
      </c>
      <c r="F6" s="6" t="inlineStr">
        <is>
          <t>Đã khớp TT38</t>
        </is>
      </c>
      <c r="G6" t="inlineStr">
        <is>
          <t>Khớp nhóm MD.1200</t>
        </is>
      </c>
      <c r="H6" s="7">
        <f>HYPERLINK("tt38://pl5/37", "👉 Mở Phụ lục IV - Trang 37")</f>
        <v/>
      </c>
    </row>
    <row r="7">
      <c r="A7" s="4" t="n">
        <v>2</v>
      </c>
      <c r="B7" t="inlineStr">
        <is>
          <t>Giá tổng hợp</t>
        </is>
      </c>
      <c r="C7" s="4" t="n">
        <v>7</v>
      </c>
      <c r="D7" s="5" t="inlineStr">
        <is>
          <t>BA.12130</t>
        </is>
      </c>
      <c r="E7" t="inlineStr">
        <is>
          <t>Dàn lạnh âm trần nối ống gió, CSL: 7.1 kW</t>
        </is>
      </c>
      <c r="F7" s="6" t="inlineStr">
        <is>
          <t>Đã khớp TT38</t>
        </is>
      </c>
      <c r="G7" t="inlineStr">
        <is>
          <t>Khớp nhóm BA.121</t>
        </is>
      </c>
      <c r="H7" s="7">
        <f>HYPERLINK("tt38://pl3/6", "👉 Mở Phụ lục III - Trang 6")</f>
        <v/>
      </c>
    </row>
    <row r="8">
      <c r="A8" s="4" t="n">
        <v>3</v>
      </c>
      <c r="B8" t="inlineStr">
        <is>
          <t>Giá tổng hợp</t>
        </is>
      </c>
      <c r="C8" s="4" t="n">
        <v>8</v>
      </c>
      <c r="D8" s="5" t="inlineStr">
        <is>
          <t>BA.12130</t>
        </is>
      </c>
      <c r="E8" t="inlineStr">
        <is>
          <t>Dàn lạnh cassette, CSL: 9.0 kW</t>
        </is>
      </c>
      <c r="F8" s="6" t="inlineStr">
        <is>
          <t>Đã khớp TT38</t>
        </is>
      </c>
      <c r="G8" t="inlineStr">
        <is>
          <t>Khớp nhóm BA.121</t>
        </is>
      </c>
      <c r="H8" s="7">
        <f>HYPERLINK("tt38://pl3/6", "👉 Mở Phụ lục III - Trang 6")</f>
        <v/>
      </c>
    </row>
    <row r="9">
      <c r="A9" s="4" t="n">
        <v>4</v>
      </c>
      <c r="B9" t="inlineStr">
        <is>
          <t>Giá tổng hợp</t>
        </is>
      </c>
      <c r="C9" s="4" t="n">
        <v>9</v>
      </c>
      <c r="D9" s="5" t="inlineStr">
        <is>
          <t>BA.12130</t>
        </is>
      </c>
      <c r="E9" t="inlineStr">
        <is>
          <t>Dàn lạnh cassette, CSL: 11.2 kW</t>
        </is>
      </c>
      <c r="F9" s="6" t="inlineStr">
        <is>
          <t>Đã khớp TT38</t>
        </is>
      </c>
      <c r="G9" t="inlineStr">
        <is>
          <t>Khớp nhóm BA.121</t>
        </is>
      </c>
      <c r="H9" s="7">
        <f>HYPERLINK("tt38://pl3/6", "👉 Mở Phụ lục III - Trang 6")</f>
        <v/>
      </c>
    </row>
    <row r="10">
      <c r="A10" s="4" t="n">
        <v>5</v>
      </c>
      <c r="B10" t="inlineStr">
        <is>
          <t>Giá tổng hợp</t>
        </is>
      </c>
      <c r="C10" s="4" t="n">
        <v>10</v>
      </c>
      <c r="D10" s="5" t="inlineStr">
        <is>
          <t>BA.12130</t>
        </is>
      </c>
      <c r="E10" t="inlineStr">
        <is>
          <t>Dàn lạnh cassette, CSL: 14.0 kW</t>
        </is>
      </c>
      <c r="F10" s="6" t="inlineStr">
        <is>
          <t>Đã khớp TT38</t>
        </is>
      </c>
      <c r="G10" t="inlineStr">
        <is>
          <t>Khớp nhóm BA.121</t>
        </is>
      </c>
      <c r="H10" s="7">
        <f>HYPERLINK("tt38://pl3/6", "👉 Mở Phụ lục III - Trang 6")</f>
        <v/>
      </c>
    </row>
    <row r="11">
      <c r="A11" s="4" t="n">
        <v>6</v>
      </c>
      <c r="B11" t="inlineStr">
        <is>
          <t>Giá tổng hợp</t>
        </is>
      </c>
      <c r="C11" s="4" t="n">
        <v>11</v>
      </c>
      <c r="D11" s="5" t="inlineStr">
        <is>
          <t>BA.12130</t>
        </is>
      </c>
      <c r="E11" t="inlineStr">
        <is>
          <t>Dàn lạnh âm trần nối ống gió CSL: 7.1 kW</t>
        </is>
      </c>
      <c r="F11" s="6" t="inlineStr">
        <is>
          <t>Đã khớp TT38</t>
        </is>
      </c>
      <c r="G11" t="inlineStr">
        <is>
          <t>Khớp nhóm BA.121</t>
        </is>
      </c>
      <c r="H11" s="7">
        <f>HYPERLINK("tt38://pl3/6", "👉 Mở Phụ lục III - Trang 6")</f>
        <v/>
      </c>
    </row>
    <row r="12">
      <c r="A12" s="4" t="n">
        <v>7</v>
      </c>
      <c r="B12" t="inlineStr">
        <is>
          <t>Giá tổng hợp</t>
        </is>
      </c>
      <c r="C12" s="4" t="n">
        <v>12</v>
      </c>
      <c r="D12" s="5" t="inlineStr">
        <is>
          <t>BA.12130</t>
        </is>
      </c>
      <c r="E12" t="inlineStr">
        <is>
          <t>Dàn lạnh cassette CSL: 7.1 kW</t>
        </is>
      </c>
      <c r="F12" s="6" t="inlineStr">
        <is>
          <t>Đã khớp TT38</t>
        </is>
      </c>
      <c r="G12" t="inlineStr">
        <is>
          <t>Khớp nhóm BA.121</t>
        </is>
      </c>
      <c r="H12" s="7">
        <f>HYPERLINK("tt38://pl3/6", "👉 Mở Phụ lục III - Trang 6")</f>
        <v/>
      </c>
    </row>
    <row r="13">
      <c r="A13" s="4" t="n">
        <v>8</v>
      </c>
      <c r="B13" t="inlineStr">
        <is>
          <t>Giá tổng hợp</t>
        </is>
      </c>
      <c r="C13" s="4" t="n">
        <v>13</v>
      </c>
      <c r="D13" s="5" t="inlineStr">
        <is>
          <t>BA.12130</t>
        </is>
      </c>
      <c r="E13" t="inlineStr">
        <is>
          <t>Dàn lạnh cassette CSL: 10.0 kW</t>
        </is>
      </c>
      <c r="F13" s="6" t="inlineStr">
        <is>
          <t>Đã khớp TT38</t>
        </is>
      </c>
      <c r="G13" t="inlineStr">
        <is>
          <t>Khớp nhóm BA.121</t>
        </is>
      </c>
      <c r="H13" s="7">
        <f>HYPERLINK("tt38://pl3/6", "👉 Mở Phụ lục III - Trang 6")</f>
        <v/>
      </c>
    </row>
    <row r="14">
      <c r="A14" s="4" t="n">
        <v>9</v>
      </c>
      <c r="B14" t="inlineStr">
        <is>
          <t>Giá tổng hợp</t>
        </is>
      </c>
      <c r="C14" s="4" t="n">
        <v>14</v>
      </c>
      <c r="D14" s="5" t="inlineStr">
        <is>
          <t>BA.12130</t>
        </is>
      </c>
      <c r="E14" t="inlineStr">
        <is>
          <t>Dàn lạnh cassette CSL: 12.5 kW</t>
        </is>
      </c>
      <c r="F14" s="6" t="inlineStr">
        <is>
          <t>Đã khớp TT38</t>
        </is>
      </c>
      <c r="G14" t="inlineStr">
        <is>
          <t>Khớp nhóm BA.121</t>
        </is>
      </c>
      <c r="H14" s="7">
        <f>HYPERLINK("tt38://pl3/6", "👉 Mở Phụ lục III - Trang 6")</f>
        <v/>
      </c>
    </row>
    <row r="15">
      <c r="A15" s="4" t="n">
        <v>10</v>
      </c>
      <c r="B15" t="inlineStr">
        <is>
          <t>Giá tổng hợp</t>
        </is>
      </c>
      <c r="C15" s="4" t="n">
        <v>15</v>
      </c>
      <c r="D15" s="5" t="inlineStr">
        <is>
          <t>BA.12110</t>
        </is>
      </c>
      <c r="E15" t="inlineStr">
        <is>
          <t>Dàn lạnh treo tường CSL: 2.5 kW</t>
        </is>
      </c>
      <c r="F15" s="6" t="inlineStr">
        <is>
          <t>Đã khớp TT38</t>
        </is>
      </c>
      <c r="G15" t="inlineStr">
        <is>
          <t>Khớp nhóm BA.121</t>
        </is>
      </c>
      <c r="H15" s="7">
        <f>HYPERLINK("tt38://pl3/6", "👉 Mở Phụ lục III - Trang 6")</f>
        <v/>
      </c>
    </row>
    <row r="16">
      <c r="A16" s="4" t="n">
        <v>11</v>
      </c>
      <c r="B16" t="inlineStr">
        <is>
          <t>Giá tổng hợp</t>
        </is>
      </c>
      <c r="C16" s="4" t="n">
        <v>16</v>
      </c>
      <c r="D16" s="5" t="inlineStr">
        <is>
          <t>BA.12110</t>
        </is>
      </c>
      <c r="E16" t="inlineStr">
        <is>
          <t>Dàn lạnh treo tường CSL: 5.0 kW</t>
        </is>
      </c>
      <c r="F16" s="6" t="inlineStr">
        <is>
          <t>Đã khớp TT38</t>
        </is>
      </c>
      <c r="G16" t="inlineStr">
        <is>
          <t>Khớp nhóm BA.121</t>
        </is>
      </c>
      <c r="H16" s="7">
        <f>HYPERLINK("tt38://pl3/6", "👉 Mở Phụ lục III - Trang 6")</f>
        <v/>
      </c>
    </row>
    <row r="17">
      <c r="A17" s="4" t="n">
        <v>12</v>
      </c>
      <c r="B17" t="inlineStr">
        <is>
          <t>Giá tổng hợp</t>
        </is>
      </c>
      <c r="C17" s="4" t="n">
        <v>17</v>
      </c>
      <c r="D17" s="5" t="inlineStr">
        <is>
          <t>BA.12110</t>
        </is>
      </c>
      <c r="E17" t="inlineStr">
        <is>
          <t>Dàn lạnh treo tường CSL: 7.1 kW</t>
        </is>
      </c>
      <c r="F17" s="6" t="inlineStr">
        <is>
          <t>Đã khớp TT38</t>
        </is>
      </c>
      <c r="G17" t="inlineStr">
        <is>
          <t>Khớp nhóm BA.121</t>
        </is>
      </c>
      <c r="H17" s="7">
        <f>HYPERLINK("tt38://pl3/6", "👉 Mở Phụ lục III - Trang 6")</f>
        <v/>
      </c>
    </row>
    <row r="18">
      <c r="A18" s="4" t="n">
        <v>13</v>
      </c>
      <c r="B18" t="inlineStr">
        <is>
          <t>Giá tổng hợp</t>
        </is>
      </c>
      <c r="C18" s="4" t="n">
        <v>25</v>
      </c>
      <c r="D18" s="5" t="inlineStr">
        <is>
          <t>BB.51001</t>
        </is>
      </c>
      <c r="E18" t="inlineStr">
        <is>
          <t>Ống đồng_D6.4_0.81mm</t>
        </is>
      </c>
      <c r="F18" s="6" t="inlineStr">
        <is>
          <t>Đã khớp TT38</t>
        </is>
      </c>
      <c r="G18" t="inlineStr">
        <is>
          <t>Khớp nhóm BB.5100</t>
        </is>
      </c>
      <c r="H18" s="7">
        <f>HYPERLINK("tt38://pl3/100", "👉 Mở Phụ lục III - Trang 100")</f>
        <v/>
      </c>
    </row>
    <row r="19">
      <c r="A19" s="4" t="n">
        <v>14</v>
      </c>
      <c r="B19" t="inlineStr">
        <is>
          <t>Giá tổng hợp</t>
        </is>
      </c>
      <c r="C19" s="4" t="n">
        <v>26</v>
      </c>
      <c r="D19" s="5" t="inlineStr">
        <is>
          <t>BB.51002</t>
        </is>
      </c>
      <c r="E19" t="inlineStr">
        <is>
          <t>Ống đồng_D9.5_0.81mm</t>
        </is>
      </c>
      <c r="F19" s="6" t="inlineStr">
        <is>
          <t>Đã khớp TT38</t>
        </is>
      </c>
      <c r="G19" t="inlineStr">
        <is>
          <t>Khớp nhóm BB.5100</t>
        </is>
      </c>
      <c r="H19" s="7">
        <f>HYPERLINK("tt38://pl3/100", "👉 Mở Phụ lục III - Trang 100")</f>
        <v/>
      </c>
    </row>
    <row r="20">
      <c r="A20" s="4" t="n">
        <v>15</v>
      </c>
      <c r="B20" t="inlineStr">
        <is>
          <t>Giá tổng hợp</t>
        </is>
      </c>
      <c r="C20" s="4" t="n">
        <v>27</v>
      </c>
      <c r="D20" s="5" t="inlineStr">
        <is>
          <t>BB.51003</t>
        </is>
      </c>
      <c r="E20" t="inlineStr">
        <is>
          <t>Ống đồng_D12.7_0.81mm</t>
        </is>
      </c>
      <c r="F20" s="6" t="inlineStr">
        <is>
          <t>Đã khớp TT38</t>
        </is>
      </c>
      <c r="G20" t="inlineStr">
        <is>
          <t>Khớp nhóm BB.5100</t>
        </is>
      </c>
      <c r="H20" s="7">
        <f>HYPERLINK("tt38://pl3/100", "👉 Mở Phụ lục III - Trang 100")</f>
        <v/>
      </c>
    </row>
    <row r="21">
      <c r="A21" s="4" t="n">
        <v>16</v>
      </c>
      <c r="B21" t="inlineStr">
        <is>
          <t>Giá tổng hợp</t>
        </is>
      </c>
      <c r="C21" s="4" t="n">
        <v>28</v>
      </c>
      <c r="D21" s="5" t="inlineStr">
        <is>
          <t>BB.51004</t>
        </is>
      </c>
      <c r="E21" t="inlineStr">
        <is>
          <t>Ống đồng_D15.9_0.99mm</t>
        </is>
      </c>
      <c r="F21" s="6" t="inlineStr">
        <is>
          <t>Đã khớp TT38</t>
        </is>
      </c>
      <c r="G21" t="inlineStr">
        <is>
          <t>Khớp nhóm BB.5100</t>
        </is>
      </c>
      <c r="H21" s="7">
        <f>HYPERLINK("tt38://pl3/100", "👉 Mở Phụ lục III - Trang 100")</f>
        <v/>
      </c>
    </row>
    <row r="22">
      <c r="A22" s="4" t="n">
        <v>17</v>
      </c>
      <c r="B22" t="inlineStr">
        <is>
          <t>Giá tổng hợp</t>
        </is>
      </c>
      <c r="C22" s="4" t="n">
        <v>29</v>
      </c>
      <c r="D22" s="5" t="inlineStr">
        <is>
          <t>BB.51005</t>
        </is>
      </c>
      <c r="E22" t="inlineStr">
        <is>
          <t>Ống đồng_D19.1_0.99mm</t>
        </is>
      </c>
      <c r="F22" s="6" t="inlineStr">
        <is>
          <t>Đã khớp TT38</t>
        </is>
      </c>
      <c r="G22" t="inlineStr">
        <is>
          <t>Khớp nhóm BB.5100</t>
        </is>
      </c>
      <c r="H22" s="7">
        <f>HYPERLINK("tt38://pl3/100", "👉 Mở Phụ lục III - Trang 100")</f>
        <v/>
      </c>
    </row>
    <row r="23">
      <c r="A23" s="4" t="n">
        <v>18</v>
      </c>
      <c r="B23" t="inlineStr">
        <is>
          <t>Giá tổng hợp</t>
        </is>
      </c>
      <c r="C23" s="4" t="n">
        <v>30</v>
      </c>
      <c r="D23" s="5" t="inlineStr">
        <is>
          <t>BB.51006</t>
        </is>
      </c>
      <c r="E23" t="inlineStr">
        <is>
          <t>Ống đồng_D22.2_1.14mm</t>
        </is>
      </c>
      <c r="F23" s="6" t="inlineStr">
        <is>
          <t>Đã khớp TT38</t>
        </is>
      </c>
      <c r="G23" t="inlineStr">
        <is>
          <t>Khớp nhóm BB.5100</t>
        </is>
      </c>
      <c r="H23" s="7">
        <f>HYPERLINK("tt38://pl3/100", "👉 Mở Phụ lục III - Trang 100")</f>
        <v/>
      </c>
    </row>
    <row r="24">
      <c r="A24" s="4" t="n">
        <v>19</v>
      </c>
      <c r="B24" t="inlineStr">
        <is>
          <t>Giá tổng hợp</t>
        </is>
      </c>
      <c r="C24" s="4" t="n">
        <v>31</v>
      </c>
      <c r="D24" s="5" t="inlineStr">
        <is>
          <t>BB.51008</t>
        </is>
      </c>
      <c r="E24" t="inlineStr">
        <is>
          <t>Ống đồng_D28.6_1.27mm</t>
        </is>
      </c>
      <c r="F24" s="6" t="inlineStr">
        <is>
          <t>Đã khớp TT38</t>
        </is>
      </c>
      <c r="G24" t="inlineStr">
        <is>
          <t>Khớp nhóm BB.5100</t>
        </is>
      </c>
      <c r="H24" s="7">
        <f>HYPERLINK("tt38://pl3/100", "👉 Mở Phụ lục III - Trang 100")</f>
        <v/>
      </c>
    </row>
    <row r="25">
      <c r="A25" s="4" t="n">
        <v>20</v>
      </c>
      <c r="B25" t="inlineStr">
        <is>
          <t>Giá tổng hợp</t>
        </is>
      </c>
      <c r="C25" s="4" t="n">
        <v>32</v>
      </c>
      <c r="D25" s="5" t="inlineStr">
        <is>
          <t>BB.51010</t>
        </is>
      </c>
      <c r="E25" t="inlineStr">
        <is>
          <t>Ống đồng_D34.9_1.40mm</t>
        </is>
      </c>
      <c r="F25" s="6" t="inlineStr">
        <is>
          <t>Đã khớp TT38</t>
        </is>
      </c>
      <c r="G25" t="inlineStr">
        <is>
          <t>Khớp nhóm BB.510</t>
        </is>
      </c>
      <c r="H25" s="7">
        <f>HYPERLINK("tt38://pl3/100", "👉 Mở Phụ lục III - Trang 100")</f>
        <v/>
      </c>
    </row>
    <row r="26">
      <c r="A26" s="4" t="n">
        <v>21</v>
      </c>
      <c r="B26" t="inlineStr">
        <is>
          <t>Giá tổng hợp</t>
        </is>
      </c>
      <c r="C26" s="4" t="n">
        <v>33</v>
      </c>
      <c r="D26" s="5" t="inlineStr">
        <is>
          <t>BB.51012</t>
        </is>
      </c>
      <c r="E26" t="inlineStr">
        <is>
          <t>Ống đồng_D41.3_1.53mm</t>
        </is>
      </c>
      <c r="F26" s="6" t="inlineStr">
        <is>
          <t>Đã khớp TT38</t>
        </is>
      </c>
      <c r="G26" t="inlineStr">
        <is>
          <t>Khớp nhóm BB.510</t>
        </is>
      </c>
      <c r="H26" s="7">
        <f>HYPERLINK("tt38://pl3/100", "👉 Mở Phụ lục III - Trang 100")</f>
        <v/>
      </c>
    </row>
    <row r="27">
      <c r="A27" s="4" t="n">
        <v>22</v>
      </c>
      <c r="B27" t="inlineStr">
        <is>
          <t>Giá tổng hợp</t>
        </is>
      </c>
      <c r="C27" s="4" t="n">
        <v>34</v>
      </c>
      <c r="D27" s="5" t="inlineStr">
        <is>
          <t>BC.14101</t>
        </is>
      </c>
      <c r="E27" t="inlineStr">
        <is>
          <t>Bảo ôn ống đồng D6.4 dày 19mm</t>
        </is>
      </c>
      <c r="F27" s="6" t="inlineStr">
        <is>
          <t>Đã khớp TT38</t>
        </is>
      </c>
      <c r="G27" t="inlineStr">
        <is>
          <t>Khớp nhóm BC.1410</t>
        </is>
      </c>
      <c r="H27" s="7">
        <f>HYPERLINK("tt38://pl3/212", "👉 Mở Phụ lục III - Trang 212")</f>
        <v/>
      </c>
    </row>
    <row r="28">
      <c r="A28" s="4" t="n">
        <v>23</v>
      </c>
      <c r="B28" t="inlineStr">
        <is>
          <t>Giá tổng hợp</t>
        </is>
      </c>
      <c r="C28" s="4" t="n">
        <v>35</v>
      </c>
      <c r="D28" s="5" t="inlineStr">
        <is>
          <t>BC.14102</t>
        </is>
      </c>
      <c r="E28" t="inlineStr">
        <is>
          <t>Bảo ôn ống đồng D9.5 dày 19mm</t>
        </is>
      </c>
      <c r="F28" s="6" t="inlineStr">
        <is>
          <t>Đã khớp TT38</t>
        </is>
      </c>
      <c r="G28" t="inlineStr">
        <is>
          <t>Khớp nhóm BC.1410</t>
        </is>
      </c>
      <c r="H28" s="7">
        <f>HYPERLINK("tt38://pl3/212", "👉 Mở Phụ lục III - Trang 212")</f>
        <v/>
      </c>
    </row>
    <row r="29">
      <c r="A29" s="4" t="n">
        <v>24</v>
      </c>
      <c r="B29" t="inlineStr">
        <is>
          <t>Giá tổng hợp</t>
        </is>
      </c>
      <c r="C29" s="4" t="n">
        <v>36</v>
      </c>
      <c r="D29" s="5" t="inlineStr">
        <is>
          <t>BC.14103</t>
        </is>
      </c>
      <c r="E29" t="inlineStr">
        <is>
          <t>Bảo ôn ống đồng D12.7 dày 19mm</t>
        </is>
      </c>
      <c r="F29" s="6" t="inlineStr">
        <is>
          <t>Đã khớp TT38</t>
        </is>
      </c>
      <c r="G29" t="inlineStr">
        <is>
          <t>Khớp nhóm BC.1410</t>
        </is>
      </c>
      <c r="H29" s="7">
        <f>HYPERLINK("tt38://pl3/212", "👉 Mở Phụ lục III - Trang 212")</f>
        <v/>
      </c>
    </row>
    <row r="30">
      <c r="A30" s="4" t="n">
        <v>25</v>
      </c>
      <c r="B30" t="inlineStr">
        <is>
          <t>Giá tổng hợp</t>
        </is>
      </c>
      <c r="C30" s="4" t="n">
        <v>37</v>
      </c>
      <c r="D30" s="5" t="inlineStr">
        <is>
          <t>BC.14104</t>
        </is>
      </c>
      <c r="E30" t="inlineStr">
        <is>
          <t>Bảo ôn ống đồng D15.9 dày 19mm</t>
        </is>
      </c>
      <c r="F30" s="6" t="inlineStr">
        <is>
          <t>Đã khớp TT38</t>
        </is>
      </c>
      <c r="G30" t="inlineStr">
        <is>
          <t>Khớp nhóm BC.1410</t>
        </is>
      </c>
      <c r="H30" s="7">
        <f>HYPERLINK("tt38://pl3/212", "👉 Mở Phụ lục III - Trang 212")</f>
        <v/>
      </c>
    </row>
    <row r="31">
      <c r="A31" s="4" t="n">
        <v>26</v>
      </c>
      <c r="B31" t="inlineStr">
        <is>
          <t>Giá tổng hợp</t>
        </is>
      </c>
      <c r="C31" s="4" t="n">
        <v>38</v>
      </c>
      <c r="D31" s="5" t="inlineStr">
        <is>
          <t>BC.14105</t>
        </is>
      </c>
      <c r="E31" t="inlineStr">
        <is>
          <t>Bảo ôn ống đồng D19.1 dày 19mm</t>
        </is>
      </c>
      <c r="F31" s="6" t="inlineStr">
        <is>
          <t>Đã khớp TT38</t>
        </is>
      </c>
      <c r="G31" t="inlineStr">
        <is>
          <t>Khớp nhóm BC.1410</t>
        </is>
      </c>
      <c r="H31" s="7">
        <f>HYPERLINK("tt38://pl3/212", "👉 Mở Phụ lục III - Trang 212")</f>
        <v/>
      </c>
    </row>
    <row r="32">
      <c r="A32" s="4" t="n">
        <v>27</v>
      </c>
      <c r="B32" t="inlineStr">
        <is>
          <t>Giá tổng hợp</t>
        </is>
      </c>
      <c r="C32" s="4" t="n">
        <v>39</v>
      </c>
      <c r="D32" s="5" t="inlineStr">
        <is>
          <t>BC.14106</t>
        </is>
      </c>
      <c r="E32" t="inlineStr">
        <is>
          <t>Bảo ôn ống đồng D22.2 dày 19mm</t>
        </is>
      </c>
      <c r="F32" s="6" t="inlineStr">
        <is>
          <t>Đã khớp TT38</t>
        </is>
      </c>
      <c r="G32" t="inlineStr">
        <is>
          <t>Khớp nhóm BC.1410</t>
        </is>
      </c>
      <c r="H32" s="7">
        <f>HYPERLINK("tt38://pl3/212", "👉 Mở Phụ lục III - Trang 212")</f>
        <v/>
      </c>
    </row>
    <row r="33">
      <c r="A33" s="4" t="n">
        <v>28</v>
      </c>
      <c r="B33" t="inlineStr">
        <is>
          <t>Giá tổng hợp</t>
        </is>
      </c>
      <c r="C33" s="4" t="n">
        <v>40</v>
      </c>
      <c r="D33" s="5" t="inlineStr">
        <is>
          <t>BC.14108</t>
        </is>
      </c>
      <c r="E33" t="inlineStr">
        <is>
          <t>Bảo ôn ống đồng D28.6 dày 19mm</t>
        </is>
      </c>
      <c r="F33" s="6" t="inlineStr">
        <is>
          <t>Đã khớp TT38</t>
        </is>
      </c>
      <c r="G33" t="inlineStr">
        <is>
          <t>Khớp nhóm BC.1410</t>
        </is>
      </c>
      <c r="H33" s="7">
        <f>HYPERLINK("tt38://pl3/212", "👉 Mở Phụ lục III - Trang 212")</f>
        <v/>
      </c>
    </row>
    <row r="34">
      <c r="A34" s="4" t="n">
        <v>29</v>
      </c>
      <c r="B34" t="inlineStr">
        <is>
          <t>Giá tổng hợp</t>
        </is>
      </c>
      <c r="C34" s="4" t="n">
        <v>41</v>
      </c>
      <c r="D34" s="5" t="inlineStr">
        <is>
          <t>BC.14110</t>
        </is>
      </c>
      <c r="E34" t="inlineStr">
        <is>
          <t>Bảo ôn ống đồng D34.9 dày 19mm</t>
        </is>
      </c>
      <c r="F34" s="6" t="inlineStr">
        <is>
          <t>Đã khớp TT38</t>
        </is>
      </c>
      <c r="G34" t="inlineStr">
        <is>
          <t>Khớp nhóm BC.141</t>
        </is>
      </c>
      <c r="H34" s="7">
        <f>HYPERLINK("tt38://pl3/212", "👉 Mở Phụ lục III - Trang 212")</f>
        <v/>
      </c>
    </row>
    <row r="35">
      <c r="A35" s="4" t="n">
        <v>30</v>
      </c>
      <c r="B35" t="inlineStr">
        <is>
          <t>Giá tổng hợp</t>
        </is>
      </c>
      <c r="C35" s="4" t="n">
        <v>42</v>
      </c>
      <c r="D35" s="5" t="inlineStr">
        <is>
          <t>BC.14112</t>
        </is>
      </c>
      <c r="E35" t="inlineStr">
        <is>
          <t>Bảo ôn ống đồng D41.3 dày 19mm</t>
        </is>
      </c>
      <c r="F35" s="6" t="inlineStr">
        <is>
          <t>Đã khớp TT38</t>
        </is>
      </c>
      <c r="G35" t="inlineStr">
        <is>
          <t>Khớp nhóm BC.141</t>
        </is>
      </c>
      <c r="H35" s="7">
        <f>HYPERLINK("tt38://pl3/212", "👉 Mở Phụ lục III - Trang 212")</f>
        <v/>
      </c>
    </row>
    <row r="36">
      <c r="A36" s="4" t="n">
        <v>31</v>
      </c>
      <c r="B36" t="inlineStr">
        <is>
          <t>Giá tổng hợp</t>
        </is>
      </c>
      <c r="C36" s="4" t="n">
        <v>45</v>
      </c>
      <c r="D36" s="5" t="inlineStr">
        <is>
          <t>BB.41101</t>
        </is>
      </c>
      <c r="E36" t="inlineStr">
        <is>
          <t>Ống uPVC_D21</t>
        </is>
      </c>
      <c r="F36" s="6" t="inlineStr">
        <is>
          <t>Đã khớp TT38</t>
        </is>
      </c>
      <c r="G36" t="inlineStr">
        <is>
          <t>Khớp nhóm BB.4110</t>
        </is>
      </c>
      <c r="H36" s="7">
        <f>HYPERLINK("tt38://pl3/71", "👉 Mở Phụ lục III - Trang 71")</f>
        <v/>
      </c>
    </row>
    <row r="37">
      <c r="A37" s="4" t="n">
        <v>32</v>
      </c>
      <c r="B37" t="inlineStr">
        <is>
          <t>Giá tổng hợp</t>
        </is>
      </c>
      <c r="C37" s="4" t="n">
        <v>46</v>
      </c>
      <c r="D37" s="5" t="inlineStr">
        <is>
          <t>BB.41102</t>
        </is>
      </c>
      <c r="E37" t="inlineStr">
        <is>
          <t>Ống uPVC_D27</t>
        </is>
      </c>
      <c r="F37" s="6" t="inlineStr">
        <is>
          <t>Đã khớp TT38</t>
        </is>
      </c>
      <c r="G37" t="inlineStr">
        <is>
          <t>Khớp nhóm BB.4110</t>
        </is>
      </c>
      <c r="H37" s="7">
        <f>HYPERLINK("tt38://pl3/71", "👉 Mở Phụ lục III - Trang 71")</f>
        <v/>
      </c>
    </row>
    <row r="38">
      <c r="A38" s="4" t="n">
        <v>33</v>
      </c>
      <c r="B38" t="inlineStr">
        <is>
          <t>Giá tổng hợp</t>
        </is>
      </c>
      <c r="C38" s="4" t="n">
        <v>47</v>
      </c>
      <c r="D38" s="5" t="inlineStr">
        <is>
          <t>BB.41103</t>
        </is>
      </c>
      <c r="E38" t="inlineStr">
        <is>
          <t>Ống uPVC_D34</t>
        </is>
      </c>
      <c r="F38" s="6" t="inlineStr">
        <is>
          <t>Đã khớp TT38</t>
        </is>
      </c>
      <c r="G38" t="inlineStr">
        <is>
          <t>Khớp nhóm BB.4110</t>
        </is>
      </c>
      <c r="H38" s="7">
        <f>HYPERLINK("tt38://pl3/71", "👉 Mở Phụ lục III - Trang 71")</f>
        <v/>
      </c>
    </row>
    <row r="39">
      <c r="A39" s="4" t="n">
        <v>34</v>
      </c>
      <c r="B39" t="inlineStr">
        <is>
          <t>Giá tổng hợp</t>
        </is>
      </c>
      <c r="C39" s="4" t="n">
        <v>48</v>
      </c>
      <c r="D39" s="5" t="inlineStr">
        <is>
          <t>BB.41104</t>
        </is>
      </c>
      <c r="E39" t="inlineStr">
        <is>
          <t>Ống uPVC_D42</t>
        </is>
      </c>
      <c r="F39" s="6" t="inlineStr">
        <is>
          <t>Đã khớp TT38</t>
        </is>
      </c>
      <c r="G39" t="inlineStr">
        <is>
          <t>Khớp nhóm BB.4110</t>
        </is>
      </c>
      <c r="H39" s="7">
        <f>HYPERLINK("tt38://pl3/71", "👉 Mở Phụ lục III - Trang 71")</f>
        <v/>
      </c>
    </row>
    <row r="40">
      <c r="A40" s="4" t="n">
        <v>35</v>
      </c>
      <c r="B40" t="inlineStr">
        <is>
          <t>Giá tổng hợp</t>
        </is>
      </c>
      <c r="C40" s="4" t="n">
        <v>49</v>
      </c>
      <c r="D40" s="5" t="inlineStr">
        <is>
          <t>BB.41105</t>
        </is>
      </c>
      <c r="E40" t="inlineStr">
        <is>
          <t>Ống uPVC_D48</t>
        </is>
      </c>
      <c r="F40" s="6" t="inlineStr">
        <is>
          <t>Đã khớp TT38</t>
        </is>
      </c>
      <c r="G40" t="inlineStr">
        <is>
          <t>Khớp nhóm BB.4110</t>
        </is>
      </c>
      <c r="H40" s="7">
        <f>HYPERLINK("tt38://pl3/71", "👉 Mở Phụ lục III - Trang 71")</f>
        <v/>
      </c>
    </row>
    <row r="41">
      <c r="A41" s="4" t="n">
        <v>36</v>
      </c>
      <c r="B41" t="inlineStr">
        <is>
          <t>Giá tổng hợp</t>
        </is>
      </c>
      <c r="C41" s="4" t="n">
        <v>50</v>
      </c>
      <c r="D41" s="5" t="inlineStr">
        <is>
          <t>BC.13102</t>
        </is>
      </c>
      <c r="E41" t="inlineStr">
        <is>
          <t>Bảo ôn ống uPVC D21 dày 13mm</t>
        </is>
      </c>
      <c r="F41" s="6" t="inlineStr">
        <is>
          <t>Đã khớp TT38</t>
        </is>
      </c>
      <c r="G41" t="inlineStr">
        <is>
          <t>Khớp nhóm BC.1310</t>
        </is>
      </c>
      <c r="H41" s="7">
        <f>HYPERLINK("tt38://pl3/204", "👉 Mở Phụ lục III - Trang 204")</f>
        <v/>
      </c>
    </row>
    <row r="42">
      <c r="A42" s="4" t="n">
        <v>37</v>
      </c>
      <c r="B42" t="inlineStr">
        <is>
          <t>Giá tổng hợp</t>
        </is>
      </c>
      <c r="C42" s="4" t="n">
        <v>51</v>
      </c>
      <c r="D42" s="5" t="inlineStr">
        <is>
          <t>BC.13103</t>
        </is>
      </c>
      <c r="E42" t="inlineStr">
        <is>
          <t>Bảo ôn ống uPVC D27 dày 13mm</t>
        </is>
      </c>
      <c r="F42" s="6" t="inlineStr">
        <is>
          <t>Đã khớp TT38</t>
        </is>
      </c>
      <c r="G42" t="inlineStr">
        <is>
          <t>Khớp nhóm BC.1310</t>
        </is>
      </c>
      <c r="H42" s="7">
        <f>HYPERLINK("tt38://pl3/204", "👉 Mở Phụ lục III - Trang 204")</f>
        <v/>
      </c>
    </row>
    <row r="43">
      <c r="A43" s="4" t="n">
        <v>38</v>
      </c>
      <c r="B43" t="inlineStr">
        <is>
          <t>Giá tổng hợp</t>
        </is>
      </c>
      <c r="C43" s="4" t="n">
        <v>52</v>
      </c>
      <c r="D43" s="5" t="inlineStr">
        <is>
          <t>BC.13104</t>
        </is>
      </c>
      <c r="E43" t="inlineStr">
        <is>
          <t>Bảo ôn ống uPVC D34 dày 13mm</t>
        </is>
      </c>
      <c r="F43" s="6" t="inlineStr">
        <is>
          <t>Đã khớp TT38</t>
        </is>
      </c>
      <c r="G43" t="inlineStr">
        <is>
          <t>Khớp nhóm BC.1310</t>
        </is>
      </c>
      <c r="H43" s="7">
        <f>HYPERLINK("tt38://pl3/204", "👉 Mở Phụ lục III - Trang 204")</f>
        <v/>
      </c>
    </row>
    <row r="44">
      <c r="A44" s="4" t="n">
        <v>39</v>
      </c>
      <c r="B44" t="inlineStr">
        <is>
          <t>Giá tổng hợp</t>
        </is>
      </c>
      <c r="C44" s="4" t="n">
        <v>53</v>
      </c>
      <c r="D44" s="5" t="inlineStr">
        <is>
          <t>BC.13105</t>
        </is>
      </c>
      <c r="E44" t="inlineStr">
        <is>
          <t>Bảo ôn ống uPVC D42 dày 13mm</t>
        </is>
      </c>
      <c r="F44" s="6" t="inlineStr">
        <is>
          <t>Đã khớp TT38</t>
        </is>
      </c>
      <c r="G44" t="inlineStr">
        <is>
          <t>Khớp nhóm BC.1310</t>
        </is>
      </c>
      <c r="H44" s="7">
        <f>HYPERLINK("tt38://pl3/204", "👉 Mở Phụ lục III - Trang 204")</f>
        <v/>
      </c>
    </row>
    <row r="45">
      <c r="A45" s="4" t="n">
        <v>40</v>
      </c>
      <c r="B45" t="inlineStr">
        <is>
          <t>Giá tổng hợp</t>
        </is>
      </c>
      <c r="C45" s="4" t="n">
        <v>54</v>
      </c>
      <c r="D45" s="5" t="inlineStr">
        <is>
          <t>BC.13106</t>
        </is>
      </c>
      <c r="E45" t="inlineStr">
        <is>
          <t>Bảo ôn ống uPVC D48 dày 13mm</t>
        </is>
      </c>
      <c r="F45" s="6" t="inlineStr">
        <is>
          <t>Đã khớp TT38</t>
        </is>
      </c>
      <c r="G45" t="inlineStr">
        <is>
          <t>Khớp nhóm BC.1310</t>
        </is>
      </c>
      <c r="H45" s="7">
        <f>HYPERLINK("tt38://pl3/204", "👉 Mở Phụ lục III - Trang 204")</f>
        <v/>
      </c>
    </row>
    <row r="46">
      <c r="A46" s="4" t="n">
        <v>41</v>
      </c>
      <c r="B46" t="inlineStr">
        <is>
          <t>Giá tổng hợp</t>
        </is>
      </c>
      <c r="C46" s="4" t="n">
        <v>57</v>
      </c>
      <c r="D46" s="5" t="inlineStr">
        <is>
          <t>BA.16201</t>
        </is>
      </c>
      <c r="E46" t="inlineStr">
        <is>
          <t>Dây điện_Cu/PVC_2x(1x0.75)mm2</t>
        </is>
      </c>
      <c r="F46" s="6" t="inlineStr">
        <is>
          <t>Đã khớp TT38</t>
        </is>
      </c>
      <c r="G46" t="inlineStr">
        <is>
          <t>Khớp nhóm BA.1620</t>
        </is>
      </c>
      <c r="H46" s="7">
        <f>HYPERLINK("tt38://pl3/14", "👉 Mở Phụ lục III - Trang 14")</f>
        <v/>
      </c>
    </row>
    <row r="47">
      <c r="A47" s="4" t="n">
        <v>42</v>
      </c>
      <c r="B47" t="inlineStr">
        <is>
          <t>Giá tổng hợp</t>
        </is>
      </c>
      <c r="C47" s="4" t="n">
        <v>58</v>
      </c>
      <c r="D47" s="5" t="inlineStr">
        <is>
          <t>BA.16202</t>
        </is>
      </c>
      <c r="E47" t="inlineStr">
        <is>
          <t>Dây điện_Cu/PVC_2x(1x1.5)mm2</t>
        </is>
      </c>
      <c r="F47" s="6" t="inlineStr">
        <is>
          <t>Đã khớp TT38</t>
        </is>
      </c>
      <c r="G47" t="inlineStr">
        <is>
          <t>Khớp nhóm BA.1620</t>
        </is>
      </c>
      <c r="H47" s="7">
        <f>HYPERLINK("tt38://pl3/14", "👉 Mở Phụ lục III - Trang 14")</f>
        <v/>
      </c>
    </row>
    <row r="48">
      <c r="A48" s="4" t="n">
        <v>43</v>
      </c>
      <c r="B48" t="inlineStr">
        <is>
          <t>Giá tổng hợp</t>
        </is>
      </c>
      <c r="C48" s="4" t="n">
        <v>59</v>
      </c>
      <c r="D48" s="5" t="inlineStr">
        <is>
          <t>BA.16202</t>
        </is>
      </c>
      <c r="E48" t="inlineStr">
        <is>
          <t>Dây điện_Cu/PVC_2x(1x2.5)mm2</t>
        </is>
      </c>
      <c r="F48" s="6" t="inlineStr">
        <is>
          <t>Đã khớp TT38</t>
        </is>
      </c>
      <c r="G48" t="inlineStr">
        <is>
          <t>Khớp nhóm BA.1620</t>
        </is>
      </c>
      <c r="H48" s="7">
        <f>HYPERLINK("tt38://pl3/14", "👉 Mở Phụ lục III - Trang 14")</f>
        <v/>
      </c>
    </row>
    <row r="49">
      <c r="A49" s="4" t="n">
        <v>44</v>
      </c>
      <c r="B49" t="inlineStr">
        <is>
          <t>Giá tổng hợp</t>
        </is>
      </c>
      <c r="C49" s="4" t="n">
        <v>60</v>
      </c>
      <c r="D49" s="5" t="inlineStr">
        <is>
          <t>BA.16202</t>
        </is>
      </c>
      <c r="E49" t="inlineStr">
        <is>
          <t>Dây điện_Cu/PVC_2x(1x4.0)mm2</t>
        </is>
      </c>
      <c r="F49" s="6" t="inlineStr">
        <is>
          <t>Đã khớp TT38</t>
        </is>
      </c>
      <c r="G49" t="inlineStr">
        <is>
          <t>Khớp nhóm BA.1620</t>
        </is>
      </c>
      <c r="H49" s="7">
        <f>HYPERLINK("tt38://pl3/14", "👉 Mở Phụ lục III - Trang 14")</f>
        <v/>
      </c>
    </row>
    <row r="50">
      <c r="A50" s="4" t="n">
        <v>45</v>
      </c>
      <c r="B50" t="inlineStr">
        <is>
          <t>Công trình</t>
        </is>
      </c>
      <c r="C50" s="4" t="n">
        <v>7</v>
      </c>
      <c r="D50" s="5" t="inlineStr">
        <is>
          <t>MD.12002</t>
        </is>
      </c>
      <c r="E50" t="inlineStr">
        <is>
          <t>Dàn nóng điều hòa VRF, Multi</t>
        </is>
      </c>
      <c r="F50" s="6" t="inlineStr">
        <is>
          <t>Đã khớp TT38</t>
        </is>
      </c>
      <c r="G50" t="inlineStr">
        <is>
          <t>Khớp nhóm MD.1200</t>
        </is>
      </c>
      <c r="H50" s="7">
        <f>HYPERLINK("tt38://pl5/37", "👉 Mở Phụ lục IV - Trang 37")</f>
        <v/>
      </c>
    </row>
    <row r="51">
      <c r="A51" s="4" t="n">
        <v>46</v>
      </c>
      <c r="B51" t="inlineStr">
        <is>
          <t>Công trình</t>
        </is>
      </c>
      <c r="C51" s="4" t="n">
        <v>14</v>
      </c>
      <c r="D51" s="5" t="inlineStr">
        <is>
          <t>BA.12130</t>
        </is>
      </c>
      <c r="E51" t="inlineStr">
        <is>
          <t>Dàn lạnh âm trần nối ống gió, CSL: 7.1 kW</t>
        </is>
      </c>
      <c r="F51" s="6" t="inlineStr">
        <is>
          <t>Đã khớp TT38</t>
        </is>
      </c>
      <c r="G51" t="inlineStr">
        <is>
          <t>Khớp nhóm BA.121</t>
        </is>
      </c>
      <c r="H51" s="7">
        <f>HYPERLINK("tt38://pl3/6", "👉 Mở Phụ lục III - Trang 6")</f>
        <v/>
      </c>
    </row>
    <row r="52">
      <c r="A52" s="4" t="n">
        <v>47</v>
      </c>
      <c r="B52" t="inlineStr">
        <is>
          <t>Công trình</t>
        </is>
      </c>
      <c r="C52" s="4" t="n">
        <v>15</v>
      </c>
      <c r="D52" s="5" t="inlineStr">
        <is>
          <t>BA.12130</t>
        </is>
      </c>
      <c r="E52" t="inlineStr">
        <is>
          <t>Dàn lạnh cassette, CSL: 9.0 kW</t>
        </is>
      </c>
      <c r="F52" s="6" t="inlineStr">
        <is>
          <t>Đã khớp TT38</t>
        </is>
      </c>
      <c r="G52" t="inlineStr">
        <is>
          <t>Khớp nhóm BA.121</t>
        </is>
      </c>
      <c r="H52" s="7">
        <f>HYPERLINK("tt38://pl3/6", "👉 Mở Phụ lục III - Trang 6")</f>
        <v/>
      </c>
    </row>
    <row r="53">
      <c r="A53" s="4" t="n">
        <v>48</v>
      </c>
      <c r="B53" t="inlineStr">
        <is>
          <t>Công trình</t>
        </is>
      </c>
      <c r="C53" s="4" t="n">
        <v>16</v>
      </c>
      <c r="D53" s="5" t="inlineStr">
        <is>
          <t>BA.12130</t>
        </is>
      </c>
      <c r="E53" t="inlineStr">
        <is>
          <t>Dàn lạnh cassette, CSL: 11.2 kW</t>
        </is>
      </c>
      <c r="F53" s="6" t="inlineStr">
        <is>
          <t>Đã khớp TT38</t>
        </is>
      </c>
      <c r="G53" t="inlineStr">
        <is>
          <t>Khớp nhóm BA.121</t>
        </is>
      </c>
      <c r="H53" s="7">
        <f>HYPERLINK("tt38://pl3/6", "👉 Mở Phụ lục III - Trang 6")</f>
        <v/>
      </c>
    </row>
    <row r="54">
      <c r="A54" s="4" t="n">
        <v>49</v>
      </c>
      <c r="B54" t="inlineStr">
        <is>
          <t>Công trình</t>
        </is>
      </c>
      <c r="C54" s="4" t="n">
        <v>17</v>
      </c>
      <c r="D54" s="5" t="inlineStr">
        <is>
          <t>BA.12130</t>
        </is>
      </c>
      <c r="E54" t="inlineStr">
        <is>
          <t>Dàn lạnh cassette, CSL: 14.0 kW</t>
        </is>
      </c>
      <c r="F54" s="6" t="inlineStr">
        <is>
          <t>Đã khớp TT38</t>
        </is>
      </c>
      <c r="G54" t="inlineStr">
        <is>
          <t>Khớp nhóm BA.121</t>
        </is>
      </c>
      <c r="H54" s="7">
        <f>HYPERLINK("tt38://pl3/6", "👉 Mở Phụ lục III - Trang 6")</f>
        <v/>
      </c>
    </row>
    <row r="55">
      <c r="A55" s="4" t="n">
        <v>50</v>
      </c>
      <c r="B55" t="inlineStr">
        <is>
          <t>Công trình</t>
        </is>
      </c>
      <c r="C55" s="4" t="n">
        <v>18</v>
      </c>
      <c r="D55" s="5" t="inlineStr">
        <is>
          <t>BA.12130</t>
        </is>
      </c>
      <c r="E55" t="inlineStr">
        <is>
          <t>Dàn lạnh âm trần nối ống gió CSL: 7.1 kW</t>
        </is>
      </c>
      <c r="F55" s="6" t="inlineStr">
        <is>
          <t>Đã khớp TT38</t>
        </is>
      </c>
      <c r="G55" t="inlineStr">
        <is>
          <t>Khớp nhóm BA.121</t>
        </is>
      </c>
      <c r="H55" s="7">
        <f>HYPERLINK("tt38://pl3/6", "👉 Mở Phụ lục III - Trang 6")</f>
        <v/>
      </c>
    </row>
    <row r="56">
      <c r="A56" s="4" t="n">
        <v>51</v>
      </c>
      <c r="B56" t="inlineStr">
        <is>
          <t>Công trình</t>
        </is>
      </c>
      <c r="C56" s="4" t="n">
        <v>19</v>
      </c>
      <c r="D56" s="5" t="inlineStr">
        <is>
          <t>BA.12130</t>
        </is>
      </c>
      <c r="E56" t="inlineStr">
        <is>
          <t>Dàn lạnh cassette CSL: 7.1 kW</t>
        </is>
      </c>
      <c r="F56" s="6" t="inlineStr">
        <is>
          <t>Đã khớp TT38</t>
        </is>
      </c>
      <c r="G56" t="inlineStr">
        <is>
          <t>Khớp nhóm BA.121</t>
        </is>
      </c>
      <c r="H56" s="7">
        <f>HYPERLINK("tt38://pl3/6", "👉 Mở Phụ lục III - Trang 6")</f>
        <v/>
      </c>
    </row>
    <row r="57">
      <c r="A57" s="4" t="n">
        <v>52</v>
      </c>
      <c r="B57" t="inlineStr">
        <is>
          <t>Công trình</t>
        </is>
      </c>
      <c r="C57" s="4" t="n">
        <v>20</v>
      </c>
      <c r="D57" s="5" t="inlineStr">
        <is>
          <t>BA.12130</t>
        </is>
      </c>
      <c r="E57" t="inlineStr">
        <is>
          <t>Dàn lạnh cassette CSL: 10.0 kW</t>
        </is>
      </c>
      <c r="F57" s="6" t="inlineStr">
        <is>
          <t>Đã khớp TT38</t>
        </is>
      </c>
      <c r="G57" t="inlineStr">
        <is>
          <t>Khớp nhóm BA.121</t>
        </is>
      </c>
      <c r="H57" s="7">
        <f>HYPERLINK("tt38://pl3/6", "👉 Mở Phụ lục III - Trang 6")</f>
        <v/>
      </c>
    </row>
    <row r="58">
      <c r="A58" s="4" t="n">
        <v>53</v>
      </c>
      <c r="B58" t="inlineStr">
        <is>
          <t>Công trình</t>
        </is>
      </c>
      <c r="C58" s="4" t="n">
        <v>21</v>
      </c>
      <c r="D58" s="5" t="inlineStr">
        <is>
          <t>BA.12130</t>
        </is>
      </c>
      <c r="E58" t="inlineStr">
        <is>
          <t>Dàn lạnh cassette CSL: 12.5 kW</t>
        </is>
      </c>
      <c r="F58" s="6" t="inlineStr">
        <is>
          <t>Đã khớp TT38</t>
        </is>
      </c>
      <c r="G58" t="inlineStr">
        <is>
          <t>Khớp nhóm BA.121</t>
        </is>
      </c>
      <c r="H58" s="7">
        <f>HYPERLINK("tt38://pl3/6", "👉 Mở Phụ lục III - Trang 6")</f>
        <v/>
      </c>
    </row>
    <row r="59">
      <c r="A59" s="4" t="n">
        <v>54</v>
      </c>
      <c r="B59" t="inlineStr">
        <is>
          <t>Công trình</t>
        </is>
      </c>
      <c r="C59" s="4" t="n">
        <v>22</v>
      </c>
      <c r="D59" s="5" t="inlineStr">
        <is>
          <t>BA.12110</t>
        </is>
      </c>
      <c r="E59" t="inlineStr">
        <is>
          <t>Dàn lạnh treo tường CSL: 2.5 kW</t>
        </is>
      </c>
      <c r="F59" s="6" t="inlineStr">
        <is>
          <t>Đã khớp TT38</t>
        </is>
      </c>
      <c r="G59" t="inlineStr">
        <is>
          <t>Khớp nhóm BA.121</t>
        </is>
      </c>
      <c r="H59" s="7">
        <f>HYPERLINK("tt38://pl3/6", "👉 Mở Phụ lục III - Trang 6")</f>
        <v/>
      </c>
    </row>
    <row r="60">
      <c r="A60" s="4" t="n">
        <v>55</v>
      </c>
      <c r="B60" t="inlineStr">
        <is>
          <t>Công trình</t>
        </is>
      </c>
      <c r="C60" s="4" t="n">
        <v>23</v>
      </c>
      <c r="D60" s="5" t="inlineStr">
        <is>
          <t>BA.12110</t>
        </is>
      </c>
      <c r="E60" t="inlineStr">
        <is>
          <t>Dàn lạnh treo tường CSL: 5.0 kW</t>
        </is>
      </c>
      <c r="F60" s="6" t="inlineStr">
        <is>
          <t>Đã khớp TT38</t>
        </is>
      </c>
      <c r="G60" t="inlineStr">
        <is>
          <t>Khớp nhóm BA.121</t>
        </is>
      </c>
      <c r="H60" s="7">
        <f>HYPERLINK("tt38://pl3/6", "👉 Mở Phụ lục III - Trang 6")</f>
        <v/>
      </c>
    </row>
    <row r="61">
      <c r="A61" s="4" t="n">
        <v>56</v>
      </c>
      <c r="B61" t="inlineStr">
        <is>
          <t>Công trình</t>
        </is>
      </c>
      <c r="C61" s="4" t="n">
        <v>24</v>
      </c>
      <c r="D61" s="5" t="inlineStr">
        <is>
          <t>BA.12110</t>
        </is>
      </c>
      <c r="E61" t="inlineStr">
        <is>
          <t>Dàn lạnh treo tường CSL: 7.1 kW</t>
        </is>
      </c>
      <c r="F61" s="6" t="inlineStr">
        <is>
          <t>Đã khớp TT38</t>
        </is>
      </c>
      <c r="G61" t="inlineStr">
        <is>
          <t>Khớp nhóm BA.121</t>
        </is>
      </c>
      <c r="H61" s="7">
        <f>HYPERLINK("tt38://pl3/6", "👉 Mở Phụ lục III - Trang 6")</f>
        <v/>
      </c>
    </row>
    <row r="62">
      <c r="A62" s="4" t="n">
        <v>57</v>
      </c>
      <c r="B62" t="inlineStr">
        <is>
          <t>Công trình</t>
        </is>
      </c>
      <c r="C62" s="4" t="n">
        <v>28</v>
      </c>
      <c r="D62" s="5" t="inlineStr">
        <is>
          <t>BB.51001</t>
        </is>
      </c>
      <c r="E62" t="inlineStr">
        <is>
          <t>Ống đồng_D6.4_0.81mm</t>
        </is>
      </c>
      <c r="F62" s="6" t="inlineStr">
        <is>
          <t>Đã khớp TT38</t>
        </is>
      </c>
      <c r="G62" t="inlineStr">
        <is>
          <t>Khớp nhóm BB.5100</t>
        </is>
      </c>
      <c r="H62" s="7">
        <f>HYPERLINK("tt38://pl3/100", "👉 Mở Phụ lục III - Trang 100")</f>
        <v/>
      </c>
    </row>
    <row r="63">
      <c r="A63" s="4" t="n">
        <v>58</v>
      </c>
      <c r="B63" t="inlineStr">
        <is>
          <t>Công trình</t>
        </is>
      </c>
      <c r="C63" s="4" t="n">
        <v>29</v>
      </c>
      <c r="D63" s="5" t="inlineStr">
        <is>
          <t>BB.51002</t>
        </is>
      </c>
      <c r="E63" t="inlineStr">
        <is>
          <t>Ống đồng_D9.5_0.81mm</t>
        </is>
      </c>
      <c r="F63" s="6" t="inlineStr">
        <is>
          <t>Đã khớp TT38</t>
        </is>
      </c>
      <c r="G63" t="inlineStr">
        <is>
          <t>Khớp nhóm BB.5100</t>
        </is>
      </c>
      <c r="H63" s="7">
        <f>HYPERLINK("tt38://pl3/100", "👉 Mở Phụ lục III - Trang 100")</f>
        <v/>
      </c>
    </row>
    <row r="64">
      <c r="A64" s="4" t="n">
        <v>59</v>
      </c>
      <c r="B64" t="inlineStr">
        <is>
          <t>Công trình</t>
        </is>
      </c>
      <c r="C64" s="4" t="n">
        <v>30</v>
      </c>
      <c r="D64" s="5" t="inlineStr">
        <is>
          <t>BB.51003</t>
        </is>
      </c>
      <c r="E64" t="inlineStr">
        <is>
          <t>Ống đồng_D12.7_0.81mm</t>
        </is>
      </c>
      <c r="F64" s="6" t="inlineStr">
        <is>
          <t>Đã khớp TT38</t>
        </is>
      </c>
      <c r="G64" t="inlineStr">
        <is>
          <t>Khớp nhóm BB.5100</t>
        </is>
      </c>
      <c r="H64" s="7">
        <f>HYPERLINK("tt38://pl3/100", "👉 Mở Phụ lục III - Trang 100")</f>
        <v/>
      </c>
    </row>
    <row r="65">
      <c r="A65" s="4" t="n">
        <v>60</v>
      </c>
      <c r="B65" t="inlineStr">
        <is>
          <t>Công trình</t>
        </is>
      </c>
      <c r="C65" s="4" t="n">
        <v>31</v>
      </c>
      <c r="D65" s="5" t="inlineStr">
        <is>
          <t>BB.51004</t>
        </is>
      </c>
      <c r="E65" t="inlineStr">
        <is>
          <t>Ống đồng_D15.9_0.99mm</t>
        </is>
      </c>
      <c r="F65" s="6" t="inlineStr">
        <is>
          <t>Đã khớp TT38</t>
        </is>
      </c>
      <c r="G65" t="inlineStr">
        <is>
          <t>Khớp nhóm BB.5100</t>
        </is>
      </c>
      <c r="H65" s="7">
        <f>HYPERLINK("tt38://pl3/100", "👉 Mở Phụ lục III - Trang 100")</f>
        <v/>
      </c>
    </row>
    <row r="66">
      <c r="A66" s="4" t="n">
        <v>61</v>
      </c>
      <c r="B66" t="inlineStr">
        <is>
          <t>Công trình</t>
        </is>
      </c>
      <c r="C66" s="4" t="n">
        <v>32</v>
      </c>
      <c r="D66" s="5" t="inlineStr">
        <is>
          <t>BB.51005</t>
        </is>
      </c>
      <c r="E66" t="inlineStr">
        <is>
          <t>Ống đồng_D19.1_0.99mm</t>
        </is>
      </c>
      <c r="F66" s="6" t="inlineStr">
        <is>
          <t>Đã khớp TT38</t>
        </is>
      </c>
      <c r="G66" t="inlineStr">
        <is>
          <t>Khớp nhóm BB.5100</t>
        </is>
      </c>
      <c r="H66" s="7">
        <f>HYPERLINK("tt38://pl3/100", "👉 Mở Phụ lục III - Trang 100")</f>
        <v/>
      </c>
    </row>
    <row r="67">
      <c r="A67" s="4" t="n">
        <v>62</v>
      </c>
      <c r="B67" t="inlineStr">
        <is>
          <t>Công trình</t>
        </is>
      </c>
      <c r="C67" s="4" t="n">
        <v>33</v>
      </c>
      <c r="D67" s="5" t="inlineStr">
        <is>
          <t>BB.51006</t>
        </is>
      </c>
      <c r="E67" t="inlineStr">
        <is>
          <t>Ống đồng_D22.2_1.14mm</t>
        </is>
      </c>
      <c r="F67" s="6" t="inlineStr">
        <is>
          <t>Đã khớp TT38</t>
        </is>
      </c>
      <c r="G67" t="inlineStr">
        <is>
          <t>Khớp nhóm BB.5100</t>
        </is>
      </c>
      <c r="H67" s="7">
        <f>HYPERLINK("tt38://pl3/100", "👉 Mở Phụ lục III - Trang 100")</f>
        <v/>
      </c>
    </row>
    <row r="68">
      <c r="A68" s="4" t="n">
        <v>63</v>
      </c>
      <c r="B68" t="inlineStr">
        <is>
          <t>Công trình</t>
        </is>
      </c>
      <c r="C68" s="4" t="n">
        <v>34</v>
      </c>
      <c r="D68" s="5" t="inlineStr">
        <is>
          <t>BB.51008</t>
        </is>
      </c>
      <c r="E68" t="inlineStr">
        <is>
          <t>Ống đồng_D28.6_1.27mm</t>
        </is>
      </c>
      <c r="F68" s="6" t="inlineStr">
        <is>
          <t>Đã khớp TT38</t>
        </is>
      </c>
      <c r="G68" t="inlineStr">
        <is>
          <t>Khớp nhóm BB.5100</t>
        </is>
      </c>
      <c r="H68" s="7">
        <f>HYPERLINK("tt38://pl3/100", "👉 Mở Phụ lục III - Trang 100")</f>
        <v/>
      </c>
    </row>
    <row r="69">
      <c r="A69" s="4" t="n">
        <v>64</v>
      </c>
      <c r="B69" t="inlineStr">
        <is>
          <t>Công trình</t>
        </is>
      </c>
      <c r="C69" s="4" t="n">
        <v>35</v>
      </c>
      <c r="D69" s="5" t="inlineStr">
        <is>
          <t>BB.51010</t>
        </is>
      </c>
      <c r="E69" t="inlineStr">
        <is>
          <t>Ống đồng_D34.9_1.40mm</t>
        </is>
      </c>
      <c r="F69" s="6" t="inlineStr">
        <is>
          <t>Đã khớp TT38</t>
        </is>
      </c>
      <c r="G69" t="inlineStr">
        <is>
          <t>Khớp nhóm BB.510</t>
        </is>
      </c>
      <c r="H69" s="7">
        <f>HYPERLINK("tt38://pl3/100", "👉 Mở Phụ lục III - Trang 100")</f>
        <v/>
      </c>
    </row>
    <row r="70">
      <c r="A70" s="4" t="n">
        <v>65</v>
      </c>
      <c r="B70" t="inlineStr">
        <is>
          <t>Công trình</t>
        </is>
      </c>
      <c r="C70" s="4" t="n">
        <v>36</v>
      </c>
      <c r="D70" s="5" t="inlineStr">
        <is>
          <t>BB.51012</t>
        </is>
      </c>
      <c r="E70" t="inlineStr">
        <is>
          <t>Ống đồng_D41.3_1.53mm</t>
        </is>
      </c>
      <c r="F70" s="6" t="inlineStr">
        <is>
          <t>Đã khớp TT38</t>
        </is>
      </c>
      <c r="G70" t="inlineStr">
        <is>
          <t>Khớp nhóm BB.510</t>
        </is>
      </c>
      <c r="H70" s="7">
        <f>HYPERLINK("tt38://pl3/100", "👉 Mở Phụ lục III - Trang 100")</f>
        <v/>
      </c>
    </row>
    <row r="71">
      <c r="A71" s="4" t="n">
        <v>66</v>
      </c>
      <c r="B71" t="inlineStr">
        <is>
          <t>Công trình</t>
        </is>
      </c>
      <c r="C71" s="4" t="n">
        <v>37</v>
      </c>
      <c r="D71" s="5" t="inlineStr">
        <is>
          <t>BC.14101</t>
        </is>
      </c>
      <c r="E71" t="inlineStr">
        <is>
          <t>Bảo ôn ống đồng D6.4 dày 19mm</t>
        </is>
      </c>
      <c r="F71" s="6" t="inlineStr">
        <is>
          <t>Đã khớp TT38</t>
        </is>
      </c>
      <c r="G71" t="inlineStr">
        <is>
          <t>Khớp nhóm BC.1410</t>
        </is>
      </c>
      <c r="H71" s="7">
        <f>HYPERLINK("tt38://pl3/212", "👉 Mở Phụ lục III - Trang 212")</f>
        <v/>
      </c>
    </row>
    <row r="72">
      <c r="A72" s="4" t="n">
        <v>67</v>
      </c>
      <c r="B72" t="inlineStr">
        <is>
          <t>Công trình</t>
        </is>
      </c>
      <c r="C72" s="4" t="n">
        <v>38</v>
      </c>
      <c r="D72" s="5" t="inlineStr">
        <is>
          <t>BC.14102</t>
        </is>
      </c>
      <c r="E72" t="inlineStr">
        <is>
          <t>Bảo ôn ống đồng D9.5 dày 19mm</t>
        </is>
      </c>
      <c r="F72" s="6" t="inlineStr">
        <is>
          <t>Đã khớp TT38</t>
        </is>
      </c>
      <c r="G72" t="inlineStr">
        <is>
          <t>Khớp nhóm BC.1410</t>
        </is>
      </c>
      <c r="H72" s="7">
        <f>HYPERLINK("tt38://pl3/212", "👉 Mở Phụ lục III - Trang 212")</f>
        <v/>
      </c>
    </row>
    <row r="73">
      <c r="A73" s="4" t="n">
        <v>68</v>
      </c>
      <c r="B73" t="inlineStr">
        <is>
          <t>Công trình</t>
        </is>
      </c>
      <c r="C73" s="4" t="n">
        <v>39</v>
      </c>
      <c r="D73" s="5" t="inlineStr">
        <is>
          <t>BC.14103</t>
        </is>
      </c>
      <c r="E73" t="inlineStr">
        <is>
          <t>Bảo ôn ống đồng D12.7 dày 19mm</t>
        </is>
      </c>
      <c r="F73" s="6" t="inlineStr">
        <is>
          <t>Đã khớp TT38</t>
        </is>
      </c>
      <c r="G73" t="inlineStr">
        <is>
          <t>Khớp nhóm BC.1410</t>
        </is>
      </c>
      <c r="H73" s="7">
        <f>HYPERLINK("tt38://pl3/212", "👉 Mở Phụ lục III - Trang 212")</f>
        <v/>
      </c>
    </row>
    <row r="74">
      <c r="A74" s="4" t="n">
        <v>69</v>
      </c>
      <c r="B74" t="inlineStr">
        <is>
          <t>Công trình</t>
        </is>
      </c>
      <c r="C74" s="4" t="n">
        <v>40</v>
      </c>
      <c r="D74" s="5" t="inlineStr">
        <is>
          <t>BC.14104</t>
        </is>
      </c>
      <c r="E74" t="inlineStr">
        <is>
          <t>Bảo ôn ống đồng D15.9 dày 19mm</t>
        </is>
      </c>
      <c r="F74" s="6" t="inlineStr">
        <is>
          <t>Đã khớp TT38</t>
        </is>
      </c>
      <c r="G74" t="inlineStr">
        <is>
          <t>Khớp nhóm BC.1410</t>
        </is>
      </c>
      <c r="H74" s="7">
        <f>HYPERLINK("tt38://pl3/212", "👉 Mở Phụ lục III - Trang 212")</f>
        <v/>
      </c>
    </row>
    <row r="75">
      <c r="A75" s="4" t="n">
        <v>70</v>
      </c>
      <c r="B75" t="inlineStr">
        <is>
          <t>Công trình</t>
        </is>
      </c>
      <c r="C75" s="4" t="n">
        <v>41</v>
      </c>
      <c r="D75" s="5" t="inlineStr">
        <is>
          <t>BC.14105</t>
        </is>
      </c>
      <c r="E75" t="inlineStr">
        <is>
          <t>Bảo ôn ống đồng D19.1 dày 19mm</t>
        </is>
      </c>
      <c r="F75" s="6" t="inlineStr">
        <is>
          <t>Đã khớp TT38</t>
        </is>
      </c>
      <c r="G75" t="inlineStr">
        <is>
          <t>Khớp nhóm BC.1410</t>
        </is>
      </c>
      <c r="H75" s="7">
        <f>HYPERLINK("tt38://pl3/212", "👉 Mở Phụ lục III - Trang 212")</f>
        <v/>
      </c>
    </row>
    <row r="76">
      <c r="A76" s="4" t="n">
        <v>71</v>
      </c>
      <c r="B76" t="inlineStr">
        <is>
          <t>Công trình</t>
        </is>
      </c>
      <c r="C76" s="4" t="n">
        <v>42</v>
      </c>
      <c r="D76" s="5" t="inlineStr">
        <is>
          <t>BC.14106</t>
        </is>
      </c>
      <c r="E76" t="inlineStr">
        <is>
          <t>Bảo ôn ống đồng D22.2 dày 19mm</t>
        </is>
      </c>
      <c r="F76" s="6" t="inlineStr">
        <is>
          <t>Đã khớp TT38</t>
        </is>
      </c>
      <c r="G76" t="inlineStr">
        <is>
          <t>Khớp nhóm BC.1410</t>
        </is>
      </c>
      <c r="H76" s="7">
        <f>HYPERLINK("tt38://pl3/212", "👉 Mở Phụ lục III - Trang 212")</f>
        <v/>
      </c>
    </row>
    <row r="77">
      <c r="A77" s="4" t="n">
        <v>72</v>
      </c>
      <c r="B77" t="inlineStr">
        <is>
          <t>Công trình</t>
        </is>
      </c>
      <c r="C77" s="4" t="n">
        <v>43</v>
      </c>
      <c r="D77" s="5" t="inlineStr">
        <is>
          <t>BC.14108</t>
        </is>
      </c>
      <c r="E77" t="inlineStr">
        <is>
          <t>Bảo ôn ống đồng D28.6 dày 19mm</t>
        </is>
      </c>
      <c r="F77" s="6" t="inlineStr">
        <is>
          <t>Đã khớp TT38</t>
        </is>
      </c>
      <c r="G77" t="inlineStr">
        <is>
          <t>Khớp nhóm BC.1410</t>
        </is>
      </c>
      <c r="H77" s="7">
        <f>HYPERLINK("tt38://pl3/212", "👉 Mở Phụ lục III - Trang 212")</f>
        <v/>
      </c>
    </row>
    <row r="78">
      <c r="A78" s="4" t="n">
        <v>73</v>
      </c>
      <c r="B78" t="inlineStr">
        <is>
          <t>Công trình</t>
        </is>
      </c>
      <c r="C78" s="4" t="n">
        <v>44</v>
      </c>
      <c r="D78" s="5" t="inlineStr">
        <is>
          <t>BC.14110</t>
        </is>
      </c>
      <c r="E78" t="inlineStr">
        <is>
          <t>Bảo ôn ống đồng D34.9 dày 19mm</t>
        </is>
      </c>
      <c r="F78" s="6" t="inlineStr">
        <is>
          <t>Đã khớp TT38</t>
        </is>
      </c>
      <c r="G78" t="inlineStr">
        <is>
          <t>Khớp nhóm BC.141</t>
        </is>
      </c>
      <c r="H78" s="7">
        <f>HYPERLINK("tt38://pl3/212", "👉 Mở Phụ lục III - Trang 212")</f>
        <v/>
      </c>
    </row>
    <row r="79">
      <c r="A79" s="4" t="n">
        <v>74</v>
      </c>
      <c r="B79" t="inlineStr">
        <is>
          <t>Công trình</t>
        </is>
      </c>
      <c r="C79" s="4" t="n">
        <v>45</v>
      </c>
      <c r="D79" s="5" t="inlineStr">
        <is>
          <t>BC.14112</t>
        </is>
      </c>
      <c r="E79" t="inlineStr">
        <is>
          <t>Bảo ôn ống đồng D41.3 dày 19mm</t>
        </is>
      </c>
      <c r="F79" s="6" t="inlineStr">
        <is>
          <t>Đã khớp TT38</t>
        </is>
      </c>
      <c r="G79" t="inlineStr">
        <is>
          <t>Khớp nhóm BC.141</t>
        </is>
      </c>
      <c r="H79" s="7">
        <f>HYPERLINK("tt38://pl3/212", "👉 Mở Phụ lục III - Trang 212")</f>
        <v/>
      </c>
    </row>
    <row r="80">
      <c r="A80" s="4" t="n">
        <v>75</v>
      </c>
      <c r="B80" t="inlineStr">
        <is>
          <t>Công trình</t>
        </is>
      </c>
      <c r="C80" s="4" t="n">
        <v>48</v>
      </c>
      <c r="D80" s="5" t="inlineStr">
        <is>
          <t>BB.41101</t>
        </is>
      </c>
      <c r="E80" t="inlineStr">
        <is>
          <t>Ống uPVC_D21</t>
        </is>
      </c>
      <c r="F80" s="6" t="inlineStr">
        <is>
          <t>Đã khớp TT38</t>
        </is>
      </c>
      <c r="G80" t="inlineStr">
        <is>
          <t>Khớp nhóm BB.4110</t>
        </is>
      </c>
      <c r="H80" s="7">
        <f>HYPERLINK("tt38://pl3/71", "👉 Mở Phụ lục III - Trang 71")</f>
        <v/>
      </c>
    </row>
    <row r="81">
      <c r="A81" s="4" t="n">
        <v>76</v>
      </c>
      <c r="B81" t="inlineStr">
        <is>
          <t>Công trình</t>
        </is>
      </c>
      <c r="C81" s="4" t="n">
        <v>49</v>
      </c>
      <c r="D81" s="5" t="inlineStr">
        <is>
          <t>BB.41102</t>
        </is>
      </c>
      <c r="E81" t="inlineStr">
        <is>
          <t>Ống uPVC_D27</t>
        </is>
      </c>
      <c r="F81" s="6" t="inlineStr">
        <is>
          <t>Đã khớp TT38</t>
        </is>
      </c>
      <c r="G81" t="inlineStr">
        <is>
          <t>Khớp nhóm BB.4110</t>
        </is>
      </c>
      <c r="H81" s="7">
        <f>HYPERLINK("tt38://pl3/71", "👉 Mở Phụ lục III - Trang 71")</f>
        <v/>
      </c>
    </row>
    <row r="82">
      <c r="A82" s="4" t="n">
        <v>77</v>
      </c>
      <c r="B82" t="inlineStr">
        <is>
          <t>Công trình</t>
        </is>
      </c>
      <c r="C82" s="4" t="n">
        <v>50</v>
      </c>
      <c r="D82" s="5" t="inlineStr">
        <is>
          <t>BB.41103</t>
        </is>
      </c>
      <c r="E82" t="inlineStr">
        <is>
          <t>Ống uPVC_D34</t>
        </is>
      </c>
      <c r="F82" s="6" t="inlineStr">
        <is>
          <t>Đã khớp TT38</t>
        </is>
      </c>
      <c r="G82" t="inlineStr">
        <is>
          <t>Khớp nhóm BB.4110</t>
        </is>
      </c>
      <c r="H82" s="7">
        <f>HYPERLINK("tt38://pl3/71", "👉 Mở Phụ lục III - Trang 71")</f>
        <v/>
      </c>
    </row>
    <row r="83">
      <c r="A83" s="4" t="n">
        <v>78</v>
      </c>
      <c r="B83" t="inlineStr">
        <is>
          <t>Công trình</t>
        </is>
      </c>
      <c r="C83" s="4" t="n">
        <v>51</v>
      </c>
      <c r="D83" s="5" t="inlineStr">
        <is>
          <t>BB.41104</t>
        </is>
      </c>
      <c r="E83" t="inlineStr">
        <is>
          <t>Ống uPVC_D42</t>
        </is>
      </c>
      <c r="F83" s="6" t="inlineStr">
        <is>
          <t>Đã khớp TT38</t>
        </is>
      </c>
      <c r="G83" t="inlineStr">
        <is>
          <t>Khớp nhóm BB.4110</t>
        </is>
      </c>
      <c r="H83" s="7">
        <f>HYPERLINK("tt38://pl3/71", "👉 Mở Phụ lục III - Trang 71")</f>
        <v/>
      </c>
    </row>
    <row r="84">
      <c r="A84" s="4" t="n">
        <v>79</v>
      </c>
      <c r="B84" t="inlineStr">
        <is>
          <t>Công trình</t>
        </is>
      </c>
      <c r="C84" s="4" t="n">
        <v>52</v>
      </c>
      <c r="D84" s="5" t="inlineStr">
        <is>
          <t>BB.41105</t>
        </is>
      </c>
      <c r="E84" t="inlineStr">
        <is>
          <t>Ống uPVC_D48</t>
        </is>
      </c>
      <c r="F84" s="6" t="inlineStr">
        <is>
          <t>Đã khớp TT38</t>
        </is>
      </c>
      <c r="G84" t="inlineStr">
        <is>
          <t>Khớp nhóm BB.4110</t>
        </is>
      </c>
      <c r="H84" s="7">
        <f>HYPERLINK("tt38://pl3/71", "👉 Mở Phụ lục III - Trang 71")</f>
        <v/>
      </c>
    </row>
    <row r="85">
      <c r="A85" s="4" t="n">
        <v>80</v>
      </c>
      <c r="B85" t="inlineStr">
        <is>
          <t>Công trình</t>
        </is>
      </c>
      <c r="C85" s="4" t="n">
        <v>53</v>
      </c>
      <c r="D85" s="5" t="inlineStr">
        <is>
          <t>BC.13102</t>
        </is>
      </c>
      <c r="E85" t="inlineStr">
        <is>
          <t>Bảo ôn ống uPVC D21 dày 13mm</t>
        </is>
      </c>
      <c r="F85" s="6" t="inlineStr">
        <is>
          <t>Đã khớp TT38</t>
        </is>
      </c>
      <c r="G85" t="inlineStr">
        <is>
          <t>Khớp nhóm BC.1310</t>
        </is>
      </c>
      <c r="H85" s="7">
        <f>HYPERLINK("tt38://pl3/204", "👉 Mở Phụ lục III - Trang 204")</f>
        <v/>
      </c>
    </row>
    <row r="86">
      <c r="A86" s="4" t="n">
        <v>81</v>
      </c>
      <c r="B86" t="inlineStr">
        <is>
          <t>Công trình</t>
        </is>
      </c>
      <c r="C86" s="4" t="n">
        <v>54</v>
      </c>
      <c r="D86" s="5" t="inlineStr">
        <is>
          <t>BC.13103</t>
        </is>
      </c>
      <c r="E86" t="inlineStr">
        <is>
          <t>Bảo ôn ống uPVC D27 dày 13mm</t>
        </is>
      </c>
      <c r="F86" s="6" t="inlineStr">
        <is>
          <t>Đã khớp TT38</t>
        </is>
      </c>
      <c r="G86" t="inlineStr">
        <is>
          <t>Khớp nhóm BC.1310</t>
        </is>
      </c>
      <c r="H86" s="7">
        <f>HYPERLINK("tt38://pl3/204", "👉 Mở Phụ lục III - Trang 204")</f>
        <v/>
      </c>
    </row>
    <row r="87">
      <c r="A87" s="4" t="n">
        <v>82</v>
      </c>
      <c r="B87" t="inlineStr">
        <is>
          <t>Công trình</t>
        </is>
      </c>
      <c r="C87" s="4" t="n">
        <v>55</v>
      </c>
      <c r="D87" s="5" t="inlineStr">
        <is>
          <t>BC.13104</t>
        </is>
      </c>
      <c r="E87" t="inlineStr">
        <is>
          <t>Bảo ôn ống uPVC D34 dày 13mm</t>
        </is>
      </c>
      <c r="F87" s="6" t="inlineStr">
        <is>
          <t>Đã khớp TT38</t>
        </is>
      </c>
      <c r="G87" t="inlineStr">
        <is>
          <t>Khớp nhóm BC.1310</t>
        </is>
      </c>
      <c r="H87" s="7">
        <f>HYPERLINK("tt38://pl3/204", "👉 Mở Phụ lục III - Trang 204")</f>
        <v/>
      </c>
    </row>
    <row r="88">
      <c r="A88" s="4" t="n">
        <v>83</v>
      </c>
      <c r="B88" t="inlineStr">
        <is>
          <t>Công trình</t>
        </is>
      </c>
      <c r="C88" s="4" t="n">
        <v>56</v>
      </c>
      <c r="D88" s="5" t="inlineStr">
        <is>
          <t>BC.13105</t>
        </is>
      </c>
      <c r="E88" t="inlineStr">
        <is>
          <t>Bảo ôn ống uPVC D42 dày 13mm</t>
        </is>
      </c>
      <c r="F88" s="6" t="inlineStr">
        <is>
          <t>Đã khớp TT38</t>
        </is>
      </c>
      <c r="G88" t="inlineStr">
        <is>
          <t>Khớp nhóm BC.1310</t>
        </is>
      </c>
      <c r="H88" s="7">
        <f>HYPERLINK("tt38://pl3/204", "👉 Mở Phụ lục III - Trang 204")</f>
        <v/>
      </c>
    </row>
    <row r="89">
      <c r="A89" s="4" t="n">
        <v>84</v>
      </c>
      <c r="B89" t="inlineStr">
        <is>
          <t>Công trình</t>
        </is>
      </c>
      <c r="C89" s="4" t="n">
        <v>57</v>
      </c>
      <c r="D89" s="5" t="inlineStr">
        <is>
          <t>BC.13106</t>
        </is>
      </c>
      <c r="E89" t="inlineStr">
        <is>
          <t>Bảo ôn ống uPVC D48 dày 13mm</t>
        </is>
      </c>
      <c r="F89" s="6" t="inlineStr">
        <is>
          <t>Đã khớp TT38</t>
        </is>
      </c>
      <c r="G89" t="inlineStr">
        <is>
          <t>Khớp nhóm BC.1310</t>
        </is>
      </c>
      <c r="H89" s="7">
        <f>HYPERLINK("tt38://pl3/204", "👉 Mở Phụ lục III - Trang 204")</f>
        <v/>
      </c>
    </row>
    <row r="90">
      <c r="A90" s="4" t="n">
        <v>85</v>
      </c>
      <c r="B90" t="inlineStr">
        <is>
          <t>Công trình</t>
        </is>
      </c>
      <c r="C90" s="4" t="n">
        <v>60</v>
      </c>
      <c r="D90" s="5" t="inlineStr">
        <is>
          <t>BA.16201</t>
        </is>
      </c>
      <c r="E90" t="inlineStr">
        <is>
          <t>Dây điện_Cu/PVC_2x(1x0.75)mm2</t>
        </is>
      </c>
      <c r="F90" s="6" t="inlineStr">
        <is>
          <t>Đã khớp TT38</t>
        </is>
      </c>
      <c r="G90" t="inlineStr">
        <is>
          <t>Khớp nhóm BA.1620</t>
        </is>
      </c>
      <c r="H90" s="7">
        <f>HYPERLINK("tt38://pl3/14", "👉 Mở Phụ lục III - Trang 14")</f>
        <v/>
      </c>
    </row>
    <row r="91">
      <c r="A91" s="4" t="n">
        <v>86</v>
      </c>
      <c r="B91" t="inlineStr">
        <is>
          <t>Công trình</t>
        </is>
      </c>
      <c r="C91" s="4" t="n">
        <v>61</v>
      </c>
      <c r="D91" s="5" t="inlineStr">
        <is>
          <t>BA.16202</t>
        </is>
      </c>
      <c r="E91" t="inlineStr">
        <is>
          <t>Dây điện_Cu/PVC_2x(1x1.5)mm2</t>
        </is>
      </c>
      <c r="F91" s="6" t="inlineStr">
        <is>
          <t>Đã khớp TT38</t>
        </is>
      </c>
      <c r="G91" t="inlineStr">
        <is>
          <t>Khớp nhóm BA.1620</t>
        </is>
      </c>
      <c r="H91" s="7">
        <f>HYPERLINK("tt38://pl3/14", "👉 Mở Phụ lục III - Trang 14")</f>
        <v/>
      </c>
    </row>
    <row r="92">
      <c r="A92" s="4" t="n">
        <v>87</v>
      </c>
      <c r="B92" t="inlineStr">
        <is>
          <t>Công trình</t>
        </is>
      </c>
      <c r="C92" s="4" t="n">
        <v>62</v>
      </c>
      <c r="D92" s="5" t="inlineStr">
        <is>
          <t>BA.16202</t>
        </is>
      </c>
      <c r="E92" t="inlineStr">
        <is>
          <t>Dây điện_Cu/PVC_2x(1x2.5)mm2</t>
        </is>
      </c>
      <c r="F92" s="6" t="inlineStr">
        <is>
          <t>Đã khớp TT38</t>
        </is>
      </c>
      <c r="G92" t="inlineStr">
        <is>
          <t>Khớp nhóm BA.1620</t>
        </is>
      </c>
      <c r="H92" s="7">
        <f>HYPERLINK("tt38://pl3/14", "👉 Mở Phụ lục III - Trang 14")</f>
        <v/>
      </c>
    </row>
    <row r="93">
      <c r="A93" s="4" t="n">
        <v>88</v>
      </c>
      <c r="B93" t="inlineStr">
        <is>
          <t>Công trình</t>
        </is>
      </c>
      <c r="C93" s="4" t="n">
        <v>63</v>
      </c>
      <c r="D93" s="5" t="inlineStr">
        <is>
          <t>BA.16202</t>
        </is>
      </c>
      <c r="E93" t="inlineStr">
        <is>
          <t>Dây điện_Cu/PVC_2x(1x4.0)mm2</t>
        </is>
      </c>
      <c r="F93" s="6" t="inlineStr">
        <is>
          <t>Đã khớp TT38</t>
        </is>
      </c>
      <c r="G93" t="inlineStr">
        <is>
          <t>Khớp nhóm BA.1620</t>
        </is>
      </c>
      <c r="H93" s="7">
        <f>HYPERLINK("tt38://pl3/14", "👉 Mở Phụ lục III - Trang 14")</f>
        <v/>
      </c>
    </row>
    <row r="94">
      <c r="A94" s="4" t="n">
        <v>89</v>
      </c>
      <c r="B94" t="inlineStr">
        <is>
          <t>HaoPhiVatTu</t>
        </is>
      </c>
      <c r="C94" s="4" t="n">
        <v>6</v>
      </c>
      <c r="D94" s="5" t="inlineStr">
        <is>
          <t>MD.12002</t>
        </is>
      </c>
      <c r="E94" t="inlineStr">
        <is>
          <t>Dàn nóng điều hòa VRF, Multi</t>
        </is>
      </c>
      <c r="F94" s="6" t="inlineStr">
        <is>
          <t>Đã khớp TT38</t>
        </is>
      </c>
      <c r="G94" t="inlineStr">
        <is>
          <t>Khớp nhóm MD.1200</t>
        </is>
      </c>
      <c r="H94" s="7">
        <f>HYPERLINK("tt38://pl5/37", "👉 Mở Phụ lục IV - Trang 37")</f>
        <v/>
      </c>
    </row>
    <row r="95">
      <c r="A95" s="4" t="n">
        <v>90</v>
      </c>
      <c r="B95" t="inlineStr">
        <is>
          <t>HaoPhiVatTu</t>
        </is>
      </c>
      <c r="C95" s="4" t="n">
        <v>26</v>
      </c>
      <c r="D95" s="5" t="inlineStr">
        <is>
          <t>BA.12130</t>
        </is>
      </c>
      <c r="E95" t="inlineStr">
        <is>
          <t>Dàn lạnh âm trần nối ống gió, CSL: 7.1 kW</t>
        </is>
      </c>
      <c r="F95" s="6" t="inlineStr">
        <is>
          <t>Đã khớp TT38</t>
        </is>
      </c>
      <c r="G95" t="inlineStr">
        <is>
          <t>Khớp nhóm BA.121</t>
        </is>
      </c>
      <c r="H95" s="7">
        <f>HYPERLINK("tt38://pl3/6", "👉 Mở Phụ lục III - Trang 6")</f>
        <v/>
      </c>
    </row>
    <row r="96">
      <c r="A96" s="4" t="n">
        <v>91</v>
      </c>
      <c r="B96" t="inlineStr">
        <is>
          <t>HaoPhiVatTu</t>
        </is>
      </c>
      <c r="C96" s="4" t="n">
        <v>34</v>
      </c>
      <c r="D96" s="5" t="inlineStr">
        <is>
          <t>BA.12130</t>
        </is>
      </c>
      <c r="E96" t="inlineStr">
        <is>
          <t>Dàn lạnh cassette, CSL: 9.0 kW</t>
        </is>
      </c>
      <c r="F96" s="6" t="inlineStr">
        <is>
          <t>Đã khớp TT38</t>
        </is>
      </c>
      <c r="G96" t="inlineStr">
        <is>
          <t>Khớp nhóm BA.121</t>
        </is>
      </c>
      <c r="H96" s="7">
        <f>HYPERLINK("tt38://pl3/6", "👉 Mở Phụ lục III - Trang 6")</f>
        <v/>
      </c>
    </row>
    <row r="97">
      <c r="A97" s="4" t="n">
        <v>92</v>
      </c>
      <c r="B97" t="inlineStr">
        <is>
          <t>HaoPhiVatTu</t>
        </is>
      </c>
      <c r="C97" s="4" t="n">
        <v>42</v>
      </c>
      <c r="D97" s="5" t="inlineStr">
        <is>
          <t>BA.12130</t>
        </is>
      </c>
      <c r="E97" t="inlineStr">
        <is>
          <t>Dàn lạnh cassette, CSL: 11.2 kW</t>
        </is>
      </c>
      <c r="F97" s="6" t="inlineStr">
        <is>
          <t>Đã khớp TT38</t>
        </is>
      </c>
      <c r="G97" t="inlineStr">
        <is>
          <t>Khớp nhóm BA.121</t>
        </is>
      </c>
      <c r="H97" s="7">
        <f>HYPERLINK("tt38://pl3/6", "👉 Mở Phụ lục III - Trang 6")</f>
        <v/>
      </c>
    </row>
    <row r="98">
      <c r="A98" s="4" t="n">
        <v>93</v>
      </c>
      <c r="B98" t="inlineStr">
        <is>
          <t>HaoPhiVatTu</t>
        </is>
      </c>
      <c r="C98" s="4" t="n">
        <v>50</v>
      </c>
      <c r="D98" s="5" t="inlineStr">
        <is>
          <t>BA.12130</t>
        </is>
      </c>
      <c r="E98" t="inlineStr">
        <is>
          <t>Dàn lạnh cassette, CSL: 14.0 kW</t>
        </is>
      </c>
      <c r="F98" s="6" t="inlineStr">
        <is>
          <t>Đã khớp TT38</t>
        </is>
      </c>
      <c r="G98" t="inlineStr">
        <is>
          <t>Khớp nhóm BA.121</t>
        </is>
      </c>
      <c r="H98" s="7">
        <f>HYPERLINK("tt38://pl3/6", "👉 Mở Phụ lục III - Trang 6")</f>
        <v/>
      </c>
    </row>
    <row r="99">
      <c r="A99" s="4" t="n">
        <v>94</v>
      </c>
      <c r="B99" t="inlineStr">
        <is>
          <t>HaoPhiVatTu</t>
        </is>
      </c>
      <c r="C99" s="4" t="n">
        <v>58</v>
      </c>
      <c r="D99" s="5" t="inlineStr">
        <is>
          <t>BA.12130</t>
        </is>
      </c>
      <c r="E99" t="inlineStr">
        <is>
          <t>Dàn lạnh âm trần nối ống gió CSL: 7.1 kW</t>
        </is>
      </c>
      <c r="F99" s="6" t="inlineStr">
        <is>
          <t>Đã khớp TT38</t>
        </is>
      </c>
      <c r="G99" t="inlineStr">
        <is>
          <t>Khớp nhóm BA.121</t>
        </is>
      </c>
      <c r="H99" s="7">
        <f>HYPERLINK("tt38://pl3/6", "👉 Mở Phụ lục III - Trang 6")</f>
        <v/>
      </c>
    </row>
    <row r="100">
      <c r="A100" s="4" t="n">
        <v>95</v>
      </c>
      <c r="B100" t="inlineStr">
        <is>
          <t>HaoPhiVatTu</t>
        </is>
      </c>
      <c r="C100" s="4" t="n">
        <v>66</v>
      </c>
      <c r="D100" s="5" t="inlineStr">
        <is>
          <t>BA.12130</t>
        </is>
      </c>
      <c r="E100" t="inlineStr">
        <is>
          <t>Dàn lạnh cassette CSL: 7.1 kW</t>
        </is>
      </c>
      <c r="F100" s="6" t="inlineStr">
        <is>
          <t>Đã khớp TT38</t>
        </is>
      </c>
      <c r="G100" t="inlineStr">
        <is>
          <t>Khớp nhóm BA.121</t>
        </is>
      </c>
      <c r="H100" s="7">
        <f>HYPERLINK("tt38://pl3/6", "👉 Mở Phụ lục III - Trang 6")</f>
        <v/>
      </c>
    </row>
    <row r="101">
      <c r="A101" s="4" t="n">
        <v>96</v>
      </c>
      <c r="B101" t="inlineStr">
        <is>
          <t>HaoPhiVatTu</t>
        </is>
      </c>
      <c r="C101" s="4" t="n">
        <v>74</v>
      </c>
      <c r="D101" s="5" t="inlineStr">
        <is>
          <t>BA.12130</t>
        </is>
      </c>
      <c r="E101" t="inlineStr">
        <is>
          <t>Dàn lạnh cassette CSL: 10.0 kW</t>
        </is>
      </c>
      <c r="F101" s="6" t="inlineStr">
        <is>
          <t>Đã khớp TT38</t>
        </is>
      </c>
      <c r="G101" t="inlineStr">
        <is>
          <t>Khớp nhóm BA.121</t>
        </is>
      </c>
      <c r="H101" s="7">
        <f>HYPERLINK("tt38://pl3/6", "👉 Mở Phụ lục III - Trang 6")</f>
        <v/>
      </c>
    </row>
    <row r="102">
      <c r="A102" s="4" t="n">
        <v>97</v>
      </c>
      <c r="B102" t="inlineStr">
        <is>
          <t>HaoPhiVatTu</t>
        </is>
      </c>
      <c r="C102" s="4" t="n">
        <v>82</v>
      </c>
      <c r="D102" s="5" t="inlineStr">
        <is>
          <t>BA.12130</t>
        </is>
      </c>
      <c r="E102" t="inlineStr">
        <is>
          <t>Dàn lạnh cassette CSL: 12.5 kW</t>
        </is>
      </c>
      <c r="F102" s="6" t="inlineStr">
        <is>
          <t>Đã khớp TT38</t>
        </is>
      </c>
      <c r="G102" t="inlineStr">
        <is>
          <t>Khớp nhóm BA.121</t>
        </is>
      </c>
      <c r="H102" s="7">
        <f>HYPERLINK("tt38://pl3/6", "👉 Mở Phụ lục III - Trang 6")</f>
        <v/>
      </c>
    </row>
    <row r="103">
      <c r="A103" s="4" t="n">
        <v>98</v>
      </c>
      <c r="B103" t="inlineStr">
        <is>
          <t>HaoPhiVatTu</t>
        </is>
      </c>
      <c r="C103" s="4" t="n">
        <v>90</v>
      </c>
      <c r="D103" s="5" t="inlineStr">
        <is>
          <t>BA.12110</t>
        </is>
      </c>
      <c r="E103" t="inlineStr">
        <is>
          <t>Dàn lạnh treo tường CSL: 2.5 kW</t>
        </is>
      </c>
      <c r="F103" s="6" t="inlineStr">
        <is>
          <t>Đã khớp TT38</t>
        </is>
      </c>
      <c r="G103" t="inlineStr">
        <is>
          <t>Khớp nhóm BA.121</t>
        </is>
      </c>
      <c r="H103" s="7">
        <f>HYPERLINK("tt38://pl3/6", "👉 Mở Phụ lục III - Trang 6")</f>
        <v/>
      </c>
    </row>
    <row r="104">
      <c r="A104" s="4" t="n">
        <v>99</v>
      </c>
      <c r="B104" t="inlineStr">
        <is>
          <t>HaoPhiVatTu</t>
        </is>
      </c>
      <c r="C104" s="4" t="n">
        <v>98</v>
      </c>
      <c r="D104" s="5" t="inlineStr">
        <is>
          <t>BA.12110</t>
        </is>
      </c>
      <c r="E104" t="inlineStr">
        <is>
          <t>Dàn lạnh treo tường CSL: 5.0 kW</t>
        </is>
      </c>
      <c r="F104" s="6" t="inlineStr">
        <is>
          <t>Đã khớp TT38</t>
        </is>
      </c>
      <c r="G104" t="inlineStr">
        <is>
          <t>Khớp nhóm BA.121</t>
        </is>
      </c>
      <c r="H104" s="7">
        <f>HYPERLINK("tt38://pl3/6", "👉 Mở Phụ lục III - Trang 6")</f>
        <v/>
      </c>
    </row>
    <row r="105">
      <c r="A105" s="4" t="n">
        <v>100</v>
      </c>
      <c r="B105" t="inlineStr">
        <is>
          <t>HaoPhiVatTu</t>
        </is>
      </c>
      <c r="C105" s="4" t="n">
        <v>106</v>
      </c>
      <c r="D105" s="5" t="inlineStr">
        <is>
          <t>BA.12110</t>
        </is>
      </c>
      <c r="E105" t="inlineStr">
        <is>
          <t>Dàn lạnh treo tường CSL: 7.1 kW</t>
        </is>
      </c>
      <c r="F105" s="6" t="inlineStr">
        <is>
          <t>Đã khớp TT38</t>
        </is>
      </c>
      <c r="G105" t="inlineStr">
        <is>
          <t>Khớp nhóm BA.121</t>
        </is>
      </c>
      <c r="H105" s="7">
        <f>HYPERLINK("tt38://pl3/6", "👉 Mở Phụ lục III - Trang 6")</f>
        <v/>
      </c>
    </row>
    <row r="106">
      <c r="A106" s="4" t="n">
        <v>101</v>
      </c>
      <c r="B106" t="inlineStr">
        <is>
          <t>HaoPhiVatTu</t>
        </is>
      </c>
      <c r="C106" s="4" t="n">
        <v>120</v>
      </c>
      <c r="D106" s="5" t="inlineStr">
        <is>
          <t>BB.51001</t>
        </is>
      </c>
      <c r="E106" t="inlineStr">
        <is>
          <t>Ống đồng_D6.4_0.81mm</t>
        </is>
      </c>
      <c r="F106" s="6" t="inlineStr">
        <is>
          <t>Đã khớp TT38</t>
        </is>
      </c>
      <c r="G106" t="inlineStr">
        <is>
          <t>Khớp nhóm BB.5100</t>
        </is>
      </c>
      <c r="H106" s="7">
        <f>HYPERLINK("tt38://pl3/100", "👉 Mở Phụ lục III - Trang 100")</f>
        <v/>
      </c>
    </row>
    <row r="107">
      <c r="A107" s="4" t="n">
        <v>102</v>
      </c>
      <c r="B107" t="inlineStr">
        <is>
          <t>HaoPhiVatTu</t>
        </is>
      </c>
      <c r="C107" s="4" t="n">
        <v>130</v>
      </c>
      <c r="D107" s="5" t="inlineStr">
        <is>
          <t>BB.51002</t>
        </is>
      </c>
      <c r="E107" t="inlineStr">
        <is>
          <t>Ống đồng_D9.5_0.81mm</t>
        </is>
      </c>
      <c r="F107" s="6" t="inlineStr">
        <is>
          <t>Đã khớp TT38</t>
        </is>
      </c>
      <c r="G107" t="inlineStr">
        <is>
          <t>Khớp nhóm BB.5100</t>
        </is>
      </c>
      <c r="H107" s="7">
        <f>HYPERLINK("tt38://pl3/100", "👉 Mở Phụ lục III - Trang 100")</f>
        <v/>
      </c>
    </row>
    <row r="108">
      <c r="A108" s="4" t="n">
        <v>103</v>
      </c>
      <c r="B108" t="inlineStr">
        <is>
          <t>HaoPhiVatTu</t>
        </is>
      </c>
      <c r="C108" s="4" t="n">
        <v>140</v>
      </c>
      <c r="D108" s="5" t="inlineStr">
        <is>
          <t>BB.51003</t>
        </is>
      </c>
      <c r="E108" t="inlineStr">
        <is>
          <t>Ống đồng_D12.7_0.81mm</t>
        </is>
      </c>
      <c r="F108" s="6" t="inlineStr">
        <is>
          <t>Đã khớp TT38</t>
        </is>
      </c>
      <c r="G108" t="inlineStr">
        <is>
          <t>Khớp nhóm BB.5100</t>
        </is>
      </c>
      <c r="H108" s="7">
        <f>HYPERLINK("tt38://pl3/100", "👉 Mở Phụ lục III - Trang 100")</f>
        <v/>
      </c>
    </row>
    <row r="109">
      <c r="A109" s="4" t="n">
        <v>104</v>
      </c>
      <c r="B109" t="inlineStr">
        <is>
          <t>HaoPhiVatTu</t>
        </is>
      </c>
      <c r="C109" s="4" t="n">
        <v>150</v>
      </c>
      <c r="D109" s="5" t="inlineStr">
        <is>
          <t>BB.51004</t>
        </is>
      </c>
      <c r="E109" t="inlineStr">
        <is>
          <t>Ống đồng_D15.9_0.99mm</t>
        </is>
      </c>
      <c r="F109" s="6" t="inlineStr">
        <is>
          <t>Đã khớp TT38</t>
        </is>
      </c>
      <c r="G109" t="inlineStr">
        <is>
          <t>Khớp nhóm BB.5100</t>
        </is>
      </c>
      <c r="H109" s="7">
        <f>HYPERLINK("tt38://pl3/100", "👉 Mở Phụ lục III - Trang 100")</f>
        <v/>
      </c>
    </row>
    <row r="110">
      <c r="A110" s="4" t="n">
        <v>105</v>
      </c>
      <c r="B110" t="inlineStr">
        <is>
          <t>HaoPhiVatTu</t>
        </is>
      </c>
      <c r="C110" s="4" t="n">
        <v>160</v>
      </c>
      <c r="D110" s="5" t="inlineStr">
        <is>
          <t>BB.51005</t>
        </is>
      </c>
      <c r="E110" t="inlineStr">
        <is>
          <t>Ống đồng_D19.1_0.99mm</t>
        </is>
      </c>
      <c r="F110" s="6" t="inlineStr">
        <is>
          <t>Đã khớp TT38</t>
        </is>
      </c>
      <c r="G110" t="inlineStr">
        <is>
          <t>Khớp nhóm BB.5100</t>
        </is>
      </c>
      <c r="H110" s="7">
        <f>HYPERLINK("tt38://pl3/100", "👉 Mở Phụ lục III - Trang 100")</f>
        <v/>
      </c>
    </row>
    <row r="111">
      <c r="A111" s="4" t="n">
        <v>106</v>
      </c>
      <c r="B111" t="inlineStr">
        <is>
          <t>HaoPhiVatTu</t>
        </is>
      </c>
      <c r="C111" s="4" t="n">
        <v>170</v>
      </c>
      <c r="D111" s="5" t="inlineStr">
        <is>
          <t>BB.51006</t>
        </is>
      </c>
      <c r="E111" t="inlineStr">
        <is>
          <t>Ống đồng_D22.2_1.14mm</t>
        </is>
      </c>
      <c r="F111" s="6" t="inlineStr">
        <is>
          <t>Đã khớp TT38</t>
        </is>
      </c>
      <c r="G111" t="inlineStr">
        <is>
          <t>Khớp nhóm BB.5100</t>
        </is>
      </c>
      <c r="H111" s="7">
        <f>HYPERLINK("tt38://pl3/100", "👉 Mở Phụ lục III - Trang 100")</f>
        <v/>
      </c>
    </row>
    <row r="112">
      <c r="A112" s="4" t="n">
        <v>107</v>
      </c>
      <c r="B112" t="inlineStr">
        <is>
          <t>HaoPhiVatTu</t>
        </is>
      </c>
      <c r="C112" s="4" t="n">
        <v>180</v>
      </c>
      <c r="D112" s="5" t="inlineStr">
        <is>
          <t>BB.51008</t>
        </is>
      </c>
      <c r="E112" t="inlineStr">
        <is>
          <t>Ống đồng_D28.6_1.27mm</t>
        </is>
      </c>
      <c r="F112" s="6" t="inlineStr">
        <is>
          <t>Đã khớp TT38</t>
        </is>
      </c>
      <c r="G112" t="inlineStr">
        <is>
          <t>Khớp nhóm BB.5100</t>
        </is>
      </c>
      <c r="H112" s="7">
        <f>HYPERLINK("tt38://pl3/100", "👉 Mở Phụ lục III - Trang 100")</f>
        <v/>
      </c>
    </row>
    <row r="113">
      <c r="A113" s="4" t="n">
        <v>108</v>
      </c>
      <c r="B113" t="inlineStr">
        <is>
          <t>HaoPhiVatTu</t>
        </is>
      </c>
      <c r="C113" s="4" t="n">
        <v>190</v>
      </c>
      <c r="D113" s="5" t="inlineStr">
        <is>
          <t>BB.51010</t>
        </is>
      </c>
      <c r="E113" t="inlineStr">
        <is>
          <t>Ống đồng_D34.9_1.40mm</t>
        </is>
      </c>
      <c r="F113" s="6" t="inlineStr">
        <is>
          <t>Đã khớp TT38</t>
        </is>
      </c>
      <c r="G113" t="inlineStr">
        <is>
          <t>Khớp nhóm BB.510</t>
        </is>
      </c>
      <c r="H113" s="7">
        <f>HYPERLINK("tt38://pl3/100", "👉 Mở Phụ lục III - Trang 100")</f>
        <v/>
      </c>
    </row>
    <row r="114">
      <c r="A114" s="4" t="n">
        <v>109</v>
      </c>
      <c r="B114" t="inlineStr">
        <is>
          <t>HaoPhiVatTu</t>
        </is>
      </c>
      <c r="C114" s="4" t="n">
        <v>200</v>
      </c>
      <c r="D114" s="5" t="inlineStr">
        <is>
          <t>BB.51012</t>
        </is>
      </c>
      <c r="E114" t="inlineStr">
        <is>
          <t>Ống đồng_D41.3_1.53mm</t>
        </is>
      </c>
      <c r="F114" s="6" t="inlineStr">
        <is>
          <t>Đã khớp TT38</t>
        </is>
      </c>
      <c r="G114" t="inlineStr">
        <is>
          <t>Khớp nhóm BB.510</t>
        </is>
      </c>
      <c r="H114" s="7">
        <f>HYPERLINK("tt38://pl3/100", "👉 Mở Phụ lục III - Trang 100")</f>
        <v/>
      </c>
    </row>
    <row r="115">
      <c r="A115" s="4" t="n">
        <v>110</v>
      </c>
      <c r="B115" t="inlineStr">
        <is>
          <t>HaoPhiVatTu</t>
        </is>
      </c>
      <c r="C115" s="4" t="n">
        <v>210</v>
      </c>
      <c r="D115" s="5" t="inlineStr">
        <is>
          <t>BC.14101</t>
        </is>
      </c>
      <c r="E115" t="inlineStr">
        <is>
          <t>Bảo ôn ống đồng D6.4 dày 19mm</t>
        </is>
      </c>
      <c r="F115" s="6" t="inlineStr">
        <is>
          <t>Đã khớp TT38</t>
        </is>
      </c>
      <c r="G115" t="inlineStr">
        <is>
          <t>Khớp nhóm BC.1410</t>
        </is>
      </c>
      <c r="H115" s="7">
        <f>HYPERLINK("tt38://pl3/212", "👉 Mở Phụ lục III - Trang 212")</f>
        <v/>
      </c>
    </row>
    <row r="116">
      <c r="A116" s="4" t="n">
        <v>111</v>
      </c>
      <c r="B116" t="inlineStr">
        <is>
          <t>HaoPhiVatTu</t>
        </is>
      </c>
      <c r="C116" s="4" t="n">
        <v>217</v>
      </c>
      <c r="D116" s="5" t="inlineStr">
        <is>
          <t>BC.14102</t>
        </is>
      </c>
      <c r="E116" t="inlineStr">
        <is>
          <t>Bảo ôn ống đồng D9.5 dày 19mm</t>
        </is>
      </c>
      <c r="F116" s="6" t="inlineStr">
        <is>
          <t>Đã khớp TT38</t>
        </is>
      </c>
      <c r="G116" t="inlineStr">
        <is>
          <t>Khớp nhóm BC.1410</t>
        </is>
      </c>
      <c r="H116" s="7">
        <f>HYPERLINK("tt38://pl3/212", "👉 Mở Phụ lục III - Trang 212")</f>
        <v/>
      </c>
    </row>
    <row r="117">
      <c r="A117" s="4" t="n">
        <v>112</v>
      </c>
      <c r="B117" t="inlineStr">
        <is>
          <t>HaoPhiVatTu</t>
        </is>
      </c>
      <c r="C117" s="4" t="n">
        <v>224</v>
      </c>
      <c r="D117" s="5" t="inlineStr">
        <is>
          <t>BC.14103</t>
        </is>
      </c>
      <c r="E117" t="inlineStr">
        <is>
          <t>Bảo ôn ống đồng D12.7 dày 19mm</t>
        </is>
      </c>
      <c r="F117" s="6" t="inlineStr">
        <is>
          <t>Đã khớp TT38</t>
        </is>
      </c>
      <c r="G117" t="inlineStr">
        <is>
          <t>Khớp nhóm BC.1410</t>
        </is>
      </c>
      <c r="H117" s="7">
        <f>HYPERLINK("tt38://pl3/212", "👉 Mở Phụ lục III - Trang 212")</f>
        <v/>
      </c>
    </row>
    <row r="118">
      <c r="A118" s="4" t="n">
        <v>113</v>
      </c>
      <c r="B118" t="inlineStr">
        <is>
          <t>HaoPhiVatTu</t>
        </is>
      </c>
      <c r="C118" s="4" t="n">
        <v>231</v>
      </c>
      <c r="D118" s="5" t="inlineStr">
        <is>
          <t>BC.14104</t>
        </is>
      </c>
      <c r="E118" t="inlineStr">
        <is>
          <t>Bảo ôn ống đồng D15.9 dày 19mm</t>
        </is>
      </c>
      <c r="F118" s="6" t="inlineStr">
        <is>
          <t>Đã khớp TT38</t>
        </is>
      </c>
      <c r="G118" t="inlineStr">
        <is>
          <t>Khớp nhóm BC.1410</t>
        </is>
      </c>
      <c r="H118" s="7">
        <f>HYPERLINK("tt38://pl3/212", "👉 Mở Phụ lục III - Trang 212")</f>
        <v/>
      </c>
    </row>
    <row r="119">
      <c r="A119" s="4" t="n">
        <v>114</v>
      </c>
      <c r="B119" t="inlineStr">
        <is>
          <t>HaoPhiVatTu</t>
        </is>
      </c>
      <c r="C119" s="4" t="n">
        <v>238</v>
      </c>
      <c r="D119" s="5" t="inlineStr">
        <is>
          <t>BC.14105</t>
        </is>
      </c>
      <c r="E119" t="inlineStr">
        <is>
          <t>Bảo ôn ống đồng D19.1 dày 19mm</t>
        </is>
      </c>
      <c r="F119" s="6" t="inlineStr">
        <is>
          <t>Đã khớp TT38</t>
        </is>
      </c>
      <c r="G119" t="inlineStr">
        <is>
          <t>Khớp nhóm BC.1410</t>
        </is>
      </c>
      <c r="H119" s="7">
        <f>HYPERLINK("tt38://pl3/212", "👉 Mở Phụ lục III - Trang 212")</f>
        <v/>
      </c>
    </row>
    <row r="120">
      <c r="A120" s="4" t="n">
        <v>115</v>
      </c>
      <c r="B120" t="inlineStr">
        <is>
          <t>HaoPhiVatTu</t>
        </is>
      </c>
      <c r="C120" s="4" t="n">
        <v>245</v>
      </c>
      <c r="D120" s="5" t="inlineStr">
        <is>
          <t>BC.14106</t>
        </is>
      </c>
      <c r="E120" t="inlineStr">
        <is>
          <t>Bảo ôn ống đồng D22.2 dày 19mm</t>
        </is>
      </c>
      <c r="F120" s="6" t="inlineStr">
        <is>
          <t>Đã khớp TT38</t>
        </is>
      </c>
      <c r="G120" t="inlineStr">
        <is>
          <t>Khớp nhóm BC.1410</t>
        </is>
      </c>
      <c r="H120" s="7">
        <f>HYPERLINK("tt38://pl3/212", "👉 Mở Phụ lục III - Trang 212")</f>
        <v/>
      </c>
    </row>
    <row r="121">
      <c r="A121" s="4" t="n">
        <v>116</v>
      </c>
      <c r="B121" t="inlineStr">
        <is>
          <t>HaoPhiVatTu</t>
        </is>
      </c>
      <c r="C121" s="4" t="n">
        <v>252</v>
      </c>
      <c r="D121" s="5" t="inlineStr">
        <is>
          <t>BC.14108</t>
        </is>
      </c>
      <c r="E121" t="inlineStr">
        <is>
          <t>Bảo ôn ống đồng D28.6 dày 19mm</t>
        </is>
      </c>
      <c r="F121" s="6" t="inlineStr">
        <is>
          <t>Đã khớp TT38</t>
        </is>
      </c>
      <c r="G121" t="inlineStr">
        <is>
          <t>Khớp nhóm BC.1410</t>
        </is>
      </c>
      <c r="H121" s="7">
        <f>HYPERLINK("tt38://pl3/212", "👉 Mở Phụ lục III - Trang 212")</f>
        <v/>
      </c>
    </row>
    <row r="122">
      <c r="A122" s="4" t="n">
        <v>117</v>
      </c>
      <c r="B122" t="inlineStr">
        <is>
          <t>HaoPhiVatTu</t>
        </is>
      </c>
      <c r="C122" s="4" t="n">
        <v>259</v>
      </c>
      <c r="D122" s="5" t="inlineStr">
        <is>
          <t>BC.14110</t>
        </is>
      </c>
      <c r="E122" t="inlineStr">
        <is>
          <t>Bảo ôn ống đồng D34.9 dày 19mm</t>
        </is>
      </c>
      <c r="F122" s="6" t="inlineStr">
        <is>
          <t>Đã khớp TT38</t>
        </is>
      </c>
      <c r="G122" t="inlineStr">
        <is>
          <t>Khớp nhóm BC.141</t>
        </is>
      </c>
      <c r="H122" s="7">
        <f>HYPERLINK("tt38://pl3/212", "👉 Mở Phụ lục III - Trang 212")</f>
        <v/>
      </c>
    </row>
    <row r="123">
      <c r="A123" s="4" t="n">
        <v>118</v>
      </c>
      <c r="B123" t="inlineStr">
        <is>
          <t>HaoPhiVatTu</t>
        </is>
      </c>
      <c r="C123" s="4" t="n">
        <v>266</v>
      </c>
      <c r="D123" s="5" t="inlineStr">
        <is>
          <t>BC.14112</t>
        </is>
      </c>
      <c r="E123" t="inlineStr">
        <is>
          <t>Bảo ôn ống đồng D41.3 dày 19mm</t>
        </is>
      </c>
      <c r="F123" s="6" t="inlineStr">
        <is>
          <t>Đã khớp TT38</t>
        </is>
      </c>
      <c r="G123" t="inlineStr">
        <is>
          <t>Khớp nhóm BC.141</t>
        </is>
      </c>
      <c r="H123" s="7">
        <f>HYPERLINK("tt38://pl3/212", "👉 Mở Phụ lục III - Trang 212")</f>
        <v/>
      </c>
    </row>
    <row r="124">
      <c r="A124" s="4" t="n">
        <v>119</v>
      </c>
      <c r="B124" t="inlineStr">
        <is>
          <t>HaoPhiVatTu</t>
        </is>
      </c>
      <c r="C124" s="4" t="n">
        <v>275</v>
      </c>
      <c r="D124" s="5" t="inlineStr">
        <is>
          <t>BB.41101</t>
        </is>
      </c>
      <c r="E124" t="inlineStr">
        <is>
          <t>Ống uPVC_D21</t>
        </is>
      </c>
      <c r="F124" s="6" t="inlineStr">
        <is>
          <t>Đã khớp TT38</t>
        </is>
      </c>
      <c r="G124" t="inlineStr">
        <is>
          <t>Khớp nhóm BB.4110</t>
        </is>
      </c>
      <c r="H124" s="7">
        <f>HYPERLINK("tt38://pl3/71", "👉 Mở Phụ lục III - Trang 71")</f>
        <v/>
      </c>
    </row>
    <row r="125">
      <c r="A125" s="4" t="n">
        <v>120</v>
      </c>
      <c r="B125" t="inlineStr">
        <is>
          <t>HaoPhiVatTu</t>
        </is>
      </c>
      <c r="C125" s="4" t="n">
        <v>283</v>
      </c>
      <c r="D125" s="5" t="inlineStr">
        <is>
          <t>BB.41102</t>
        </is>
      </c>
      <c r="E125" t="inlineStr">
        <is>
          <t>Ống uPVC_D27</t>
        </is>
      </c>
      <c r="F125" s="6" t="inlineStr">
        <is>
          <t>Đã khớp TT38</t>
        </is>
      </c>
      <c r="G125" t="inlineStr">
        <is>
          <t>Khớp nhóm BB.4110</t>
        </is>
      </c>
      <c r="H125" s="7">
        <f>HYPERLINK("tt38://pl3/71", "👉 Mở Phụ lục III - Trang 71")</f>
        <v/>
      </c>
    </row>
    <row r="126">
      <c r="A126" s="4" t="n">
        <v>121</v>
      </c>
      <c r="B126" t="inlineStr">
        <is>
          <t>HaoPhiVatTu</t>
        </is>
      </c>
      <c r="C126" s="4" t="n">
        <v>291</v>
      </c>
      <c r="D126" s="5" t="inlineStr">
        <is>
          <t>BB.41103</t>
        </is>
      </c>
      <c r="E126" t="inlineStr">
        <is>
          <t>Ống uPVC_D34</t>
        </is>
      </c>
      <c r="F126" s="6" t="inlineStr">
        <is>
          <t>Đã khớp TT38</t>
        </is>
      </c>
      <c r="G126" t="inlineStr">
        <is>
          <t>Khớp nhóm BB.4110</t>
        </is>
      </c>
      <c r="H126" s="7">
        <f>HYPERLINK("tt38://pl3/71", "👉 Mở Phụ lục III - Trang 71")</f>
        <v/>
      </c>
    </row>
    <row r="127">
      <c r="A127" s="4" t="n">
        <v>122</v>
      </c>
      <c r="B127" t="inlineStr">
        <is>
          <t>HaoPhiVatTu</t>
        </is>
      </c>
      <c r="C127" s="4" t="n">
        <v>299</v>
      </c>
      <c r="D127" s="5" t="inlineStr">
        <is>
          <t>BB.41104</t>
        </is>
      </c>
      <c r="E127" t="inlineStr">
        <is>
          <t>Ống uPVC_D42</t>
        </is>
      </c>
      <c r="F127" s="6" t="inlineStr">
        <is>
          <t>Đã khớp TT38</t>
        </is>
      </c>
      <c r="G127" t="inlineStr">
        <is>
          <t>Khớp nhóm BB.4110</t>
        </is>
      </c>
      <c r="H127" s="7">
        <f>HYPERLINK("tt38://pl3/71", "👉 Mở Phụ lục III - Trang 71")</f>
        <v/>
      </c>
    </row>
    <row r="128">
      <c r="A128" s="4" t="n">
        <v>123</v>
      </c>
      <c r="B128" t="inlineStr">
        <is>
          <t>HaoPhiVatTu</t>
        </is>
      </c>
      <c r="C128" s="4" t="n">
        <v>307</v>
      </c>
      <c r="D128" s="5" t="inlineStr">
        <is>
          <t>BB.41105</t>
        </is>
      </c>
      <c r="E128" t="inlineStr">
        <is>
          <t>Ống uPVC_D48</t>
        </is>
      </c>
      <c r="F128" s="6" t="inlineStr">
        <is>
          <t>Đã khớp TT38</t>
        </is>
      </c>
      <c r="G128" t="inlineStr">
        <is>
          <t>Khớp nhóm BB.4110</t>
        </is>
      </c>
      <c r="H128" s="7">
        <f>HYPERLINK("tt38://pl3/71", "👉 Mở Phụ lục III - Trang 71")</f>
        <v/>
      </c>
    </row>
    <row r="129">
      <c r="A129" s="4" t="n">
        <v>124</v>
      </c>
      <c r="B129" t="inlineStr">
        <is>
          <t>HaoPhiVatTu</t>
        </is>
      </c>
      <c r="C129" s="4" t="n">
        <v>315</v>
      </c>
      <c r="D129" s="5" t="inlineStr">
        <is>
          <t>BC.13102</t>
        </is>
      </c>
      <c r="E129" t="inlineStr">
        <is>
          <t>Bảo ôn ống uPVC D21 dày 13mm</t>
        </is>
      </c>
      <c r="F129" s="6" t="inlineStr">
        <is>
          <t>Đã khớp TT38</t>
        </is>
      </c>
      <c r="G129" t="inlineStr">
        <is>
          <t>Khớp nhóm BC.1310</t>
        </is>
      </c>
      <c r="H129" s="7">
        <f>HYPERLINK("tt38://pl3/204", "👉 Mở Phụ lục III - Trang 204")</f>
        <v/>
      </c>
    </row>
    <row r="130">
      <c r="A130" s="4" t="n">
        <v>125</v>
      </c>
      <c r="B130" t="inlineStr">
        <is>
          <t>HaoPhiVatTu</t>
        </is>
      </c>
      <c r="C130" s="4" t="n">
        <v>321</v>
      </c>
      <c r="D130" s="5" t="inlineStr">
        <is>
          <t>BC.13103</t>
        </is>
      </c>
      <c r="E130" t="inlineStr">
        <is>
          <t>Bảo ôn ống uPVC D27 dày 13mm</t>
        </is>
      </c>
      <c r="F130" s="6" t="inlineStr">
        <is>
          <t>Đã khớp TT38</t>
        </is>
      </c>
      <c r="G130" t="inlineStr">
        <is>
          <t>Khớp nhóm BC.1310</t>
        </is>
      </c>
      <c r="H130" s="7">
        <f>HYPERLINK("tt38://pl3/204", "👉 Mở Phụ lục III - Trang 204")</f>
        <v/>
      </c>
    </row>
    <row r="131">
      <c r="A131" s="4" t="n">
        <v>126</v>
      </c>
      <c r="B131" t="inlineStr">
        <is>
          <t>HaoPhiVatTu</t>
        </is>
      </c>
      <c r="C131" s="4" t="n">
        <v>327</v>
      </c>
      <c r="D131" s="5" t="inlineStr">
        <is>
          <t>BC.13104</t>
        </is>
      </c>
      <c r="E131" t="inlineStr">
        <is>
          <t>Bảo ôn ống uPVC D34 dày 13mm</t>
        </is>
      </c>
      <c r="F131" s="6" t="inlineStr">
        <is>
          <t>Đã khớp TT38</t>
        </is>
      </c>
      <c r="G131" t="inlineStr">
        <is>
          <t>Khớp nhóm BC.1310</t>
        </is>
      </c>
      <c r="H131" s="7">
        <f>HYPERLINK("tt38://pl3/204", "👉 Mở Phụ lục III - Trang 204")</f>
        <v/>
      </c>
    </row>
    <row r="132">
      <c r="A132" s="4" t="n">
        <v>127</v>
      </c>
      <c r="B132" t="inlineStr">
        <is>
          <t>HaoPhiVatTu</t>
        </is>
      </c>
      <c r="C132" s="4" t="n">
        <v>333</v>
      </c>
      <c r="D132" s="5" t="inlineStr">
        <is>
          <t>BC.13105</t>
        </is>
      </c>
      <c r="E132" t="inlineStr">
        <is>
          <t>Bảo ôn ống uPVC D42 dày 13mm</t>
        </is>
      </c>
      <c r="F132" s="6" t="inlineStr">
        <is>
          <t>Đã khớp TT38</t>
        </is>
      </c>
      <c r="G132" t="inlineStr">
        <is>
          <t>Khớp nhóm BC.1310</t>
        </is>
      </c>
      <c r="H132" s="7">
        <f>HYPERLINK("tt38://pl3/204", "👉 Mở Phụ lục III - Trang 204")</f>
        <v/>
      </c>
    </row>
    <row r="133">
      <c r="A133" s="4" t="n">
        <v>128</v>
      </c>
      <c r="B133" t="inlineStr">
        <is>
          <t>HaoPhiVatTu</t>
        </is>
      </c>
      <c r="C133" s="4" t="n">
        <v>339</v>
      </c>
      <c r="D133" s="5" t="inlineStr">
        <is>
          <t>BC.13106</t>
        </is>
      </c>
      <c r="E133" t="inlineStr">
        <is>
          <t>Bảo ôn ống uPVC D48 dày 13mm</t>
        </is>
      </c>
      <c r="F133" s="6" t="inlineStr">
        <is>
          <t>Đã khớp TT38</t>
        </is>
      </c>
      <c r="G133" t="inlineStr">
        <is>
          <t>Khớp nhóm BC.1310</t>
        </is>
      </c>
      <c r="H133" s="7">
        <f>HYPERLINK("tt38://pl3/204", "👉 Mở Phụ lục III - Trang 204")</f>
        <v/>
      </c>
    </row>
    <row r="134">
      <c r="A134" s="4" t="n">
        <v>129</v>
      </c>
      <c r="B134" t="inlineStr">
        <is>
          <t>HaoPhiVatTu</t>
        </is>
      </c>
      <c r="C134" s="4" t="n">
        <v>347</v>
      </c>
      <c r="D134" s="5" t="inlineStr">
        <is>
          <t>BA.16201</t>
        </is>
      </c>
      <c r="E134" t="inlineStr">
        <is>
          <t>Dây điện_Cu/PVC_2x(1x0.75)mm2</t>
        </is>
      </c>
      <c r="F134" s="6" t="inlineStr">
        <is>
          <t>Đã khớp TT38</t>
        </is>
      </c>
      <c r="G134" t="inlineStr">
        <is>
          <t>Khớp nhóm BA.1620</t>
        </is>
      </c>
      <c r="H134" s="7">
        <f>HYPERLINK("tt38://pl3/14", "👉 Mở Phụ lục III - Trang 14")</f>
        <v/>
      </c>
    </row>
    <row r="135">
      <c r="A135" s="4" t="n">
        <v>130</v>
      </c>
      <c r="B135" t="inlineStr">
        <is>
          <t>HaoPhiVatTu</t>
        </is>
      </c>
      <c r="C135" s="4" t="n">
        <v>353</v>
      </c>
      <c r="D135" s="5" t="inlineStr">
        <is>
          <t>BA.16202</t>
        </is>
      </c>
      <c r="E135" t="inlineStr">
        <is>
          <t>Dây điện_Cu/PVC_2x(1x1.5)mm2</t>
        </is>
      </c>
      <c r="F135" s="6" t="inlineStr">
        <is>
          <t>Đã khớp TT38</t>
        </is>
      </c>
      <c r="G135" t="inlineStr">
        <is>
          <t>Khớp nhóm BA.1620</t>
        </is>
      </c>
      <c r="H135" s="7">
        <f>HYPERLINK("tt38://pl3/14", "👉 Mở Phụ lục III - Trang 14")</f>
        <v/>
      </c>
    </row>
    <row r="136">
      <c r="A136" s="4" t="n">
        <v>131</v>
      </c>
      <c r="B136" t="inlineStr">
        <is>
          <t>HaoPhiVatTu</t>
        </is>
      </c>
      <c r="C136" s="4" t="n">
        <v>359</v>
      </c>
      <c r="D136" s="5" t="inlineStr">
        <is>
          <t>BA.16202</t>
        </is>
      </c>
      <c r="E136" t="inlineStr">
        <is>
          <t>Dây điện_Cu/PVC_2x(1x2.5)mm2</t>
        </is>
      </c>
      <c r="F136" s="6" t="inlineStr">
        <is>
          <t>Đã khớp TT38</t>
        </is>
      </c>
      <c r="G136" t="inlineStr">
        <is>
          <t>Khớp nhóm BA.1620</t>
        </is>
      </c>
      <c r="H136" s="7">
        <f>HYPERLINK("tt38://pl3/14", "👉 Mở Phụ lục III - Trang 14")</f>
        <v/>
      </c>
    </row>
    <row r="137">
      <c r="A137" s="4" t="n">
        <v>132</v>
      </c>
      <c r="B137" t="inlineStr">
        <is>
          <t>HaoPhiVatTu</t>
        </is>
      </c>
      <c r="C137" s="4" t="n">
        <v>365</v>
      </c>
      <c r="D137" s="5" t="inlineStr">
        <is>
          <t>BA.16202</t>
        </is>
      </c>
      <c r="E137" t="inlineStr">
        <is>
          <t>Dây điện_Cu/PVC_2x(1x4.0)mm2</t>
        </is>
      </c>
      <c r="F137" s="6" t="inlineStr">
        <is>
          <t>Đã khớp TT38</t>
        </is>
      </c>
      <c r="G137" t="inlineStr">
        <is>
          <t>Khớp nhóm BA.1620</t>
        </is>
      </c>
      <c r="H137" s="7">
        <f>HYPERLINK("tt38://pl3/14", "👉 Mở Phụ lục III - Trang 14")</f>
        <v/>
      </c>
    </row>
    <row r="138">
      <c r="A138" s="4" t="n">
        <v>133</v>
      </c>
      <c r="B138" t="inlineStr">
        <is>
          <t>Đơn giá chi tiết</t>
        </is>
      </c>
      <c r="C138" s="4" t="n">
        <v>5</v>
      </c>
      <c r="D138" s="5" t="inlineStr">
        <is>
          <t>MD.12002</t>
        </is>
      </c>
      <c r="E138" t="inlineStr">
        <is>
          <t>Dàn nóng điều hòa VRF, Multi</t>
        </is>
      </c>
      <c r="F138" s="6" t="inlineStr">
        <is>
          <t>Đã khớp TT38</t>
        </is>
      </c>
      <c r="G138" t="inlineStr">
        <is>
          <t>Khớp nhóm MD.1200</t>
        </is>
      </c>
      <c r="H138" s="7">
        <f>HYPERLINK("tt38://pl5/37", "👉 Mở Phụ lục IV - Trang 37")</f>
        <v/>
      </c>
    </row>
    <row r="139">
      <c r="A139" s="4" t="n">
        <v>134</v>
      </c>
      <c r="B139" t="inlineStr">
        <is>
          <t>Đơn giá chi tiết</t>
        </is>
      </c>
      <c r="C139" s="4" t="n">
        <v>27</v>
      </c>
      <c r="D139" s="5" t="inlineStr">
        <is>
          <t>BA.12130</t>
        </is>
      </c>
      <c r="E139" t="inlineStr">
        <is>
          <t>Dàn lạnh âm trần nối ống gió, CSL: 7.1 kW</t>
        </is>
      </c>
      <c r="F139" s="6" t="inlineStr">
        <is>
          <t>Đã khớp TT38</t>
        </is>
      </c>
      <c r="G139" t="inlineStr">
        <is>
          <t>Khớp nhóm BA.121</t>
        </is>
      </c>
      <c r="H139" s="7">
        <f>HYPERLINK("tt38://pl3/6", "👉 Mở Phụ lục III - Trang 6")</f>
        <v/>
      </c>
    </row>
    <row r="140">
      <c r="A140" s="4" t="n">
        <v>135</v>
      </c>
      <c r="B140" t="inlineStr">
        <is>
          <t>Đơn giá chi tiết</t>
        </is>
      </c>
      <c r="C140" s="4" t="n">
        <v>36</v>
      </c>
      <c r="D140" s="5" t="inlineStr">
        <is>
          <t>BA.12130</t>
        </is>
      </c>
      <c r="E140" t="inlineStr">
        <is>
          <t>Dàn lạnh cassette, CSL: 9.0 kW</t>
        </is>
      </c>
      <c r="F140" s="6" t="inlineStr">
        <is>
          <t>Đã khớp TT38</t>
        </is>
      </c>
      <c r="G140" t="inlineStr">
        <is>
          <t>Khớp nhóm BA.121</t>
        </is>
      </c>
      <c r="H140" s="7">
        <f>HYPERLINK("tt38://pl3/6", "👉 Mở Phụ lục III - Trang 6")</f>
        <v/>
      </c>
    </row>
    <row r="141">
      <c r="A141" s="4" t="n">
        <v>136</v>
      </c>
      <c r="B141" t="inlineStr">
        <is>
          <t>Đơn giá chi tiết</t>
        </is>
      </c>
      <c r="C141" s="4" t="n">
        <v>45</v>
      </c>
      <c r="D141" s="5" t="inlineStr">
        <is>
          <t>BA.12130</t>
        </is>
      </c>
      <c r="E141" t="inlineStr">
        <is>
          <t>Dàn lạnh cassette, CSL: 11.2 kW</t>
        </is>
      </c>
      <c r="F141" s="6" t="inlineStr">
        <is>
          <t>Đã khớp TT38</t>
        </is>
      </c>
      <c r="G141" t="inlineStr">
        <is>
          <t>Khớp nhóm BA.121</t>
        </is>
      </c>
      <c r="H141" s="7">
        <f>HYPERLINK("tt38://pl3/6", "👉 Mở Phụ lục III - Trang 6")</f>
        <v/>
      </c>
    </row>
    <row r="142">
      <c r="A142" s="4" t="n">
        <v>137</v>
      </c>
      <c r="B142" t="inlineStr">
        <is>
          <t>Đơn giá chi tiết</t>
        </is>
      </c>
      <c r="C142" s="4" t="n">
        <v>54</v>
      </c>
      <c r="D142" s="5" t="inlineStr">
        <is>
          <t>BA.12130</t>
        </is>
      </c>
      <c r="E142" t="inlineStr">
        <is>
          <t>Dàn lạnh cassette, CSL: 14.0 kW</t>
        </is>
      </c>
      <c r="F142" s="6" t="inlineStr">
        <is>
          <t>Đã khớp TT38</t>
        </is>
      </c>
      <c r="G142" t="inlineStr">
        <is>
          <t>Khớp nhóm BA.121</t>
        </is>
      </c>
      <c r="H142" s="7">
        <f>HYPERLINK("tt38://pl3/6", "👉 Mở Phụ lục III - Trang 6")</f>
        <v/>
      </c>
    </row>
    <row r="143">
      <c r="A143" s="4" t="n">
        <v>138</v>
      </c>
      <c r="B143" t="inlineStr">
        <is>
          <t>Đơn giá chi tiết</t>
        </is>
      </c>
      <c r="C143" s="4" t="n">
        <v>63</v>
      </c>
      <c r="D143" s="5" t="inlineStr">
        <is>
          <t>BA.12130</t>
        </is>
      </c>
      <c r="E143" t="inlineStr">
        <is>
          <t>Dàn lạnh âm trần nối ống gió CSL: 7.1 kW</t>
        </is>
      </c>
      <c r="F143" s="6" t="inlineStr">
        <is>
          <t>Đã khớp TT38</t>
        </is>
      </c>
      <c r="G143" t="inlineStr">
        <is>
          <t>Khớp nhóm BA.121</t>
        </is>
      </c>
      <c r="H143" s="7">
        <f>HYPERLINK("tt38://pl3/6", "👉 Mở Phụ lục III - Trang 6")</f>
        <v/>
      </c>
    </row>
    <row r="144">
      <c r="A144" s="4" t="n">
        <v>139</v>
      </c>
      <c r="B144" t="inlineStr">
        <is>
          <t>Đơn giá chi tiết</t>
        </is>
      </c>
      <c r="C144" s="4" t="n">
        <v>72</v>
      </c>
      <c r="D144" s="5" t="inlineStr">
        <is>
          <t>BA.12130</t>
        </is>
      </c>
      <c r="E144" t="inlineStr">
        <is>
          <t>Dàn lạnh cassette CSL: 7.1 kW</t>
        </is>
      </c>
      <c r="F144" s="6" t="inlineStr">
        <is>
          <t>Đã khớp TT38</t>
        </is>
      </c>
      <c r="G144" t="inlineStr">
        <is>
          <t>Khớp nhóm BA.121</t>
        </is>
      </c>
      <c r="H144" s="7">
        <f>HYPERLINK("tt38://pl3/6", "👉 Mở Phụ lục III - Trang 6")</f>
        <v/>
      </c>
    </row>
    <row r="145">
      <c r="A145" s="4" t="n">
        <v>140</v>
      </c>
      <c r="B145" t="inlineStr">
        <is>
          <t>Đơn giá chi tiết</t>
        </is>
      </c>
      <c r="C145" s="4" t="n">
        <v>81</v>
      </c>
      <c r="D145" s="5" t="inlineStr">
        <is>
          <t>BA.12130</t>
        </is>
      </c>
      <c r="E145" t="inlineStr">
        <is>
          <t>Dàn lạnh cassette CSL: 10.0 kW</t>
        </is>
      </c>
      <c r="F145" s="6" t="inlineStr">
        <is>
          <t>Đã khớp TT38</t>
        </is>
      </c>
      <c r="G145" t="inlineStr">
        <is>
          <t>Khớp nhóm BA.121</t>
        </is>
      </c>
      <c r="H145" s="7">
        <f>HYPERLINK("tt38://pl3/6", "👉 Mở Phụ lục III - Trang 6")</f>
        <v/>
      </c>
    </row>
    <row r="146">
      <c r="A146" s="4" t="n">
        <v>141</v>
      </c>
      <c r="B146" t="inlineStr">
        <is>
          <t>Đơn giá chi tiết</t>
        </is>
      </c>
      <c r="C146" s="4" t="n">
        <v>90</v>
      </c>
      <c r="D146" s="5" t="inlineStr">
        <is>
          <t>BA.12130</t>
        </is>
      </c>
      <c r="E146" t="inlineStr">
        <is>
          <t>Dàn lạnh cassette CSL: 12.5 kW</t>
        </is>
      </c>
      <c r="F146" s="6" t="inlineStr">
        <is>
          <t>Đã khớp TT38</t>
        </is>
      </c>
      <c r="G146" t="inlineStr">
        <is>
          <t>Khớp nhóm BA.121</t>
        </is>
      </c>
      <c r="H146" s="7">
        <f>HYPERLINK("tt38://pl3/6", "👉 Mở Phụ lục III - Trang 6")</f>
        <v/>
      </c>
    </row>
    <row r="147">
      <c r="A147" s="4" t="n">
        <v>142</v>
      </c>
      <c r="B147" t="inlineStr">
        <is>
          <t>Đơn giá chi tiết</t>
        </is>
      </c>
      <c r="C147" s="4" t="n">
        <v>99</v>
      </c>
      <c r="D147" s="5" t="inlineStr">
        <is>
          <t>BA.12110</t>
        </is>
      </c>
      <c r="E147" t="inlineStr">
        <is>
          <t>Dàn lạnh treo tường CSL: 2.5 kW</t>
        </is>
      </c>
      <c r="F147" s="6" t="inlineStr">
        <is>
          <t>Đã khớp TT38</t>
        </is>
      </c>
      <c r="G147" t="inlineStr">
        <is>
          <t>Khớp nhóm BA.121</t>
        </is>
      </c>
      <c r="H147" s="7">
        <f>HYPERLINK("tt38://pl3/6", "👉 Mở Phụ lục III - Trang 6")</f>
        <v/>
      </c>
    </row>
    <row r="148">
      <c r="A148" s="4" t="n">
        <v>143</v>
      </c>
      <c r="B148" t="inlineStr">
        <is>
          <t>Đơn giá chi tiết</t>
        </is>
      </c>
      <c r="C148" s="4" t="n">
        <v>108</v>
      </c>
      <c r="D148" s="5" t="inlineStr">
        <is>
          <t>BA.12110</t>
        </is>
      </c>
      <c r="E148" t="inlineStr">
        <is>
          <t>Dàn lạnh treo tường CSL: 5.0 kW</t>
        </is>
      </c>
      <c r="F148" s="6" t="inlineStr">
        <is>
          <t>Đã khớp TT38</t>
        </is>
      </c>
      <c r="G148" t="inlineStr">
        <is>
          <t>Khớp nhóm BA.121</t>
        </is>
      </c>
      <c r="H148" s="7">
        <f>HYPERLINK("tt38://pl3/6", "👉 Mở Phụ lục III - Trang 6")</f>
        <v/>
      </c>
    </row>
    <row r="149">
      <c r="A149" s="4" t="n">
        <v>144</v>
      </c>
      <c r="B149" t="inlineStr">
        <is>
          <t>Đơn giá chi tiết</t>
        </is>
      </c>
      <c r="C149" s="4" t="n">
        <v>117</v>
      </c>
      <c r="D149" s="5" t="inlineStr">
        <is>
          <t>BA.12110</t>
        </is>
      </c>
      <c r="E149" t="inlineStr">
        <is>
          <t>Dàn lạnh treo tường CSL: 7.1 kW</t>
        </is>
      </c>
      <c r="F149" s="6" t="inlineStr">
        <is>
          <t>Đã khớp TT38</t>
        </is>
      </c>
      <c r="G149" t="inlineStr">
        <is>
          <t>Khớp nhóm BA.121</t>
        </is>
      </c>
      <c r="H149" s="7">
        <f>HYPERLINK("tt38://pl3/6", "👉 Mở Phụ lục III - Trang 6")</f>
        <v/>
      </c>
    </row>
    <row r="150">
      <c r="A150" s="4" t="n">
        <v>145</v>
      </c>
      <c r="B150" t="inlineStr">
        <is>
          <t>Đơn giá chi tiết</t>
        </is>
      </c>
      <c r="C150" s="4" t="n">
        <v>131</v>
      </c>
      <c r="D150" s="5" t="inlineStr">
        <is>
          <t>BB.51001</t>
        </is>
      </c>
      <c r="E150" t="inlineStr">
        <is>
          <t>Ống đồng_D6.4_0.81mm</t>
        </is>
      </c>
      <c r="F150" s="6" t="inlineStr">
        <is>
          <t>Đã khớp TT38</t>
        </is>
      </c>
      <c r="G150" t="inlineStr">
        <is>
          <t>Khớp nhóm BB.5100</t>
        </is>
      </c>
      <c r="H150" s="7">
        <f>HYPERLINK("tt38://pl3/100", "👉 Mở Phụ lục III - Trang 100")</f>
        <v/>
      </c>
    </row>
    <row r="151">
      <c r="A151" s="4" t="n">
        <v>146</v>
      </c>
      <c r="B151" t="inlineStr">
        <is>
          <t>Đơn giá chi tiết</t>
        </is>
      </c>
      <c r="C151" s="4" t="n">
        <v>142</v>
      </c>
      <c r="D151" s="5" t="inlineStr">
        <is>
          <t>BB.51002</t>
        </is>
      </c>
      <c r="E151" t="inlineStr">
        <is>
          <t>Ống đồng_D9.5_0.81mm</t>
        </is>
      </c>
      <c r="F151" s="6" t="inlineStr">
        <is>
          <t>Đã khớp TT38</t>
        </is>
      </c>
      <c r="G151" t="inlineStr">
        <is>
          <t>Khớp nhóm BB.5100</t>
        </is>
      </c>
      <c r="H151" s="7">
        <f>HYPERLINK("tt38://pl3/100", "👉 Mở Phụ lục III - Trang 100")</f>
        <v/>
      </c>
    </row>
    <row r="152">
      <c r="A152" s="4" t="n">
        <v>147</v>
      </c>
      <c r="B152" t="inlineStr">
        <is>
          <t>Đơn giá chi tiết</t>
        </is>
      </c>
      <c r="C152" s="4" t="n">
        <v>153</v>
      </c>
      <c r="D152" s="5" t="inlineStr">
        <is>
          <t>BB.51003</t>
        </is>
      </c>
      <c r="E152" t="inlineStr">
        <is>
          <t>Ống đồng_D12.7_0.81mm</t>
        </is>
      </c>
      <c r="F152" s="6" t="inlineStr">
        <is>
          <t>Đã khớp TT38</t>
        </is>
      </c>
      <c r="G152" t="inlineStr">
        <is>
          <t>Khớp nhóm BB.5100</t>
        </is>
      </c>
      <c r="H152" s="7">
        <f>HYPERLINK("tt38://pl3/100", "👉 Mở Phụ lục III - Trang 100")</f>
        <v/>
      </c>
    </row>
    <row r="153">
      <c r="A153" s="4" t="n">
        <v>148</v>
      </c>
      <c r="B153" t="inlineStr">
        <is>
          <t>Đơn giá chi tiết</t>
        </is>
      </c>
      <c r="C153" s="4" t="n">
        <v>164</v>
      </c>
      <c r="D153" s="5" t="inlineStr">
        <is>
          <t>BB.51004</t>
        </is>
      </c>
      <c r="E153" t="inlineStr">
        <is>
          <t>Ống đồng_D15.9_0.99mm</t>
        </is>
      </c>
      <c r="F153" s="6" t="inlineStr">
        <is>
          <t>Đã khớp TT38</t>
        </is>
      </c>
      <c r="G153" t="inlineStr">
        <is>
          <t>Khớp nhóm BB.5100</t>
        </is>
      </c>
      <c r="H153" s="7">
        <f>HYPERLINK("tt38://pl3/100", "👉 Mở Phụ lục III - Trang 100")</f>
        <v/>
      </c>
    </row>
    <row r="154">
      <c r="A154" s="4" t="n">
        <v>149</v>
      </c>
      <c r="B154" t="inlineStr">
        <is>
          <t>Đơn giá chi tiết</t>
        </is>
      </c>
      <c r="C154" s="4" t="n">
        <v>175</v>
      </c>
      <c r="D154" s="5" t="inlineStr">
        <is>
          <t>BB.51005</t>
        </is>
      </c>
      <c r="E154" t="inlineStr">
        <is>
          <t>Ống đồng_D19.1_0.99mm</t>
        </is>
      </c>
      <c r="F154" s="6" t="inlineStr">
        <is>
          <t>Đã khớp TT38</t>
        </is>
      </c>
      <c r="G154" t="inlineStr">
        <is>
          <t>Khớp nhóm BB.5100</t>
        </is>
      </c>
      <c r="H154" s="7">
        <f>HYPERLINK("tt38://pl3/100", "👉 Mở Phụ lục III - Trang 100")</f>
        <v/>
      </c>
    </row>
    <row r="155">
      <c r="A155" s="4" t="n">
        <v>150</v>
      </c>
      <c r="B155" t="inlineStr">
        <is>
          <t>Đơn giá chi tiết</t>
        </is>
      </c>
      <c r="C155" s="4" t="n">
        <v>186</v>
      </c>
      <c r="D155" s="5" t="inlineStr">
        <is>
          <t>BB.51006</t>
        </is>
      </c>
      <c r="E155" t="inlineStr">
        <is>
          <t>Ống đồng_D22.2_1.14mm</t>
        </is>
      </c>
      <c r="F155" s="6" t="inlineStr">
        <is>
          <t>Đã khớp TT38</t>
        </is>
      </c>
      <c r="G155" t="inlineStr">
        <is>
          <t>Khớp nhóm BB.5100</t>
        </is>
      </c>
      <c r="H155" s="7">
        <f>HYPERLINK("tt38://pl3/100", "👉 Mở Phụ lục III - Trang 100")</f>
        <v/>
      </c>
    </row>
    <row r="156">
      <c r="A156" s="4" t="n">
        <v>151</v>
      </c>
      <c r="B156" t="inlineStr">
        <is>
          <t>Đơn giá chi tiết</t>
        </is>
      </c>
      <c r="C156" s="4" t="n">
        <v>197</v>
      </c>
      <c r="D156" s="5" t="inlineStr">
        <is>
          <t>BB.51008</t>
        </is>
      </c>
      <c r="E156" t="inlineStr">
        <is>
          <t>Ống đồng_D28.6_1.27mm</t>
        </is>
      </c>
      <c r="F156" s="6" t="inlineStr">
        <is>
          <t>Đã khớp TT38</t>
        </is>
      </c>
      <c r="G156" t="inlineStr">
        <is>
          <t>Khớp nhóm BB.5100</t>
        </is>
      </c>
      <c r="H156" s="7">
        <f>HYPERLINK("tt38://pl3/100", "👉 Mở Phụ lục III - Trang 100")</f>
        <v/>
      </c>
    </row>
    <row r="157">
      <c r="A157" s="4" t="n">
        <v>152</v>
      </c>
      <c r="B157" t="inlineStr">
        <is>
          <t>Đơn giá chi tiết</t>
        </is>
      </c>
      <c r="C157" s="4" t="n">
        <v>208</v>
      </c>
      <c r="D157" s="5" t="inlineStr">
        <is>
          <t>BB.51010</t>
        </is>
      </c>
      <c r="E157" t="inlineStr">
        <is>
          <t>Ống đồng_D34.9_1.40mm</t>
        </is>
      </c>
      <c r="F157" s="6" t="inlineStr">
        <is>
          <t>Đã khớp TT38</t>
        </is>
      </c>
      <c r="G157" t="inlineStr">
        <is>
          <t>Khớp nhóm BB.510</t>
        </is>
      </c>
      <c r="H157" s="7">
        <f>HYPERLINK("tt38://pl3/100", "👉 Mở Phụ lục III - Trang 100")</f>
        <v/>
      </c>
    </row>
    <row r="158">
      <c r="A158" s="4" t="n">
        <v>153</v>
      </c>
      <c r="B158" t="inlineStr">
        <is>
          <t>Đơn giá chi tiết</t>
        </is>
      </c>
      <c r="C158" s="4" t="n">
        <v>219</v>
      </c>
      <c r="D158" s="5" t="inlineStr">
        <is>
          <t>BB.51012</t>
        </is>
      </c>
      <c r="E158" t="inlineStr">
        <is>
          <t>Ống đồng_D41.3_1.53mm</t>
        </is>
      </c>
      <c r="F158" s="6" t="inlineStr">
        <is>
          <t>Đã khớp TT38</t>
        </is>
      </c>
      <c r="G158" t="inlineStr">
        <is>
          <t>Khớp nhóm BB.510</t>
        </is>
      </c>
      <c r="H158" s="7">
        <f>HYPERLINK("tt38://pl3/100", "👉 Mở Phụ lục III - Trang 100")</f>
        <v/>
      </c>
    </row>
    <row r="159">
      <c r="A159" s="4" t="n">
        <v>154</v>
      </c>
      <c r="B159" t="inlineStr">
        <is>
          <t>Đơn giá chi tiết</t>
        </is>
      </c>
      <c r="C159" s="4" t="n">
        <v>230</v>
      </c>
      <c r="D159" s="5" t="inlineStr">
        <is>
          <t>BC.14101</t>
        </is>
      </c>
      <c r="E159" t="inlineStr">
        <is>
          <t>Bảo ôn ống đồng D6.4 dày 19mm</t>
        </is>
      </c>
      <c r="F159" s="6" t="inlineStr">
        <is>
          <t>Đã khớp TT38</t>
        </is>
      </c>
      <c r="G159" t="inlineStr">
        <is>
          <t>Khớp nhóm BC.1410</t>
        </is>
      </c>
      <c r="H159" s="7">
        <f>HYPERLINK("tt38://pl3/212", "👉 Mở Phụ lục III - Trang 212")</f>
        <v/>
      </c>
    </row>
    <row r="160">
      <c r="A160" s="4" t="n">
        <v>155</v>
      </c>
      <c r="B160" t="inlineStr">
        <is>
          <t>Đơn giá chi tiết</t>
        </is>
      </c>
      <c r="C160" s="4" t="n">
        <v>238</v>
      </c>
      <c r="D160" s="5" t="inlineStr">
        <is>
          <t>BC.14102</t>
        </is>
      </c>
      <c r="E160" t="inlineStr">
        <is>
          <t>Bảo ôn ống đồng D9.5 dày 19mm</t>
        </is>
      </c>
      <c r="F160" s="6" t="inlineStr">
        <is>
          <t>Đã khớp TT38</t>
        </is>
      </c>
      <c r="G160" t="inlineStr">
        <is>
          <t>Khớp nhóm BC.1410</t>
        </is>
      </c>
      <c r="H160" s="7">
        <f>HYPERLINK("tt38://pl3/212", "👉 Mở Phụ lục III - Trang 212")</f>
        <v/>
      </c>
    </row>
    <row r="161">
      <c r="A161" s="4" t="n">
        <v>156</v>
      </c>
      <c r="B161" t="inlineStr">
        <is>
          <t>Đơn giá chi tiết</t>
        </is>
      </c>
      <c r="C161" s="4" t="n">
        <v>246</v>
      </c>
      <c r="D161" s="5" t="inlineStr">
        <is>
          <t>BC.14103</t>
        </is>
      </c>
      <c r="E161" t="inlineStr">
        <is>
          <t>Bảo ôn ống đồng D12.7 dày 19mm</t>
        </is>
      </c>
      <c r="F161" s="6" t="inlineStr">
        <is>
          <t>Đã khớp TT38</t>
        </is>
      </c>
      <c r="G161" t="inlineStr">
        <is>
          <t>Khớp nhóm BC.1410</t>
        </is>
      </c>
      <c r="H161" s="7">
        <f>HYPERLINK("tt38://pl3/212", "👉 Mở Phụ lục III - Trang 212")</f>
        <v/>
      </c>
    </row>
    <row r="162">
      <c r="A162" s="4" t="n">
        <v>157</v>
      </c>
      <c r="B162" t="inlineStr">
        <is>
          <t>Đơn giá chi tiết</t>
        </is>
      </c>
      <c r="C162" s="4" t="n">
        <v>254</v>
      </c>
      <c r="D162" s="5" t="inlineStr">
        <is>
          <t>BC.14104</t>
        </is>
      </c>
      <c r="E162" t="inlineStr">
        <is>
          <t>Bảo ôn ống đồng D15.9 dày 19mm</t>
        </is>
      </c>
      <c r="F162" s="6" t="inlineStr">
        <is>
          <t>Đã khớp TT38</t>
        </is>
      </c>
      <c r="G162" t="inlineStr">
        <is>
          <t>Khớp nhóm BC.1410</t>
        </is>
      </c>
      <c r="H162" s="7">
        <f>HYPERLINK("tt38://pl3/212", "👉 Mở Phụ lục III - Trang 212")</f>
        <v/>
      </c>
    </row>
    <row r="163">
      <c r="A163" s="4" t="n">
        <v>158</v>
      </c>
      <c r="B163" t="inlineStr">
        <is>
          <t>Đơn giá chi tiết</t>
        </is>
      </c>
      <c r="C163" s="4" t="n">
        <v>262</v>
      </c>
      <c r="D163" s="5" t="inlineStr">
        <is>
          <t>BC.14105</t>
        </is>
      </c>
      <c r="E163" t="inlineStr">
        <is>
          <t>Bảo ôn ống đồng D19.1 dày 19mm</t>
        </is>
      </c>
      <c r="F163" s="6" t="inlineStr">
        <is>
          <t>Đã khớp TT38</t>
        </is>
      </c>
      <c r="G163" t="inlineStr">
        <is>
          <t>Khớp nhóm BC.1410</t>
        </is>
      </c>
      <c r="H163" s="7">
        <f>HYPERLINK("tt38://pl3/212", "👉 Mở Phụ lục III - Trang 212")</f>
        <v/>
      </c>
    </row>
    <row r="164">
      <c r="A164" s="4" t="n">
        <v>159</v>
      </c>
      <c r="B164" t="inlineStr">
        <is>
          <t>Đơn giá chi tiết</t>
        </is>
      </c>
      <c r="C164" s="4" t="n">
        <v>270</v>
      </c>
      <c r="D164" s="5" t="inlineStr">
        <is>
          <t>BC.14106</t>
        </is>
      </c>
      <c r="E164" t="inlineStr">
        <is>
          <t>Bảo ôn ống đồng D22.2 dày 19mm</t>
        </is>
      </c>
      <c r="F164" s="6" t="inlineStr">
        <is>
          <t>Đã khớp TT38</t>
        </is>
      </c>
      <c r="G164" t="inlineStr">
        <is>
          <t>Khớp nhóm BC.1410</t>
        </is>
      </c>
      <c r="H164" s="7">
        <f>HYPERLINK("tt38://pl3/212", "👉 Mở Phụ lục III - Trang 212")</f>
        <v/>
      </c>
    </row>
    <row r="165">
      <c r="A165" s="4" t="n">
        <v>160</v>
      </c>
      <c r="B165" t="inlineStr">
        <is>
          <t>Đơn giá chi tiết</t>
        </is>
      </c>
      <c r="C165" s="4" t="n">
        <v>278</v>
      </c>
      <c r="D165" s="5" t="inlineStr">
        <is>
          <t>BC.14108</t>
        </is>
      </c>
      <c r="E165" t="inlineStr">
        <is>
          <t>Bảo ôn ống đồng D28.6 dày 19mm</t>
        </is>
      </c>
      <c r="F165" s="6" t="inlineStr">
        <is>
          <t>Đã khớp TT38</t>
        </is>
      </c>
      <c r="G165" t="inlineStr">
        <is>
          <t>Khớp nhóm BC.1410</t>
        </is>
      </c>
      <c r="H165" s="7">
        <f>HYPERLINK("tt38://pl3/212", "👉 Mở Phụ lục III - Trang 212")</f>
        <v/>
      </c>
    </row>
    <row r="166">
      <c r="A166" s="4" t="n">
        <v>161</v>
      </c>
      <c r="B166" t="inlineStr">
        <is>
          <t>Đơn giá chi tiết</t>
        </is>
      </c>
      <c r="C166" s="4" t="n">
        <v>286</v>
      </c>
      <c r="D166" s="5" t="inlineStr">
        <is>
          <t>BC.14110</t>
        </is>
      </c>
      <c r="E166" t="inlineStr">
        <is>
          <t>Bảo ôn ống đồng D34.9 dày 19mm</t>
        </is>
      </c>
      <c r="F166" s="6" t="inlineStr">
        <is>
          <t>Đã khớp TT38</t>
        </is>
      </c>
      <c r="G166" t="inlineStr">
        <is>
          <t>Khớp nhóm BC.141</t>
        </is>
      </c>
      <c r="H166" s="7">
        <f>HYPERLINK("tt38://pl3/212", "👉 Mở Phụ lục III - Trang 212")</f>
        <v/>
      </c>
    </row>
    <row r="167">
      <c r="A167" s="4" t="n">
        <v>162</v>
      </c>
      <c r="B167" t="inlineStr">
        <is>
          <t>Đơn giá chi tiết</t>
        </is>
      </c>
      <c r="C167" s="4" t="n">
        <v>294</v>
      </c>
      <c r="D167" s="5" t="inlineStr">
        <is>
          <t>BC.14112</t>
        </is>
      </c>
      <c r="E167" t="inlineStr">
        <is>
          <t>Bảo ôn ống đồng D41.3 dày 19mm</t>
        </is>
      </c>
      <c r="F167" s="6" t="inlineStr">
        <is>
          <t>Đã khớp TT38</t>
        </is>
      </c>
      <c r="G167" t="inlineStr">
        <is>
          <t>Khớp nhóm BC.141</t>
        </is>
      </c>
      <c r="H167" s="7">
        <f>HYPERLINK("tt38://pl3/212", "👉 Mở Phụ lục III - Trang 212")</f>
        <v/>
      </c>
    </row>
    <row r="168">
      <c r="A168" s="4" t="n">
        <v>163</v>
      </c>
      <c r="B168" t="inlineStr">
        <is>
          <t>Đơn giá chi tiết</t>
        </is>
      </c>
      <c r="C168" s="4" t="n">
        <v>303</v>
      </c>
      <c r="D168" s="5" t="inlineStr">
        <is>
          <t>BB.41101</t>
        </is>
      </c>
      <c r="E168" t="inlineStr">
        <is>
          <t>Ống uPVC_D21</t>
        </is>
      </c>
      <c r="F168" s="6" t="inlineStr">
        <is>
          <t>Đã khớp TT38</t>
        </is>
      </c>
      <c r="G168" t="inlineStr">
        <is>
          <t>Khớp nhóm BB.4110</t>
        </is>
      </c>
      <c r="H168" s="7">
        <f>HYPERLINK("tt38://pl3/71", "👉 Mở Phụ lục III - Trang 71")</f>
        <v/>
      </c>
    </row>
    <row r="169">
      <c r="A169" s="4" t="n">
        <v>164</v>
      </c>
      <c r="B169" t="inlineStr">
        <is>
          <t>Đơn giá chi tiết</t>
        </is>
      </c>
      <c r="C169" s="4" t="n">
        <v>312</v>
      </c>
      <c r="D169" s="5" t="inlineStr">
        <is>
          <t>BB.41102</t>
        </is>
      </c>
      <c r="E169" t="inlineStr">
        <is>
          <t>Ống uPVC_D27</t>
        </is>
      </c>
      <c r="F169" s="6" t="inlineStr">
        <is>
          <t>Đã khớp TT38</t>
        </is>
      </c>
      <c r="G169" t="inlineStr">
        <is>
          <t>Khớp nhóm BB.4110</t>
        </is>
      </c>
      <c r="H169" s="7">
        <f>HYPERLINK("tt38://pl3/71", "👉 Mở Phụ lục III - Trang 71")</f>
        <v/>
      </c>
    </row>
    <row r="170">
      <c r="A170" s="4" t="n">
        <v>165</v>
      </c>
      <c r="B170" t="inlineStr">
        <is>
          <t>Đơn giá chi tiết</t>
        </is>
      </c>
      <c r="C170" s="4" t="n">
        <v>321</v>
      </c>
      <c r="D170" s="5" t="inlineStr">
        <is>
          <t>BB.41103</t>
        </is>
      </c>
      <c r="E170" t="inlineStr">
        <is>
          <t>Ống uPVC_D34</t>
        </is>
      </c>
      <c r="F170" s="6" t="inlineStr">
        <is>
          <t>Đã khớp TT38</t>
        </is>
      </c>
      <c r="G170" t="inlineStr">
        <is>
          <t>Khớp nhóm BB.4110</t>
        </is>
      </c>
      <c r="H170" s="7">
        <f>HYPERLINK("tt38://pl3/71", "👉 Mở Phụ lục III - Trang 71")</f>
        <v/>
      </c>
    </row>
    <row r="171">
      <c r="A171" s="4" t="n">
        <v>166</v>
      </c>
      <c r="B171" t="inlineStr">
        <is>
          <t>Đơn giá chi tiết</t>
        </is>
      </c>
      <c r="C171" s="4" t="n">
        <v>330</v>
      </c>
      <c r="D171" s="5" t="inlineStr">
        <is>
          <t>BB.41104</t>
        </is>
      </c>
      <c r="E171" t="inlineStr">
        <is>
          <t>Ống uPVC_D42</t>
        </is>
      </c>
      <c r="F171" s="6" t="inlineStr">
        <is>
          <t>Đã khớp TT38</t>
        </is>
      </c>
      <c r="G171" t="inlineStr">
        <is>
          <t>Khớp nhóm BB.4110</t>
        </is>
      </c>
      <c r="H171" s="7">
        <f>HYPERLINK("tt38://pl3/71", "👉 Mở Phụ lục III - Trang 71")</f>
        <v/>
      </c>
    </row>
    <row r="172">
      <c r="A172" s="4" t="n">
        <v>167</v>
      </c>
      <c r="B172" t="inlineStr">
        <is>
          <t>Đơn giá chi tiết</t>
        </is>
      </c>
      <c r="C172" s="4" t="n">
        <v>339</v>
      </c>
      <c r="D172" s="5" t="inlineStr">
        <is>
          <t>BB.41105</t>
        </is>
      </c>
      <c r="E172" t="inlineStr">
        <is>
          <t>Ống uPVC_D48</t>
        </is>
      </c>
      <c r="F172" s="6" t="inlineStr">
        <is>
          <t>Đã khớp TT38</t>
        </is>
      </c>
      <c r="G172" t="inlineStr">
        <is>
          <t>Khớp nhóm BB.4110</t>
        </is>
      </c>
      <c r="H172" s="7">
        <f>HYPERLINK("tt38://pl3/71", "👉 Mở Phụ lục III - Trang 71")</f>
        <v/>
      </c>
    </row>
    <row r="173">
      <c r="A173" s="4" t="n">
        <v>168</v>
      </c>
      <c r="B173" t="inlineStr">
        <is>
          <t>Đơn giá chi tiết</t>
        </is>
      </c>
      <c r="C173" s="4" t="n">
        <v>348</v>
      </c>
      <c r="D173" s="5" t="inlineStr">
        <is>
          <t>BC.13102</t>
        </is>
      </c>
      <c r="E173" t="inlineStr">
        <is>
          <t>Bảo ôn ống uPVC D21 dày 13mm</t>
        </is>
      </c>
      <c r="F173" s="6" t="inlineStr">
        <is>
          <t>Đã khớp TT38</t>
        </is>
      </c>
      <c r="G173" t="inlineStr">
        <is>
          <t>Khớp nhóm BC.1310</t>
        </is>
      </c>
      <c r="H173" s="7">
        <f>HYPERLINK("tt38://pl3/204", "👉 Mở Phụ lục III - Trang 204")</f>
        <v/>
      </c>
    </row>
    <row r="174">
      <c r="A174" s="4" t="n">
        <v>169</v>
      </c>
      <c r="B174" t="inlineStr">
        <is>
          <t>Đơn giá chi tiết</t>
        </is>
      </c>
      <c r="C174" s="4" t="n">
        <v>355</v>
      </c>
      <c r="D174" s="5" t="inlineStr">
        <is>
          <t>BC.13103</t>
        </is>
      </c>
      <c r="E174" t="inlineStr">
        <is>
          <t>Bảo ôn ống uPVC D27 dày 13mm</t>
        </is>
      </c>
      <c r="F174" s="6" t="inlineStr">
        <is>
          <t>Đã khớp TT38</t>
        </is>
      </c>
      <c r="G174" t="inlineStr">
        <is>
          <t>Khớp nhóm BC.1310</t>
        </is>
      </c>
      <c r="H174" s="7">
        <f>HYPERLINK("tt38://pl3/204", "👉 Mở Phụ lục III - Trang 204")</f>
        <v/>
      </c>
    </row>
    <row r="175">
      <c r="A175" s="4" t="n">
        <v>170</v>
      </c>
      <c r="B175" t="inlineStr">
        <is>
          <t>Đơn giá chi tiết</t>
        </is>
      </c>
      <c r="C175" s="4" t="n">
        <v>362</v>
      </c>
      <c r="D175" s="5" t="inlineStr">
        <is>
          <t>BC.13104</t>
        </is>
      </c>
      <c r="E175" t="inlineStr">
        <is>
          <t>Bảo ôn ống uPVC D34 dày 13mm</t>
        </is>
      </c>
      <c r="F175" s="6" t="inlineStr">
        <is>
          <t>Đã khớp TT38</t>
        </is>
      </c>
      <c r="G175" t="inlineStr">
        <is>
          <t>Khớp nhóm BC.1310</t>
        </is>
      </c>
      <c r="H175" s="7">
        <f>HYPERLINK("tt38://pl3/204", "👉 Mở Phụ lục III - Trang 204")</f>
        <v/>
      </c>
    </row>
    <row r="176">
      <c r="A176" s="4" t="n">
        <v>171</v>
      </c>
      <c r="B176" t="inlineStr">
        <is>
          <t>Đơn giá chi tiết</t>
        </is>
      </c>
      <c r="C176" s="4" t="n">
        <v>369</v>
      </c>
      <c r="D176" s="5" t="inlineStr">
        <is>
          <t>BC.13105</t>
        </is>
      </c>
      <c r="E176" t="inlineStr">
        <is>
          <t>Bảo ôn ống uPVC D42 dày 13mm</t>
        </is>
      </c>
      <c r="F176" s="6" t="inlineStr">
        <is>
          <t>Đã khớp TT38</t>
        </is>
      </c>
      <c r="G176" t="inlineStr">
        <is>
          <t>Khớp nhóm BC.1310</t>
        </is>
      </c>
      <c r="H176" s="7">
        <f>HYPERLINK("tt38://pl3/204", "👉 Mở Phụ lục III - Trang 204")</f>
        <v/>
      </c>
    </row>
    <row r="177">
      <c r="A177" s="4" t="n">
        <v>172</v>
      </c>
      <c r="B177" t="inlineStr">
        <is>
          <t>Đơn giá chi tiết</t>
        </is>
      </c>
      <c r="C177" s="4" t="n">
        <v>376</v>
      </c>
      <c r="D177" s="5" t="inlineStr">
        <is>
          <t>BC.13106</t>
        </is>
      </c>
      <c r="E177" t="inlineStr">
        <is>
          <t>Bảo ôn ống uPVC D48 dày 13mm</t>
        </is>
      </c>
      <c r="F177" s="6" t="inlineStr">
        <is>
          <t>Đã khớp TT38</t>
        </is>
      </c>
      <c r="G177" t="inlineStr">
        <is>
          <t>Khớp nhóm BC.1310</t>
        </is>
      </c>
      <c r="H177" s="7">
        <f>HYPERLINK("tt38://pl3/204", "👉 Mở Phụ lục III - Trang 204")</f>
        <v/>
      </c>
    </row>
    <row r="178">
      <c r="A178" s="4" t="n">
        <v>173</v>
      </c>
      <c r="B178" t="inlineStr">
        <is>
          <t>Đơn giá chi tiết</t>
        </is>
      </c>
      <c r="C178" s="4" t="n">
        <v>384</v>
      </c>
      <c r="D178" s="5" t="inlineStr">
        <is>
          <t>BA.16201</t>
        </is>
      </c>
      <c r="E178" t="inlineStr">
        <is>
          <t>Dây điện_Cu/PVC_2x(1x0.75)mm2</t>
        </is>
      </c>
      <c r="F178" s="6" t="inlineStr">
        <is>
          <t>Đã khớp TT38</t>
        </is>
      </c>
      <c r="G178" t="inlineStr">
        <is>
          <t>Khớp nhóm BA.1620</t>
        </is>
      </c>
      <c r="H178" s="7">
        <f>HYPERLINK("tt38://pl3/14", "👉 Mở Phụ lục III - Trang 14")</f>
        <v/>
      </c>
    </row>
    <row r="179">
      <c r="A179" s="4" t="n">
        <v>174</v>
      </c>
      <c r="B179" t="inlineStr">
        <is>
          <t>Đơn giá chi tiết</t>
        </is>
      </c>
      <c r="C179" s="4" t="n">
        <v>391</v>
      </c>
      <c r="D179" s="5" t="inlineStr">
        <is>
          <t>BA.16202</t>
        </is>
      </c>
      <c r="E179" t="inlineStr">
        <is>
          <t>Dây điện_Cu/PVC_2x(1x1.5)mm2</t>
        </is>
      </c>
      <c r="F179" s="6" t="inlineStr">
        <is>
          <t>Đã khớp TT38</t>
        </is>
      </c>
      <c r="G179" t="inlineStr">
        <is>
          <t>Khớp nhóm BA.1620</t>
        </is>
      </c>
      <c r="H179" s="7">
        <f>HYPERLINK("tt38://pl3/14", "👉 Mở Phụ lục III - Trang 14")</f>
        <v/>
      </c>
    </row>
    <row r="180">
      <c r="A180" s="4" t="n">
        <v>175</v>
      </c>
      <c r="B180" t="inlineStr">
        <is>
          <t>Đơn giá chi tiết</t>
        </is>
      </c>
      <c r="C180" s="4" t="n">
        <v>398</v>
      </c>
      <c r="D180" s="5" t="inlineStr">
        <is>
          <t>BA.16202</t>
        </is>
      </c>
      <c r="E180" t="inlineStr">
        <is>
          <t>Dây điện_Cu/PVC_2x(1x2.5)mm2</t>
        </is>
      </c>
      <c r="F180" s="6" t="inlineStr">
        <is>
          <t>Đã khớp TT38</t>
        </is>
      </c>
      <c r="G180" t="inlineStr">
        <is>
          <t>Khớp nhóm BA.1620</t>
        </is>
      </c>
      <c r="H180" s="7">
        <f>HYPERLINK("tt38://pl3/14", "👉 Mở Phụ lục III - Trang 14")</f>
        <v/>
      </c>
    </row>
    <row r="181">
      <c r="A181" s="4" t="n">
        <v>176</v>
      </c>
      <c r="B181" t="inlineStr">
        <is>
          <t>Đơn giá chi tiết</t>
        </is>
      </c>
      <c r="C181" s="4" t="n">
        <v>405</v>
      </c>
      <c r="D181" s="5" t="inlineStr">
        <is>
          <t>BA.16202</t>
        </is>
      </c>
      <c r="E181" t="inlineStr">
        <is>
          <t>Dây điện_Cu/PVC_2x(1x4.0)mm2</t>
        </is>
      </c>
      <c r="F181" s="6" t="inlineStr">
        <is>
          <t>Đã khớp TT38</t>
        </is>
      </c>
      <c r="G181" t="inlineStr">
        <is>
          <t>Khớp nhóm BA.1620</t>
        </is>
      </c>
      <c r="H181" s="7">
        <f>HYPERLINK("tt38://pl3/14", "👉 Mở Phụ lục III - Trang 14")</f>
        <v/>
      </c>
    </row>
    <row r="182">
      <c r="A182" s="4" t="n">
        <v>177</v>
      </c>
      <c r="B182" t="inlineStr">
        <is>
          <t>Chi tiết KL</t>
        </is>
      </c>
      <c r="C182" s="4" t="n">
        <v>6</v>
      </c>
      <c r="D182" s="5" t="inlineStr">
        <is>
          <t>MD.12002</t>
        </is>
      </c>
      <c r="E182" t="inlineStr">
        <is>
          <t>Dàn nóng điều hòa VRF, Multi</t>
        </is>
      </c>
      <c r="F182" s="6" t="inlineStr">
        <is>
          <t>Đã khớp TT38</t>
        </is>
      </c>
      <c r="G182" t="inlineStr">
        <is>
          <t>Khớp nhóm MD.1200</t>
        </is>
      </c>
      <c r="H182" s="7">
        <f>HYPERLINK("tt38://pl5/37", "👉 Mở Phụ lục IV - Trang 37")</f>
        <v/>
      </c>
    </row>
    <row r="183">
      <c r="A183" s="4" t="n">
        <v>178</v>
      </c>
      <c r="B183" t="inlineStr">
        <is>
          <t>Chi tiết KL</t>
        </is>
      </c>
      <c r="C183" s="4" t="n">
        <v>13</v>
      </c>
      <c r="D183" s="5" t="inlineStr">
        <is>
          <t>BA.12130</t>
        </is>
      </c>
      <c r="E183" t="inlineStr">
        <is>
          <t>Dàn lạnh âm trần nối ống gió, CSL: 7.1 kW</t>
        </is>
      </c>
      <c r="F183" s="6" t="inlineStr">
        <is>
          <t>Đã khớp TT38</t>
        </is>
      </c>
      <c r="G183" t="inlineStr">
        <is>
          <t>Khớp nhóm BA.121</t>
        </is>
      </c>
      <c r="H183" s="7">
        <f>HYPERLINK("tt38://pl3/6", "👉 Mở Phụ lục III - Trang 6")</f>
        <v/>
      </c>
    </row>
    <row r="184">
      <c r="A184" s="4" t="n">
        <v>179</v>
      </c>
      <c r="B184" t="inlineStr">
        <is>
          <t>Chi tiết KL</t>
        </is>
      </c>
      <c r="C184" s="4" t="n">
        <v>14</v>
      </c>
      <c r="D184" s="5" t="inlineStr">
        <is>
          <t>BA.12130</t>
        </is>
      </c>
      <c r="E184" t="inlineStr">
        <is>
          <t>Dàn lạnh cassette, CSL: 9.0 kW</t>
        </is>
      </c>
      <c r="F184" s="6" t="inlineStr">
        <is>
          <t>Đã khớp TT38</t>
        </is>
      </c>
      <c r="G184" t="inlineStr">
        <is>
          <t>Khớp nhóm BA.121</t>
        </is>
      </c>
      <c r="H184" s="7">
        <f>HYPERLINK("tt38://pl3/6", "👉 Mở Phụ lục III - Trang 6")</f>
        <v/>
      </c>
    </row>
    <row r="185">
      <c r="A185" s="4" t="n">
        <v>180</v>
      </c>
      <c r="B185" t="inlineStr">
        <is>
          <t>Chi tiết KL</t>
        </is>
      </c>
      <c r="C185" s="4" t="n">
        <v>15</v>
      </c>
      <c r="D185" s="5" t="inlineStr">
        <is>
          <t>BA.12130</t>
        </is>
      </c>
      <c r="E185" t="inlineStr">
        <is>
          <t>Dàn lạnh cassette, CSL: 11.2 kW</t>
        </is>
      </c>
      <c r="F185" s="6" t="inlineStr">
        <is>
          <t>Đã khớp TT38</t>
        </is>
      </c>
      <c r="G185" t="inlineStr">
        <is>
          <t>Khớp nhóm BA.121</t>
        </is>
      </c>
      <c r="H185" s="7">
        <f>HYPERLINK("tt38://pl3/6", "👉 Mở Phụ lục III - Trang 6")</f>
        <v/>
      </c>
    </row>
    <row r="186">
      <c r="A186" s="4" t="n">
        <v>181</v>
      </c>
      <c r="B186" t="inlineStr">
        <is>
          <t>Chi tiết KL</t>
        </is>
      </c>
      <c r="C186" s="4" t="n">
        <v>16</v>
      </c>
      <c r="D186" s="5" t="inlineStr">
        <is>
          <t>BA.12130</t>
        </is>
      </c>
      <c r="E186" t="inlineStr">
        <is>
          <t>Dàn lạnh cassette, CSL: 14.0 kW</t>
        </is>
      </c>
      <c r="F186" s="6" t="inlineStr">
        <is>
          <t>Đã khớp TT38</t>
        </is>
      </c>
      <c r="G186" t="inlineStr">
        <is>
          <t>Khớp nhóm BA.121</t>
        </is>
      </c>
      <c r="H186" s="7">
        <f>HYPERLINK("tt38://pl3/6", "👉 Mở Phụ lục III - Trang 6")</f>
        <v/>
      </c>
    </row>
    <row r="187">
      <c r="A187" s="4" t="n">
        <v>182</v>
      </c>
      <c r="B187" t="inlineStr">
        <is>
          <t>Chi tiết KL</t>
        </is>
      </c>
      <c r="C187" s="4" t="n">
        <v>17</v>
      </c>
      <c r="D187" s="5" t="inlineStr">
        <is>
          <t>BA.12130</t>
        </is>
      </c>
      <c r="E187" t="inlineStr">
        <is>
          <t>Dàn lạnh âm trần nối ống gió CSL: 7.1 kW</t>
        </is>
      </c>
      <c r="F187" s="6" t="inlineStr">
        <is>
          <t>Đã khớp TT38</t>
        </is>
      </c>
      <c r="G187" t="inlineStr">
        <is>
          <t>Khớp nhóm BA.121</t>
        </is>
      </c>
      <c r="H187" s="7">
        <f>HYPERLINK("tt38://pl3/6", "👉 Mở Phụ lục III - Trang 6")</f>
        <v/>
      </c>
    </row>
    <row r="188">
      <c r="A188" s="4" t="n">
        <v>183</v>
      </c>
      <c r="B188" t="inlineStr">
        <is>
          <t>Chi tiết KL</t>
        </is>
      </c>
      <c r="C188" s="4" t="n">
        <v>18</v>
      </c>
      <c r="D188" s="5" t="inlineStr">
        <is>
          <t>BA.12130</t>
        </is>
      </c>
      <c r="E188" t="inlineStr">
        <is>
          <t>Dàn lạnh cassette CSL: 7.1 kW</t>
        </is>
      </c>
      <c r="F188" s="6" t="inlineStr">
        <is>
          <t>Đã khớp TT38</t>
        </is>
      </c>
      <c r="G188" t="inlineStr">
        <is>
          <t>Khớp nhóm BA.121</t>
        </is>
      </c>
      <c r="H188" s="7">
        <f>HYPERLINK("tt38://pl3/6", "👉 Mở Phụ lục III - Trang 6")</f>
        <v/>
      </c>
    </row>
    <row r="189">
      <c r="A189" s="4" t="n">
        <v>184</v>
      </c>
      <c r="B189" t="inlineStr">
        <is>
          <t>Chi tiết KL</t>
        </is>
      </c>
      <c r="C189" s="4" t="n">
        <v>19</v>
      </c>
      <c r="D189" s="5" t="inlineStr">
        <is>
          <t>BA.12130</t>
        </is>
      </c>
      <c r="E189" t="inlineStr">
        <is>
          <t>Dàn lạnh cassette CSL: 10.0 kW</t>
        </is>
      </c>
      <c r="F189" s="6" t="inlineStr">
        <is>
          <t>Đã khớp TT38</t>
        </is>
      </c>
      <c r="G189" t="inlineStr">
        <is>
          <t>Khớp nhóm BA.121</t>
        </is>
      </c>
      <c r="H189" s="7">
        <f>HYPERLINK("tt38://pl3/6", "👉 Mở Phụ lục III - Trang 6")</f>
        <v/>
      </c>
    </row>
    <row r="190">
      <c r="A190" s="4" t="n">
        <v>185</v>
      </c>
      <c r="B190" t="inlineStr">
        <is>
          <t>Chi tiết KL</t>
        </is>
      </c>
      <c r="C190" s="4" t="n">
        <v>20</v>
      </c>
      <c r="D190" s="5" t="inlineStr">
        <is>
          <t>BA.12130</t>
        </is>
      </c>
      <c r="E190" t="inlineStr">
        <is>
          <t>Dàn lạnh cassette CSL: 12.5 kW</t>
        </is>
      </c>
      <c r="F190" s="6" t="inlineStr">
        <is>
          <t>Đã khớp TT38</t>
        </is>
      </c>
      <c r="G190" t="inlineStr">
        <is>
          <t>Khớp nhóm BA.121</t>
        </is>
      </c>
      <c r="H190" s="7">
        <f>HYPERLINK("tt38://pl3/6", "👉 Mở Phụ lục III - Trang 6")</f>
        <v/>
      </c>
    </row>
    <row r="191">
      <c r="A191" s="4" t="n">
        <v>186</v>
      </c>
      <c r="B191" t="inlineStr">
        <is>
          <t>Chi tiết KL</t>
        </is>
      </c>
      <c r="C191" s="4" t="n">
        <v>21</v>
      </c>
      <c r="D191" s="5" t="inlineStr">
        <is>
          <t>BA.12110</t>
        </is>
      </c>
      <c r="E191" t="inlineStr">
        <is>
          <t>Dàn lạnh treo tường CSL: 2.5 kW</t>
        </is>
      </c>
      <c r="F191" s="6" t="inlineStr">
        <is>
          <t>Đã khớp TT38</t>
        </is>
      </c>
      <c r="G191" t="inlineStr">
        <is>
          <t>Khớp nhóm BA.121</t>
        </is>
      </c>
      <c r="H191" s="7">
        <f>HYPERLINK("tt38://pl3/6", "👉 Mở Phụ lục III - Trang 6")</f>
        <v/>
      </c>
    </row>
    <row r="192">
      <c r="A192" s="4" t="n">
        <v>187</v>
      </c>
      <c r="B192" t="inlineStr">
        <is>
          <t>Chi tiết KL</t>
        </is>
      </c>
      <c r="C192" s="4" t="n">
        <v>22</v>
      </c>
      <c r="D192" s="5" t="inlineStr">
        <is>
          <t>BA.12110</t>
        </is>
      </c>
      <c r="E192" t="inlineStr">
        <is>
          <t>Dàn lạnh treo tường CSL: 5.0 kW</t>
        </is>
      </c>
      <c r="F192" s="6" t="inlineStr">
        <is>
          <t>Đã khớp TT38</t>
        </is>
      </c>
      <c r="G192" t="inlineStr">
        <is>
          <t>Khớp nhóm BA.121</t>
        </is>
      </c>
      <c r="H192" s="7">
        <f>HYPERLINK("tt38://pl3/6", "👉 Mở Phụ lục III - Trang 6")</f>
        <v/>
      </c>
    </row>
    <row r="193">
      <c r="A193" s="4" t="n">
        <v>188</v>
      </c>
      <c r="B193" t="inlineStr">
        <is>
          <t>Chi tiết KL</t>
        </is>
      </c>
      <c r="C193" s="4" t="n">
        <v>23</v>
      </c>
      <c r="D193" s="5" t="inlineStr">
        <is>
          <t>BA.12110</t>
        </is>
      </c>
      <c r="E193" t="inlineStr">
        <is>
          <t>Dàn lạnh treo tường CSL: 7.1 kW</t>
        </is>
      </c>
      <c r="F193" s="6" t="inlineStr">
        <is>
          <t>Đã khớp TT38</t>
        </is>
      </c>
      <c r="G193" t="inlineStr">
        <is>
          <t>Khớp nhóm BA.121</t>
        </is>
      </c>
      <c r="H193" s="7">
        <f>HYPERLINK("tt38://pl3/6", "👉 Mở Phụ lục III - Trang 6")</f>
        <v/>
      </c>
    </row>
    <row r="194">
      <c r="A194" s="4" t="n">
        <v>189</v>
      </c>
      <c r="B194" t="inlineStr">
        <is>
          <t>Chi tiết KL</t>
        </is>
      </c>
      <c r="C194" s="4" t="n">
        <v>31</v>
      </c>
      <c r="D194" s="5" t="inlineStr">
        <is>
          <t>BB.51001</t>
        </is>
      </c>
      <c r="E194" t="inlineStr">
        <is>
          <t>Ống đồng_D6.4_0.81mm</t>
        </is>
      </c>
      <c r="F194" s="6" t="inlineStr">
        <is>
          <t>Đã khớp TT38</t>
        </is>
      </c>
      <c r="G194" t="inlineStr">
        <is>
          <t>Khớp nhóm BB.5100</t>
        </is>
      </c>
      <c r="H194" s="7">
        <f>HYPERLINK("tt38://pl3/100", "👉 Mở Phụ lục III - Trang 100")</f>
        <v/>
      </c>
    </row>
    <row r="195">
      <c r="A195" s="4" t="n">
        <v>190</v>
      </c>
      <c r="B195" t="inlineStr">
        <is>
          <t>Chi tiết KL</t>
        </is>
      </c>
      <c r="C195" s="4" t="n">
        <v>32</v>
      </c>
      <c r="D195" s="5" t="inlineStr">
        <is>
          <t>BB.51002</t>
        </is>
      </c>
      <c r="E195" t="inlineStr">
        <is>
          <t>Ống đồng_D9.5_0.81mm</t>
        </is>
      </c>
      <c r="F195" s="6" t="inlineStr">
        <is>
          <t>Đã khớp TT38</t>
        </is>
      </c>
      <c r="G195" t="inlineStr">
        <is>
          <t>Khớp nhóm BB.5100</t>
        </is>
      </c>
      <c r="H195" s="7">
        <f>HYPERLINK("tt38://pl3/100", "👉 Mở Phụ lục III - Trang 100")</f>
        <v/>
      </c>
    </row>
    <row r="196">
      <c r="A196" s="4" t="n">
        <v>191</v>
      </c>
      <c r="B196" t="inlineStr">
        <is>
          <t>Chi tiết KL</t>
        </is>
      </c>
      <c r="C196" s="4" t="n">
        <v>33</v>
      </c>
      <c r="D196" s="5" t="inlineStr">
        <is>
          <t>BB.51003</t>
        </is>
      </c>
      <c r="E196" t="inlineStr">
        <is>
          <t>Ống đồng_D12.7_0.81mm</t>
        </is>
      </c>
      <c r="F196" s="6" t="inlineStr">
        <is>
          <t>Đã khớp TT38</t>
        </is>
      </c>
      <c r="G196" t="inlineStr">
        <is>
          <t>Khớp nhóm BB.5100</t>
        </is>
      </c>
      <c r="H196" s="7">
        <f>HYPERLINK("tt38://pl3/100", "👉 Mở Phụ lục III - Trang 100")</f>
        <v/>
      </c>
    </row>
    <row r="197">
      <c r="A197" s="4" t="n">
        <v>192</v>
      </c>
      <c r="B197" t="inlineStr">
        <is>
          <t>Chi tiết KL</t>
        </is>
      </c>
      <c r="C197" s="4" t="n">
        <v>34</v>
      </c>
      <c r="D197" s="5" t="inlineStr">
        <is>
          <t>BB.51004</t>
        </is>
      </c>
      <c r="E197" t="inlineStr">
        <is>
          <t>Ống đồng_D15.9_0.99mm</t>
        </is>
      </c>
      <c r="F197" s="6" t="inlineStr">
        <is>
          <t>Đã khớp TT38</t>
        </is>
      </c>
      <c r="G197" t="inlineStr">
        <is>
          <t>Khớp nhóm BB.5100</t>
        </is>
      </c>
      <c r="H197" s="7">
        <f>HYPERLINK("tt38://pl3/100", "👉 Mở Phụ lục III - Trang 100")</f>
        <v/>
      </c>
    </row>
    <row r="198">
      <c r="A198" s="4" t="n">
        <v>193</v>
      </c>
      <c r="B198" t="inlineStr">
        <is>
          <t>Chi tiết KL</t>
        </is>
      </c>
      <c r="C198" s="4" t="n">
        <v>35</v>
      </c>
      <c r="D198" s="5" t="inlineStr">
        <is>
          <t>BB.51005</t>
        </is>
      </c>
      <c r="E198" t="inlineStr">
        <is>
          <t>Ống đồng_D19.1_0.99mm</t>
        </is>
      </c>
      <c r="F198" s="6" t="inlineStr">
        <is>
          <t>Đã khớp TT38</t>
        </is>
      </c>
      <c r="G198" t="inlineStr">
        <is>
          <t>Khớp nhóm BB.5100</t>
        </is>
      </c>
      <c r="H198" s="7">
        <f>HYPERLINK("tt38://pl3/100", "👉 Mở Phụ lục III - Trang 100")</f>
        <v/>
      </c>
    </row>
    <row r="199">
      <c r="A199" s="4" t="n">
        <v>194</v>
      </c>
      <c r="B199" t="inlineStr">
        <is>
          <t>Chi tiết KL</t>
        </is>
      </c>
      <c r="C199" s="4" t="n">
        <v>36</v>
      </c>
      <c r="D199" s="5" t="inlineStr">
        <is>
          <t>BB.51006</t>
        </is>
      </c>
      <c r="E199" t="inlineStr">
        <is>
          <t>Ống đồng_D22.2_1.14mm</t>
        </is>
      </c>
      <c r="F199" s="6" t="inlineStr">
        <is>
          <t>Đã khớp TT38</t>
        </is>
      </c>
      <c r="G199" t="inlineStr">
        <is>
          <t>Khớp nhóm BB.5100</t>
        </is>
      </c>
      <c r="H199" s="7">
        <f>HYPERLINK("tt38://pl3/100", "👉 Mở Phụ lục III - Trang 100")</f>
        <v/>
      </c>
    </row>
    <row r="200">
      <c r="A200" s="4" t="n">
        <v>195</v>
      </c>
      <c r="B200" t="inlineStr">
        <is>
          <t>Chi tiết KL</t>
        </is>
      </c>
      <c r="C200" s="4" t="n">
        <v>37</v>
      </c>
      <c r="D200" s="5" t="inlineStr">
        <is>
          <t>BB.51008</t>
        </is>
      </c>
      <c r="E200" t="inlineStr">
        <is>
          <t>Ống đồng_D28.6_1.27mm</t>
        </is>
      </c>
      <c r="F200" s="6" t="inlineStr">
        <is>
          <t>Đã khớp TT38</t>
        </is>
      </c>
      <c r="G200" t="inlineStr">
        <is>
          <t>Khớp nhóm BB.5100</t>
        </is>
      </c>
      <c r="H200" s="7">
        <f>HYPERLINK("tt38://pl3/100", "👉 Mở Phụ lục III - Trang 100")</f>
        <v/>
      </c>
    </row>
    <row r="201">
      <c r="A201" s="4" t="n">
        <v>196</v>
      </c>
      <c r="B201" t="inlineStr">
        <is>
          <t>Chi tiết KL</t>
        </is>
      </c>
      <c r="C201" s="4" t="n">
        <v>38</v>
      </c>
      <c r="D201" s="5" t="inlineStr">
        <is>
          <t>BB.51010</t>
        </is>
      </c>
      <c r="E201" t="inlineStr">
        <is>
          <t>Ống đồng_D34.9_1.40mm</t>
        </is>
      </c>
      <c r="F201" s="6" t="inlineStr">
        <is>
          <t>Đã khớp TT38</t>
        </is>
      </c>
      <c r="G201" t="inlineStr">
        <is>
          <t>Khớp nhóm BB.510</t>
        </is>
      </c>
      <c r="H201" s="7">
        <f>HYPERLINK("tt38://pl3/100", "👉 Mở Phụ lục III - Trang 100")</f>
        <v/>
      </c>
    </row>
    <row r="202">
      <c r="A202" s="4" t="n">
        <v>197</v>
      </c>
      <c r="B202" t="inlineStr">
        <is>
          <t>Chi tiết KL</t>
        </is>
      </c>
      <c r="C202" s="4" t="n">
        <v>39</v>
      </c>
      <c r="D202" s="5" t="inlineStr">
        <is>
          <t>BB.51012</t>
        </is>
      </c>
      <c r="E202" t="inlineStr">
        <is>
          <t>Ống đồng_D41.3_1.53mm</t>
        </is>
      </c>
      <c r="F202" s="6" t="inlineStr">
        <is>
          <t>Đã khớp TT38</t>
        </is>
      </c>
      <c r="G202" t="inlineStr">
        <is>
          <t>Khớp nhóm BB.510</t>
        </is>
      </c>
      <c r="H202" s="7">
        <f>HYPERLINK("tt38://pl3/100", "👉 Mở Phụ lục III - Trang 100")</f>
        <v/>
      </c>
    </row>
    <row r="203">
      <c r="A203" s="4" t="n">
        <v>198</v>
      </c>
      <c r="B203" t="inlineStr">
        <is>
          <t>Chi tiết KL</t>
        </is>
      </c>
      <c r="C203" s="4" t="n">
        <v>40</v>
      </c>
      <c r="D203" s="5" t="inlineStr">
        <is>
          <t>BC.14101</t>
        </is>
      </c>
      <c r="E203" t="inlineStr">
        <is>
          <t>Bảo ôn ống đồng D6.4 dày 19mm</t>
        </is>
      </c>
      <c r="F203" s="6" t="inlineStr">
        <is>
          <t>Đã khớp TT38</t>
        </is>
      </c>
      <c r="G203" t="inlineStr">
        <is>
          <t>Khớp nhóm BC.1410</t>
        </is>
      </c>
      <c r="H203" s="7">
        <f>HYPERLINK("tt38://pl3/212", "👉 Mở Phụ lục III - Trang 212")</f>
        <v/>
      </c>
    </row>
    <row r="204">
      <c r="A204" s="4" t="n">
        <v>199</v>
      </c>
      <c r="B204" t="inlineStr">
        <is>
          <t>Chi tiết KL</t>
        </is>
      </c>
      <c r="C204" s="4" t="n">
        <v>41</v>
      </c>
      <c r="D204" s="5" t="inlineStr">
        <is>
          <t>BC.14102</t>
        </is>
      </c>
      <c r="E204" t="inlineStr">
        <is>
          <t>Bảo ôn ống đồng D9.5 dày 19mm</t>
        </is>
      </c>
      <c r="F204" s="6" t="inlineStr">
        <is>
          <t>Đã khớp TT38</t>
        </is>
      </c>
      <c r="G204" t="inlineStr">
        <is>
          <t>Khớp nhóm BC.1410</t>
        </is>
      </c>
      <c r="H204" s="7">
        <f>HYPERLINK("tt38://pl3/212", "👉 Mở Phụ lục III - Trang 212")</f>
        <v/>
      </c>
    </row>
    <row r="205">
      <c r="A205" s="4" t="n">
        <v>200</v>
      </c>
      <c r="B205" t="inlineStr">
        <is>
          <t>Chi tiết KL</t>
        </is>
      </c>
      <c r="C205" s="4" t="n">
        <v>42</v>
      </c>
      <c r="D205" s="5" t="inlineStr">
        <is>
          <t>BC.14103</t>
        </is>
      </c>
      <c r="E205" t="inlineStr">
        <is>
          <t>Bảo ôn ống đồng D12.7 dày 19mm</t>
        </is>
      </c>
      <c r="F205" s="6" t="inlineStr">
        <is>
          <t>Đã khớp TT38</t>
        </is>
      </c>
      <c r="G205" t="inlineStr">
        <is>
          <t>Khớp nhóm BC.1410</t>
        </is>
      </c>
      <c r="H205" s="7">
        <f>HYPERLINK("tt38://pl3/212", "👉 Mở Phụ lục III - Trang 212")</f>
        <v/>
      </c>
    </row>
    <row r="206">
      <c r="A206" s="4" t="n">
        <v>201</v>
      </c>
      <c r="B206" t="inlineStr">
        <is>
          <t>Chi tiết KL</t>
        </is>
      </c>
      <c r="C206" s="4" t="n">
        <v>43</v>
      </c>
      <c r="D206" s="5" t="inlineStr">
        <is>
          <t>BC.14104</t>
        </is>
      </c>
      <c r="E206" t="inlineStr">
        <is>
          <t>Bảo ôn ống đồng D15.9 dày 19mm</t>
        </is>
      </c>
      <c r="F206" s="6" t="inlineStr">
        <is>
          <t>Đã khớp TT38</t>
        </is>
      </c>
      <c r="G206" t="inlineStr">
        <is>
          <t>Khớp nhóm BC.1410</t>
        </is>
      </c>
      <c r="H206" s="7">
        <f>HYPERLINK("tt38://pl3/212", "👉 Mở Phụ lục III - Trang 212")</f>
        <v/>
      </c>
    </row>
    <row r="207">
      <c r="A207" s="4" t="n">
        <v>202</v>
      </c>
      <c r="B207" t="inlineStr">
        <is>
          <t>Chi tiết KL</t>
        </is>
      </c>
      <c r="C207" s="4" t="n">
        <v>44</v>
      </c>
      <c r="D207" s="5" t="inlineStr">
        <is>
          <t>BC.14105</t>
        </is>
      </c>
      <c r="E207" t="inlineStr">
        <is>
          <t>Bảo ôn ống đồng D19.1 dày 19mm</t>
        </is>
      </c>
      <c r="F207" s="6" t="inlineStr">
        <is>
          <t>Đã khớp TT38</t>
        </is>
      </c>
      <c r="G207" t="inlineStr">
        <is>
          <t>Khớp nhóm BC.1410</t>
        </is>
      </c>
      <c r="H207" s="7">
        <f>HYPERLINK("tt38://pl3/212", "👉 Mở Phụ lục III - Trang 212")</f>
        <v/>
      </c>
    </row>
    <row r="208">
      <c r="A208" s="4" t="n">
        <v>203</v>
      </c>
      <c r="B208" t="inlineStr">
        <is>
          <t>Chi tiết KL</t>
        </is>
      </c>
      <c r="C208" s="4" t="n">
        <v>45</v>
      </c>
      <c r="D208" s="5" t="inlineStr">
        <is>
          <t>BC.14106</t>
        </is>
      </c>
      <c r="E208" t="inlineStr">
        <is>
          <t>Bảo ôn ống đồng D22.2 dày 19mm</t>
        </is>
      </c>
      <c r="F208" s="6" t="inlineStr">
        <is>
          <t>Đã khớp TT38</t>
        </is>
      </c>
      <c r="G208" t="inlineStr">
        <is>
          <t>Khớp nhóm BC.1410</t>
        </is>
      </c>
      <c r="H208" s="7">
        <f>HYPERLINK("tt38://pl3/212", "👉 Mở Phụ lục III - Trang 212")</f>
        <v/>
      </c>
    </row>
    <row r="209">
      <c r="A209" s="4" t="n">
        <v>204</v>
      </c>
      <c r="B209" t="inlineStr">
        <is>
          <t>Chi tiết KL</t>
        </is>
      </c>
      <c r="C209" s="4" t="n">
        <v>46</v>
      </c>
      <c r="D209" s="5" t="inlineStr">
        <is>
          <t>BC.14108</t>
        </is>
      </c>
      <c r="E209" t="inlineStr">
        <is>
          <t>Bảo ôn ống đồng D28.6 dày 19mm</t>
        </is>
      </c>
      <c r="F209" s="6" t="inlineStr">
        <is>
          <t>Đã khớp TT38</t>
        </is>
      </c>
      <c r="G209" t="inlineStr">
        <is>
          <t>Khớp nhóm BC.1410</t>
        </is>
      </c>
      <c r="H209" s="7">
        <f>HYPERLINK("tt38://pl3/212", "👉 Mở Phụ lục III - Trang 212")</f>
        <v/>
      </c>
    </row>
    <row r="210">
      <c r="A210" s="4" t="n">
        <v>205</v>
      </c>
      <c r="B210" t="inlineStr">
        <is>
          <t>Chi tiết KL</t>
        </is>
      </c>
      <c r="C210" s="4" t="n">
        <v>47</v>
      </c>
      <c r="D210" s="5" t="inlineStr">
        <is>
          <t>BC.14110</t>
        </is>
      </c>
      <c r="E210" t="inlineStr">
        <is>
          <t>Bảo ôn ống đồng D34.9 dày 19mm</t>
        </is>
      </c>
      <c r="F210" s="6" t="inlineStr">
        <is>
          <t>Đã khớp TT38</t>
        </is>
      </c>
      <c r="G210" t="inlineStr">
        <is>
          <t>Khớp nhóm BC.141</t>
        </is>
      </c>
      <c r="H210" s="7">
        <f>HYPERLINK("tt38://pl3/212", "👉 Mở Phụ lục III - Trang 212")</f>
        <v/>
      </c>
    </row>
    <row r="211">
      <c r="A211" s="4" t="n">
        <v>206</v>
      </c>
      <c r="B211" t="inlineStr">
        <is>
          <t>Chi tiết KL</t>
        </is>
      </c>
      <c r="C211" s="4" t="n">
        <v>48</v>
      </c>
      <c r="D211" s="5" t="inlineStr">
        <is>
          <t>BC.14112</t>
        </is>
      </c>
      <c r="E211" t="inlineStr">
        <is>
          <t>Bảo ôn ống đồng D41.3 dày 19mm</t>
        </is>
      </c>
      <c r="F211" s="6" t="inlineStr">
        <is>
          <t>Đã khớp TT38</t>
        </is>
      </c>
      <c r="G211" t="inlineStr">
        <is>
          <t>Khớp nhóm BC.141</t>
        </is>
      </c>
      <c r="H211" s="7">
        <f>HYPERLINK("tt38://pl3/212", "👉 Mở Phụ lục III - Trang 212")</f>
        <v/>
      </c>
    </row>
    <row r="212">
      <c r="A212" s="4" t="n">
        <v>207</v>
      </c>
      <c r="B212" t="inlineStr">
        <is>
          <t>Chi tiết KL</t>
        </is>
      </c>
      <c r="C212" s="4" t="n">
        <v>49</v>
      </c>
      <c r="D212" s="5" t="inlineStr">
        <is>
          <t>BB.41101</t>
        </is>
      </c>
      <c r="E212" t="inlineStr">
        <is>
          <t>Ống uPVC_D21</t>
        </is>
      </c>
      <c r="F212" s="6" t="inlineStr">
        <is>
          <t>Đã khớp TT38</t>
        </is>
      </c>
      <c r="G212" t="inlineStr">
        <is>
          <t>Khớp nhóm BB.4110</t>
        </is>
      </c>
      <c r="H212" s="7">
        <f>HYPERLINK("tt38://pl3/71", "👉 Mở Phụ lục III - Trang 71")</f>
        <v/>
      </c>
    </row>
    <row r="213">
      <c r="A213" s="4" t="n">
        <v>208</v>
      </c>
      <c r="B213" t="inlineStr">
        <is>
          <t>Chi tiết KL</t>
        </is>
      </c>
      <c r="C213" s="4" t="n">
        <v>50</v>
      </c>
      <c r="D213" s="5" t="inlineStr">
        <is>
          <t>BB.41102</t>
        </is>
      </c>
      <c r="E213" t="inlineStr">
        <is>
          <t>Ống uPVC_D27</t>
        </is>
      </c>
      <c r="F213" s="6" t="inlineStr">
        <is>
          <t>Đã khớp TT38</t>
        </is>
      </c>
      <c r="G213" t="inlineStr">
        <is>
          <t>Khớp nhóm BB.4110</t>
        </is>
      </c>
      <c r="H213" s="7">
        <f>HYPERLINK("tt38://pl3/71", "👉 Mở Phụ lục III - Trang 71")</f>
        <v/>
      </c>
    </row>
    <row r="214">
      <c r="A214" s="4" t="n">
        <v>209</v>
      </c>
      <c r="B214" t="inlineStr">
        <is>
          <t>Chi tiết KL</t>
        </is>
      </c>
      <c r="C214" s="4" t="n">
        <v>51</v>
      </c>
      <c r="D214" s="5" t="inlineStr">
        <is>
          <t>BB.41103</t>
        </is>
      </c>
      <c r="E214" t="inlineStr">
        <is>
          <t>Ống uPVC_D34</t>
        </is>
      </c>
      <c r="F214" s="6" t="inlineStr">
        <is>
          <t>Đã khớp TT38</t>
        </is>
      </c>
      <c r="G214" t="inlineStr">
        <is>
          <t>Khớp nhóm BB.4110</t>
        </is>
      </c>
      <c r="H214" s="7">
        <f>HYPERLINK("tt38://pl3/71", "👉 Mở Phụ lục III - Trang 71")</f>
        <v/>
      </c>
    </row>
    <row r="215">
      <c r="A215" s="4" t="n">
        <v>210</v>
      </c>
      <c r="B215" t="inlineStr">
        <is>
          <t>Chi tiết KL</t>
        </is>
      </c>
      <c r="C215" s="4" t="n">
        <v>52</v>
      </c>
      <c r="D215" s="5" t="inlineStr">
        <is>
          <t>BB.41104</t>
        </is>
      </c>
      <c r="E215" t="inlineStr">
        <is>
          <t>Ống uPVC_D42</t>
        </is>
      </c>
      <c r="F215" s="6" t="inlineStr">
        <is>
          <t>Đã khớp TT38</t>
        </is>
      </c>
      <c r="G215" t="inlineStr">
        <is>
          <t>Khớp nhóm BB.4110</t>
        </is>
      </c>
      <c r="H215" s="7">
        <f>HYPERLINK("tt38://pl3/71", "👉 Mở Phụ lục III - Trang 71")</f>
        <v/>
      </c>
    </row>
    <row r="216">
      <c r="A216" s="4" t="n">
        <v>211</v>
      </c>
      <c r="B216" t="inlineStr">
        <is>
          <t>Chi tiết KL</t>
        </is>
      </c>
      <c r="C216" s="4" t="n">
        <v>53</v>
      </c>
      <c r="D216" s="5" t="inlineStr">
        <is>
          <t>BB.41105</t>
        </is>
      </c>
      <c r="E216" t="inlineStr">
        <is>
          <t>Ống uPVC_D48</t>
        </is>
      </c>
      <c r="F216" s="6" t="inlineStr">
        <is>
          <t>Đã khớp TT38</t>
        </is>
      </c>
      <c r="G216" t="inlineStr">
        <is>
          <t>Khớp nhóm BB.4110</t>
        </is>
      </c>
      <c r="H216" s="7">
        <f>HYPERLINK("tt38://pl3/71", "👉 Mở Phụ lục III - Trang 71")</f>
        <v/>
      </c>
    </row>
    <row r="217">
      <c r="A217" s="4" t="n">
        <v>212</v>
      </c>
      <c r="B217" t="inlineStr">
        <is>
          <t>Chi tiết KL</t>
        </is>
      </c>
      <c r="C217" s="4" t="n">
        <v>54</v>
      </c>
      <c r="D217" s="5" t="inlineStr">
        <is>
          <t>BC.13102</t>
        </is>
      </c>
      <c r="E217" t="inlineStr">
        <is>
          <t>Bảo ôn ống uPVC D21 dày 13mm</t>
        </is>
      </c>
      <c r="F217" s="6" t="inlineStr">
        <is>
          <t>Đã khớp TT38</t>
        </is>
      </c>
      <c r="G217" t="inlineStr">
        <is>
          <t>Khớp nhóm BC.1310</t>
        </is>
      </c>
      <c r="H217" s="7">
        <f>HYPERLINK("tt38://pl3/204", "👉 Mở Phụ lục III - Trang 204")</f>
        <v/>
      </c>
    </row>
    <row r="218">
      <c r="A218" s="4" t="n">
        <v>213</v>
      </c>
      <c r="B218" t="inlineStr">
        <is>
          <t>Chi tiết KL</t>
        </is>
      </c>
      <c r="C218" s="4" t="n">
        <v>55</v>
      </c>
      <c r="D218" s="5" t="inlineStr">
        <is>
          <t>BC.13103</t>
        </is>
      </c>
      <c r="E218" t="inlineStr">
        <is>
          <t>Bảo ôn ống uPVC D27 dày 13mm</t>
        </is>
      </c>
      <c r="F218" s="6" t="inlineStr">
        <is>
          <t>Đã khớp TT38</t>
        </is>
      </c>
      <c r="G218" t="inlineStr">
        <is>
          <t>Khớp nhóm BC.1310</t>
        </is>
      </c>
      <c r="H218" s="7">
        <f>HYPERLINK("tt38://pl3/204", "👉 Mở Phụ lục III - Trang 204")</f>
        <v/>
      </c>
    </row>
    <row r="219">
      <c r="A219" s="4" t="n">
        <v>214</v>
      </c>
      <c r="B219" t="inlineStr">
        <is>
          <t>Chi tiết KL</t>
        </is>
      </c>
      <c r="C219" s="4" t="n">
        <v>56</v>
      </c>
      <c r="D219" s="5" t="inlineStr">
        <is>
          <t>BC.13104</t>
        </is>
      </c>
      <c r="E219" t="inlineStr">
        <is>
          <t>Bảo ôn ống uPVC D34 dày 13mm</t>
        </is>
      </c>
      <c r="F219" s="6" t="inlineStr">
        <is>
          <t>Đã khớp TT38</t>
        </is>
      </c>
      <c r="G219" t="inlineStr">
        <is>
          <t>Khớp nhóm BC.1310</t>
        </is>
      </c>
      <c r="H219" s="7">
        <f>HYPERLINK("tt38://pl3/204", "👉 Mở Phụ lục III - Trang 204")</f>
        <v/>
      </c>
    </row>
    <row r="220">
      <c r="A220" s="4" t="n">
        <v>215</v>
      </c>
      <c r="B220" t="inlineStr">
        <is>
          <t>Chi tiết KL</t>
        </is>
      </c>
      <c r="C220" s="4" t="n">
        <v>57</v>
      </c>
      <c r="D220" s="5" t="inlineStr">
        <is>
          <t>BC.13105</t>
        </is>
      </c>
      <c r="E220" t="inlineStr">
        <is>
          <t>Bảo ôn ống uPVC D42 dày 13mm</t>
        </is>
      </c>
      <c r="F220" s="6" t="inlineStr">
        <is>
          <t>Đã khớp TT38</t>
        </is>
      </c>
      <c r="G220" t="inlineStr">
        <is>
          <t>Khớp nhóm BC.1310</t>
        </is>
      </c>
      <c r="H220" s="7">
        <f>HYPERLINK("tt38://pl3/204", "👉 Mở Phụ lục III - Trang 204")</f>
        <v/>
      </c>
    </row>
    <row r="221">
      <c r="A221" s="4" t="n">
        <v>216</v>
      </c>
      <c r="B221" t="inlineStr">
        <is>
          <t>Chi tiết KL</t>
        </is>
      </c>
      <c r="C221" s="4" t="n">
        <v>58</v>
      </c>
      <c r="D221" s="5" t="inlineStr">
        <is>
          <t>BC.13106</t>
        </is>
      </c>
      <c r="E221" t="inlineStr">
        <is>
          <t>Bảo ôn ống uPVC D48 dày 13mm</t>
        </is>
      </c>
      <c r="F221" s="6" t="inlineStr">
        <is>
          <t>Đã khớp TT38</t>
        </is>
      </c>
      <c r="G221" t="inlineStr">
        <is>
          <t>Khớp nhóm BC.1310</t>
        </is>
      </c>
      <c r="H221" s="7">
        <f>HYPERLINK("tt38://pl3/204", "👉 Mở Phụ lục III - Trang 204")</f>
        <v/>
      </c>
    </row>
    <row r="222">
      <c r="A222" s="4" t="n">
        <v>217</v>
      </c>
      <c r="B222" t="inlineStr">
        <is>
          <t>Chi tiết KL</t>
        </is>
      </c>
      <c r="C222" s="4" t="n">
        <v>59</v>
      </c>
      <c r="D222" s="5" t="inlineStr">
        <is>
          <t>BA.16201</t>
        </is>
      </c>
      <c r="E222" t="inlineStr">
        <is>
          <t>Dây điện_Cu/PVC_2x(1x0.75)mm2</t>
        </is>
      </c>
      <c r="F222" s="6" t="inlineStr">
        <is>
          <t>Đã khớp TT38</t>
        </is>
      </c>
      <c r="G222" t="inlineStr">
        <is>
          <t>Khớp nhóm BA.1620</t>
        </is>
      </c>
      <c r="H222" s="7">
        <f>HYPERLINK("tt38://pl3/14", "👉 Mở Phụ lục III - Trang 14")</f>
        <v/>
      </c>
    </row>
    <row r="223">
      <c r="A223" s="4" t="n">
        <v>218</v>
      </c>
      <c r="B223" t="inlineStr">
        <is>
          <t>Chi tiết KL</t>
        </is>
      </c>
      <c r="C223" s="4" t="n">
        <v>60</v>
      </c>
      <c r="D223" s="5" t="inlineStr">
        <is>
          <t>BA.16202</t>
        </is>
      </c>
      <c r="E223" t="inlineStr">
        <is>
          <t>Dây điện_Cu/PVC_2x(1x1.5)mm2</t>
        </is>
      </c>
      <c r="F223" s="6" t="inlineStr">
        <is>
          <t>Đã khớp TT38</t>
        </is>
      </c>
      <c r="G223" t="inlineStr">
        <is>
          <t>Khớp nhóm BA.1620</t>
        </is>
      </c>
      <c r="H223" s="7">
        <f>HYPERLINK("tt38://pl3/14", "👉 Mở Phụ lục III - Trang 14")</f>
        <v/>
      </c>
    </row>
    <row r="224">
      <c r="A224" s="4" t="n">
        <v>219</v>
      </c>
      <c r="B224" t="inlineStr">
        <is>
          <t>Chi tiết KL</t>
        </is>
      </c>
      <c r="C224" s="4" t="n">
        <v>61</v>
      </c>
      <c r="D224" s="5" t="inlineStr">
        <is>
          <t>BA.16202</t>
        </is>
      </c>
      <c r="E224" t="inlineStr">
        <is>
          <t>Dây điện_Cu/PVC_2x(1x2.5)mm2</t>
        </is>
      </c>
      <c r="F224" s="6" t="inlineStr">
        <is>
          <t>Đã khớp TT38</t>
        </is>
      </c>
      <c r="G224" t="inlineStr">
        <is>
          <t>Khớp nhóm BA.1620</t>
        </is>
      </c>
      <c r="H224" s="7">
        <f>HYPERLINK("tt38://pl3/14", "👉 Mở Phụ lục III - Trang 14")</f>
        <v/>
      </c>
    </row>
    <row r="225">
      <c r="A225" s="4" t="n">
        <v>220</v>
      </c>
      <c r="B225" t="inlineStr">
        <is>
          <t>Chi tiết KL</t>
        </is>
      </c>
      <c r="C225" s="4" t="n">
        <v>62</v>
      </c>
      <c r="D225" s="5" t="inlineStr">
        <is>
          <t>BA.16202</t>
        </is>
      </c>
      <c r="E225" t="inlineStr">
        <is>
          <t>Dây điện_Cu/PVC_2x(1x4.0)mm2</t>
        </is>
      </c>
      <c r="F225" s="6" t="inlineStr">
        <is>
          <t>Đã khớp TT38</t>
        </is>
      </c>
      <c r="G225" t="inlineStr">
        <is>
          <t>Khớp nhóm BA.1620</t>
        </is>
      </c>
      <c r="H225" s="7">
        <f>HYPERLINK("tt38://pl3/14", "👉 Mở Phụ lục III - Trang 14")</f>
        <v/>
      </c>
    </row>
    <row r="226">
      <c r="A226" s="4" t="n">
        <v>221</v>
      </c>
      <c r="B226" t="inlineStr">
        <is>
          <t>Chiết tính</t>
        </is>
      </c>
      <c r="C226" s="4" t="n">
        <v>5</v>
      </c>
      <c r="D226" s="5" t="inlineStr">
        <is>
          <t>MD.12002</t>
        </is>
      </c>
      <c r="E226" t="inlineStr">
        <is>
          <t>Dàn nóng điều hòa VRF, Multi</t>
        </is>
      </c>
      <c r="F226" s="6" t="inlineStr">
        <is>
          <t>Đã khớp TT38</t>
        </is>
      </c>
      <c r="G226" t="inlineStr">
        <is>
          <t>Khớp nhóm MD.1200</t>
        </is>
      </c>
      <c r="H226" s="7">
        <f>HYPERLINK("tt38://pl5/37", "👉 Mở Phụ lục IV - Trang 37")</f>
        <v/>
      </c>
    </row>
    <row r="227">
      <c r="A227" s="4" t="n">
        <v>222</v>
      </c>
      <c r="B227" t="inlineStr">
        <is>
          <t>Chiết tính</t>
        </is>
      </c>
      <c r="C227" s="4" t="n">
        <v>37</v>
      </c>
      <c r="D227" s="5" t="inlineStr">
        <is>
          <t>BA.12130</t>
        </is>
      </c>
      <c r="E227" t="inlineStr">
        <is>
          <t>Dàn lạnh âm trần nối ống gió, CSL: 7.1 kW</t>
        </is>
      </c>
      <c r="F227" s="6" t="inlineStr">
        <is>
          <t>Đã khớp TT38</t>
        </is>
      </c>
      <c r="G227" t="inlineStr">
        <is>
          <t>Khớp nhóm BA.121</t>
        </is>
      </c>
      <c r="H227" s="7">
        <f>HYPERLINK("tt38://pl3/6", "👉 Mở Phụ lục III - Trang 6")</f>
        <v/>
      </c>
    </row>
    <row r="228">
      <c r="A228" s="4" t="n">
        <v>223</v>
      </c>
      <c r="B228" t="inlineStr">
        <is>
          <t>Chiết tính</t>
        </is>
      </c>
      <c r="C228" s="4" t="n">
        <v>56</v>
      </c>
      <c r="D228" s="5" t="inlineStr">
        <is>
          <t>BA.12130</t>
        </is>
      </c>
      <c r="E228" t="inlineStr">
        <is>
          <t>Dàn lạnh cassette, CSL: 9.0 kW</t>
        </is>
      </c>
      <c r="F228" s="6" t="inlineStr">
        <is>
          <t>Đã khớp TT38</t>
        </is>
      </c>
      <c r="G228" t="inlineStr">
        <is>
          <t>Khớp nhóm BA.121</t>
        </is>
      </c>
      <c r="H228" s="7">
        <f>HYPERLINK("tt38://pl3/6", "👉 Mở Phụ lục III - Trang 6")</f>
        <v/>
      </c>
    </row>
    <row r="229">
      <c r="A229" s="4" t="n">
        <v>224</v>
      </c>
      <c r="B229" t="inlineStr">
        <is>
          <t>Chiết tính</t>
        </is>
      </c>
      <c r="C229" s="4" t="n">
        <v>75</v>
      </c>
      <c r="D229" s="5" t="inlineStr">
        <is>
          <t>BA.12130</t>
        </is>
      </c>
      <c r="E229" t="inlineStr">
        <is>
          <t>Dàn lạnh cassette, CSL: 11.2 kW</t>
        </is>
      </c>
      <c r="F229" s="6" t="inlineStr">
        <is>
          <t>Đã khớp TT38</t>
        </is>
      </c>
      <c r="G229" t="inlineStr">
        <is>
          <t>Khớp nhóm BA.121</t>
        </is>
      </c>
      <c r="H229" s="7">
        <f>HYPERLINK("tt38://pl3/6", "👉 Mở Phụ lục III - Trang 6")</f>
        <v/>
      </c>
    </row>
    <row r="230">
      <c r="A230" s="4" t="n">
        <v>225</v>
      </c>
      <c r="B230" t="inlineStr">
        <is>
          <t>Chiết tính</t>
        </is>
      </c>
      <c r="C230" s="4" t="n">
        <v>94</v>
      </c>
      <c r="D230" s="5" t="inlineStr">
        <is>
          <t>BA.12130</t>
        </is>
      </c>
      <c r="E230" t="inlineStr">
        <is>
          <t>Dàn lạnh cassette, CSL: 14.0 kW</t>
        </is>
      </c>
      <c r="F230" s="6" t="inlineStr">
        <is>
          <t>Đã khớp TT38</t>
        </is>
      </c>
      <c r="G230" t="inlineStr">
        <is>
          <t>Khớp nhóm BA.121</t>
        </is>
      </c>
      <c r="H230" s="7">
        <f>HYPERLINK("tt38://pl3/6", "👉 Mở Phụ lục III - Trang 6")</f>
        <v/>
      </c>
    </row>
    <row r="231">
      <c r="A231" s="4" t="n">
        <v>226</v>
      </c>
      <c r="B231" t="inlineStr">
        <is>
          <t>Chiết tính</t>
        </is>
      </c>
      <c r="C231" s="4" t="n">
        <v>113</v>
      </c>
      <c r="D231" s="5" t="inlineStr">
        <is>
          <t>BA.12130</t>
        </is>
      </c>
      <c r="E231" t="inlineStr">
        <is>
          <t>Dàn lạnh âm trần nối ống gió CSL: 7.1 kW</t>
        </is>
      </c>
      <c r="F231" s="6" t="inlineStr">
        <is>
          <t>Đã khớp TT38</t>
        </is>
      </c>
      <c r="G231" t="inlineStr">
        <is>
          <t>Khớp nhóm BA.121</t>
        </is>
      </c>
      <c r="H231" s="7">
        <f>HYPERLINK("tt38://pl3/6", "👉 Mở Phụ lục III - Trang 6")</f>
        <v/>
      </c>
    </row>
    <row r="232">
      <c r="A232" s="4" t="n">
        <v>227</v>
      </c>
      <c r="B232" t="inlineStr">
        <is>
          <t>Chiết tính</t>
        </is>
      </c>
      <c r="C232" s="4" t="n">
        <v>132</v>
      </c>
      <c r="D232" s="5" t="inlineStr">
        <is>
          <t>BA.12130</t>
        </is>
      </c>
      <c r="E232" t="inlineStr">
        <is>
          <t>Dàn lạnh cassette CSL: 7.1 kW</t>
        </is>
      </c>
      <c r="F232" s="6" t="inlineStr">
        <is>
          <t>Đã khớp TT38</t>
        </is>
      </c>
      <c r="G232" t="inlineStr">
        <is>
          <t>Khớp nhóm BA.121</t>
        </is>
      </c>
      <c r="H232" s="7">
        <f>HYPERLINK("tt38://pl3/6", "👉 Mở Phụ lục III - Trang 6")</f>
        <v/>
      </c>
    </row>
    <row r="233">
      <c r="A233" s="4" t="n">
        <v>228</v>
      </c>
      <c r="B233" t="inlineStr">
        <is>
          <t>Chiết tính</t>
        </is>
      </c>
      <c r="C233" s="4" t="n">
        <v>151</v>
      </c>
      <c r="D233" s="5" t="inlineStr">
        <is>
          <t>BA.12130</t>
        </is>
      </c>
      <c r="E233" t="inlineStr">
        <is>
          <t>Dàn lạnh cassette CSL: 10.0 kW</t>
        </is>
      </c>
      <c r="F233" s="6" t="inlineStr">
        <is>
          <t>Đã khớp TT38</t>
        </is>
      </c>
      <c r="G233" t="inlineStr">
        <is>
          <t>Khớp nhóm BA.121</t>
        </is>
      </c>
      <c r="H233" s="7">
        <f>HYPERLINK("tt38://pl3/6", "👉 Mở Phụ lục III - Trang 6")</f>
        <v/>
      </c>
    </row>
    <row r="234">
      <c r="A234" s="4" t="n">
        <v>229</v>
      </c>
      <c r="B234" t="inlineStr">
        <is>
          <t>Chiết tính</t>
        </is>
      </c>
      <c r="C234" s="4" t="n">
        <v>170</v>
      </c>
      <c r="D234" s="5" t="inlineStr">
        <is>
          <t>BA.12130</t>
        </is>
      </c>
      <c r="E234" t="inlineStr">
        <is>
          <t>Dàn lạnh cassette CSL: 12.5 kW</t>
        </is>
      </c>
      <c r="F234" s="6" t="inlineStr">
        <is>
          <t>Đã khớp TT38</t>
        </is>
      </c>
      <c r="G234" t="inlineStr">
        <is>
          <t>Khớp nhóm BA.121</t>
        </is>
      </c>
      <c r="H234" s="7">
        <f>HYPERLINK("tt38://pl3/6", "👉 Mở Phụ lục III - Trang 6")</f>
        <v/>
      </c>
    </row>
    <row r="235">
      <c r="A235" s="4" t="n">
        <v>230</v>
      </c>
      <c r="B235" t="inlineStr">
        <is>
          <t>Chiết tính</t>
        </is>
      </c>
      <c r="C235" s="4" t="n">
        <v>189</v>
      </c>
      <c r="D235" s="5" t="inlineStr">
        <is>
          <t>BA.12110</t>
        </is>
      </c>
      <c r="E235" t="inlineStr">
        <is>
          <t>Dàn lạnh treo tường CSL: 2.5 kW</t>
        </is>
      </c>
      <c r="F235" s="6" t="inlineStr">
        <is>
          <t>Đã khớp TT38</t>
        </is>
      </c>
      <c r="G235" t="inlineStr">
        <is>
          <t>Khớp nhóm BA.121</t>
        </is>
      </c>
      <c r="H235" s="7">
        <f>HYPERLINK("tt38://pl3/6", "👉 Mở Phụ lục III - Trang 6")</f>
        <v/>
      </c>
    </row>
    <row r="236">
      <c r="A236" s="4" t="n">
        <v>231</v>
      </c>
      <c r="B236" t="inlineStr">
        <is>
          <t>Chiết tính</t>
        </is>
      </c>
      <c r="C236" s="4" t="n">
        <v>208</v>
      </c>
      <c r="D236" s="5" t="inlineStr">
        <is>
          <t>BA.12110</t>
        </is>
      </c>
      <c r="E236" t="inlineStr">
        <is>
          <t>Dàn lạnh treo tường CSL: 5.0 kW</t>
        </is>
      </c>
      <c r="F236" s="6" t="inlineStr">
        <is>
          <t>Đã khớp TT38</t>
        </is>
      </c>
      <c r="G236" t="inlineStr">
        <is>
          <t>Khớp nhóm BA.121</t>
        </is>
      </c>
      <c r="H236" s="7">
        <f>HYPERLINK("tt38://pl3/6", "👉 Mở Phụ lục III - Trang 6")</f>
        <v/>
      </c>
    </row>
    <row r="237">
      <c r="A237" s="4" t="n">
        <v>232</v>
      </c>
      <c r="B237" t="inlineStr">
        <is>
          <t>Chiết tính</t>
        </is>
      </c>
      <c r="C237" s="4" t="n">
        <v>227</v>
      </c>
      <c r="D237" s="5" t="inlineStr">
        <is>
          <t>BA.12110</t>
        </is>
      </c>
      <c r="E237" t="inlineStr">
        <is>
          <t>Dàn lạnh treo tường CSL: 7.1 kW</t>
        </is>
      </c>
      <c r="F237" s="6" t="inlineStr">
        <is>
          <t>Đã khớp TT38</t>
        </is>
      </c>
      <c r="G237" t="inlineStr">
        <is>
          <t>Khớp nhóm BA.121</t>
        </is>
      </c>
      <c r="H237" s="7">
        <f>HYPERLINK("tt38://pl3/6", "👉 Mở Phụ lục III - Trang 6")</f>
        <v/>
      </c>
    </row>
    <row r="238">
      <c r="A238" s="4" t="n">
        <v>233</v>
      </c>
      <c r="B238" t="inlineStr">
        <is>
          <t>Chiết tính</t>
        </is>
      </c>
      <c r="C238" s="4" t="n">
        <v>251</v>
      </c>
      <c r="D238" s="5" t="inlineStr">
        <is>
          <t>BB.51001</t>
        </is>
      </c>
      <c r="E238" t="inlineStr">
        <is>
          <t>Ống đồng_D6.4_0.81mm</t>
        </is>
      </c>
      <c r="F238" s="6" t="inlineStr">
        <is>
          <t>Đã khớp TT38</t>
        </is>
      </c>
      <c r="G238" t="inlineStr">
        <is>
          <t>Khớp nhóm BB.5100</t>
        </is>
      </c>
      <c r="H238" s="7">
        <f>HYPERLINK("tt38://pl3/100", "👉 Mở Phụ lục III - Trang 100")</f>
        <v/>
      </c>
    </row>
    <row r="239">
      <c r="A239" s="4" t="n">
        <v>234</v>
      </c>
      <c r="B239" t="inlineStr">
        <is>
          <t>Chiết tính</t>
        </is>
      </c>
      <c r="C239" s="4" t="n">
        <v>272</v>
      </c>
      <c r="D239" s="5" t="inlineStr">
        <is>
          <t>BB.51002</t>
        </is>
      </c>
      <c r="E239" t="inlineStr">
        <is>
          <t>Ống đồng_D9.5_0.81mm</t>
        </is>
      </c>
      <c r="F239" s="6" t="inlineStr">
        <is>
          <t>Đã khớp TT38</t>
        </is>
      </c>
      <c r="G239" t="inlineStr">
        <is>
          <t>Khớp nhóm BB.5100</t>
        </is>
      </c>
      <c r="H239" s="7">
        <f>HYPERLINK("tt38://pl3/100", "👉 Mở Phụ lục III - Trang 100")</f>
        <v/>
      </c>
    </row>
    <row r="240">
      <c r="A240" s="4" t="n">
        <v>235</v>
      </c>
      <c r="B240" t="inlineStr">
        <is>
          <t>Chiết tính</t>
        </is>
      </c>
      <c r="C240" s="4" t="n">
        <v>293</v>
      </c>
      <c r="D240" s="5" t="inlineStr">
        <is>
          <t>BB.51003</t>
        </is>
      </c>
      <c r="E240" t="inlineStr">
        <is>
          <t>Ống đồng_D12.7_0.81mm</t>
        </is>
      </c>
      <c r="F240" s="6" t="inlineStr">
        <is>
          <t>Đã khớp TT38</t>
        </is>
      </c>
      <c r="G240" t="inlineStr">
        <is>
          <t>Khớp nhóm BB.5100</t>
        </is>
      </c>
      <c r="H240" s="7">
        <f>HYPERLINK("tt38://pl3/100", "👉 Mở Phụ lục III - Trang 100")</f>
        <v/>
      </c>
    </row>
    <row r="241">
      <c r="A241" s="4" t="n">
        <v>236</v>
      </c>
      <c r="B241" t="inlineStr">
        <is>
          <t>Chiết tính</t>
        </is>
      </c>
      <c r="C241" s="4" t="n">
        <v>314</v>
      </c>
      <c r="D241" s="5" t="inlineStr">
        <is>
          <t>BB.51004</t>
        </is>
      </c>
      <c r="E241" t="inlineStr">
        <is>
          <t>Ống đồng_D15.9_0.99mm</t>
        </is>
      </c>
      <c r="F241" s="6" t="inlineStr">
        <is>
          <t>Đã khớp TT38</t>
        </is>
      </c>
      <c r="G241" t="inlineStr">
        <is>
          <t>Khớp nhóm BB.5100</t>
        </is>
      </c>
      <c r="H241" s="7">
        <f>HYPERLINK("tt38://pl3/100", "👉 Mở Phụ lục III - Trang 100")</f>
        <v/>
      </c>
    </row>
    <row r="242">
      <c r="A242" s="4" t="n">
        <v>237</v>
      </c>
      <c r="B242" t="inlineStr">
        <is>
          <t>Chiết tính</t>
        </is>
      </c>
      <c r="C242" s="4" t="n">
        <v>335</v>
      </c>
      <c r="D242" s="5" t="inlineStr">
        <is>
          <t>BB.51005</t>
        </is>
      </c>
      <c r="E242" t="inlineStr">
        <is>
          <t>Ống đồng_D19.1_0.99mm</t>
        </is>
      </c>
      <c r="F242" s="6" t="inlineStr">
        <is>
          <t>Đã khớp TT38</t>
        </is>
      </c>
      <c r="G242" t="inlineStr">
        <is>
          <t>Khớp nhóm BB.5100</t>
        </is>
      </c>
      <c r="H242" s="7">
        <f>HYPERLINK("tt38://pl3/100", "👉 Mở Phụ lục III - Trang 100")</f>
        <v/>
      </c>
    </row>
    <row r="243">
      <c r="A243" s="4" t="n">
        <v>238</v>
      </c>
      <c r="B243" t="inlineStr">
        <is>
          <t>Chiết tính</t>
        </is>
      </c>
      <c r="C243" s="4" t="n">
        <v>356</v>
      </c>
      <c r="D243" s="5" t="inlineStr">
        <is>
          <t>BB.51006</t>
        </is>
      </c>
      <c r="E243" t="inlineStr">
        <is>
          <t>Ống đồng_D22.2_1.14mm</t>
        </is>
      </c>
      <c r="F243" s="6" t="inlineStr">
        <is>
          <t>Đã khớp TT38</t>
        </is>
      </c>
      <c r="G243" t="inlineStr">
        <is>
          <t>Khớp nhóm BB.5100</t>
        </is>
      </c>
      <c r="H243" s="7">
        <f>HYPERLINK("tt38://pl3/100", "👉 Mở Phụ lục III - Trang 100")</f>
        <v/>
      </c>
    </row>
    <row r="244">
      <c r="A244" s="4" t="n">
        <v>239</v>
      </c>
      <c r="B244" t="inlineStr">
        <is>
          <t>Chiết tính</t>
        </is>
      </c>
      <c r="C244" s="4" t="n">
        <v>377</v>
      </c>
      <c r="D244" s="5" t="inlineStr">
        <is>
          <t>BB.51008</t>
        </is>
      </c>
      <c r="E244" t="inlineStr">
        <is>
          <t>Ống đồng_D28.6_1.27mm</t>
        </is>
      </c>
      <c r="F244" s="6" t="inlineStr">
        <is>
          <t>Đã khớp TT38</t>
        </is>
      </c>
      <c r="G244" t="inlineStr">
        <is>
          <t>Khớp nhóm BB.5100</t>
        </is>
      </c>
      <c r="H244" s="7">
        <f>HYPERLINK("tt38://pl3/100", "👉 Mở Phụ lục III - Trang 100")</f>
        <v/>
      </c>
    </row>
    <row r="245">
      <c r="A245" s="4" t="n">
        <v>240</v>
      </c>
      <c r="B245" t="inlineStr">
        <is>
          <t>Chiết tính</t>
        </is>
      </c>
      <c r="C245" s="4" t="n">
        <v>398</v>
      </c>
      <c r="D245" s="5" t="inlineStr">
        <is>
          <t>BB.51010</t>
        </is>
      </c>
      <c r="E245" t="inlineStr">
        <is>
          <t>Ống đồng_D34.9_1.40mm</t>
        </is>
      </c>
      <c r="F245" s="6" t="inlineStr">
        <is>
          <t>Đã khớp TT38</t>
        </is>
      </c>
      <c r="G245" t="inlineStr">
        <is>
          <t>Khớp nhóm BB.510</t>
        </is>
      </c>
      <c r="H245" s="7">
        <f>HYPERLINK("tt38://pl3/100", "👉 Mở Phụ lục III - Trang 100")</f>
        <v/>
      </c>
    </row>
    <row r="246">
      <c r="A246" s="4" t="n">
        <v>241</v>
      </c>
      <c r="B246" t="inlineStr">
        <is>
          <t>Chiết tính</t>
        </is>
      </c>
      <c r="C246" s="4" t="n">
        <v>419</v>
      </c>
      <c r="D246" s="5" t="inlineStr">
        <is>
          <t>BB.51012</t>
        </is>
      </c>
      <c r="E246" t="inlineStr">
        <is>
          <t>Ống đồng_D41.3_1.53mm</t>
        </is>
      </c>
      <c r="F246" s="6" t="inlineStr">
        <is>
          <t>Đã khớp TT38</t>
        </is>
      </c>
      <c r="G246" t="inlineStr">
        <is>
          <t>Khớp nhóm BB.510</t>
        </is>
      </c>
      <c r="H246" s="7">
        <f>HYPERLINK("tt38://pl3/100", "👉 Mở Phụ lục III - Trang 100")</f>
        <v/>
      </c>
    </row>
    <row r="247">
      <c r="A247" s="4" t="n">
        <v>242</v>
      </c>
      <c r="B247" t="inlineStr">
        <is>
          <t>Chiết tính</t>
        </is>
      </c>
      <c r="C247" s="4" t="n">
        <v>440</v>
      </c>
      <c r="D247" s="5" t="inlineStr">
        <is>
          <t>BC.14101</t>
        </is>
      </c>
      <c r="E247" t="inlineStr">
        <is>
          <t>Bảo ôn ống đồng D6.4 dày 19mm</t>
        </is>
      </c>
      <c r="F247" s="6" t="inlineStr">
        <is>
          <t>Đã khớp TT38</t>
        </is>
      </c>
      <c r="G247" t="inlineStr">
        <is>
          <t>Khớp nhóm BC.1410</t>
        </is>
      </c>
      <c r="H247" s="7">
        <f>HYPERLINK("tt38://pl3/212", "👉 Mở Phụ lục III - Trang 212")</f>
        <v/>
      </c>
    </row>
    <row r="248">
      <c r="A248" s="4" t="n">
        <v>243</v>
      </c>
      <c r="B248" t="inlineStr">
        <is>
          <t>Chiết tính</t>
        </is>
      </c>
      <c r="C248" s="4" t="n">
        <v>458</v>
      </c>
      <c r="D248" s="5" t="inlineStr">
        <is>
          <t>BC.14102</t>
        </is>
      </c>
      <c r="E248" t="inlineStr">
        <is>
          <t>Bảo ôn ống đồng D9.5 dày 19mm</t>
        </is>
      </c>
      <c r="F248" s="6" t="inlineStr">
        <is>
          <t>Đã khớp TT38</t>
        </is>
      </c>
      <c r="G248" t="inlineStr">
        <is>
          <t>Khớp nhóm BC.1410</t>
        </is>
      </c>
      <c r="H248" s="7">
        <f>HYPERLINK("tt38://pl3/212", "👉 Mở Phụ lục III - Trang 212")</f>
        <v/>
      </c>
    </row>
    <row r="249">
      <c r="A249" s="4" t="n">
        <v>244</v>
      </c>
      <c r="B249" t="inlineStr">
        <is>
          <t>Chiết tính</t>
        </is>
      </c>
      <c r="C249" s="4" t="n">
        <v>476</v>
      </c>
      <c r="D249" s="5" t="inlineStr">
        <is>
          <t>BC.14103</t>
        </is>
      </c>
      <c r="E249" t="inlineStr">
        <is>
          <t>Bảo ôn ống đồng D12.7 dày 19mm</t>
        </is>
      </c>
      <c r="F249" s="6" t="inlineStr">
        <is>
          <t>Đã khớp TT38</t>
        </is>
      </c>
      <c r="G249" t="inlineStr">
        <is>
          <t>Khớp nhóm BC.1410</t>
        </is>
      </c>
      <c r="H249" s="7">
        <f>HYPERLINK("tt38://pl3/212", "👉 Mở Phụ lục III - Trang 212")</f>
        <v/>
      </c>
    </row>
    <row r="250">
      <c r="A250" s="4" t="n">
        <v>245</v>
      </c>
      <c r="B250" t="inlineStr">
        <is>
          <t>Chiết tính</t>
        </is>
      </c>
      <c r="C250" s="4" t="n">
        <v>494</v>
      </c>
      <c r="D250" s="5" t="inlineStr">
        <is>
          <t>BC.14104</t>
        </is>
      </c>
      <c r="E250" t="inlineStr">
        <is>
          <t>Bảo ôn ống đồng D15.9 dày 19mm</t>
        </is>
      </c>
      <c r="F250" s="6" t="inlineStr">
        <is>
          <t>Đã khớp TT38</t>
        </is>
      </c>
      <c r="G250" t="inlineStr">
        <is>
          <t>Khớp nhóm BC.1410</t>
        </is>
      </c>
      <c r="H250" s="7">
        <f>HYPERLINK("tt38://pl3/212", "👉 Mở Phụ lục III - Trang 212")</f>
        <v/>
      </c>
    </row>
    <row r="251">
      <c r="A251" s="4" t="n">
        <v>246</v>
      </c>
      <c r="B251" t="inlineStr">
        <is>
          <t>Chiết tính</t>
        </is>
      </c>
      <c r="C251" s="4" t="n">
        <v>512</v>
      </c>
      <c r="D251" s="5" t="inlineStr">
        <is>
          <t>BC.14105</t>
        </is>
      </c>
      <c r="E251" t="inlineStr">
        <is>
          <t>Bảo ôn ống đồng D19.1 dày 19mm</t>
        </is>
      </c>
      <c r="F251" s="6" t="inlineStr">
        <is>
          <t>Đã khớp TT38</t>
        </is>
      </c>
      <c r="G251" t="inlineStr">
        <is>
          <t>Khớp nhóm BC.1410</t>
        </is>
      </c>
      <c r="H251" s="7">
        <f>HYPERLINK("tt38://pl3/212", "👉 Mở Phụ lục III - Trang 212")</f>
        <v/>
      </c>
    </row>
    <row r="252">
      <c r="A252" s="4" t="n">
        <v>247</v>
      </c>
      <c r="B252" t="inlineStr">
        <is>
          <t>Chiết tính</t>
        </is>
      </c>
      <c r="C252" s="4" t="n">
        <v>530</v>
      </c>
      <c r="D252" s="5" t="inlineStr">
        <is>
          <t>BC.14106</t>
        </is>
      </c>
      <c r="E252" t="inlineStr">
        <is>
          <t>Bảo ôn ống đồng D22.2 dày 19mm</t>
        </is>
      </c>
      <c r="F252" s="6" t="inlineStr">
        <is>
          <t>Đã khớp TT38</t>
        </is>
      </c>
      <c r="G252" t="inlineStr">
        <is>
          <t>Khớp nhóm BC.1410</t>
        </is>
      </c>
      <c r="H252" s="7">
        <f>HYPERLINK("tt38://pl3/212", "👉 Mở Phụ lục III - Trang 212")</f>
        <v/>
      </c>
    </row>
    <row r="253">
      <c r="A253" s="4" t="n">
        <v>248</v>
      </c>
      <c r="B253" t="inlineStr">
        <is>
          <t>Chiết tính</t>
        </is>
      </c>
      <c r="C253" s="4" t="n">
        <v>548</v>
      </c>
      <c r="D253" s="5" t="inlineStr">
        <is>
          <t>BC.14108</t>
        </is>
      </c>
      <c r="E253" t="inlineStr">
        <is>
          <t>Bảo ôn ống đồng D28.6 dày 19mm</t>
        </is>
      </c>
      <c r="F253" s="6" t="inlineStr">
        <is>
          <t>Đã khớp TT38</t>
        </is>
      </c>
      <c r="G253" t="inlineStr">
        <is>
          <t>Khớp nhóm BC.1410</t>
        </is>
      </c>
      <c r="H253" s="7">
        <f>HYPERLINK("tt38://pl3/212", "👉 Mở Phụ lục III - Trang 212")</f>
        <v/>
      </c>
    </row>
    <row r="254">
      <c r="A254" s="4" t="n">
        <v>249</v>
      </c>
      <c r="B254" t="inlineStr">
        <is>
          <t>Chiết tính</t>
        </is>
      </c>
      <c r="C254" s="4" t="n">
        <v>566</v>
      </c>
      <c r="D254" s="5" t="inlineStr">
        <is>
          <t>BC.14110</t>
        </is>
      </c>
      <c r="E254" t="inlineStr">
        <is>
          <t>Bảo ôn ống đồng D34.9 dày 19mm</t>
        </is>
      </c>
      <c r="F254" s="6" t="inlineStr">
        <is>
          <t>Đã khớp TT38</t>
        </is>
      </c>
      <c r="G254" t="inlineStr">
        <is>
          <t>Khớp nhóm BC.141</t>
        </is>
      </c>
      <c r="H254" s="7">
        <f>HYPERLINK("tt38://pl3/212", "👉 Mở Phụ lục III - Trang 212")</f>
        <v/>
      </c>
    </row>
    <row r="255">
      <c r="A255" s="4" t="n">
        <v>250</v>
      </c>
      <c r="B255" t="inlineStr">
        <is>
          <t>Chiết tính</t>
        </is>
      </c>
      <c r="C255" s="4" t="n">
        <v>584</v>
      </c>
      <c r="D255" s="5" t="inlineStr">
        <is>
          <t>BC.14112</t>
        </is>
      </c>
      <c r="E255" t="inlineStr">
        <is>
          <t>Bảo ôn ống đồng D41.3 dày 19mm</t>
        </is>
      </c>
      <c r="F255" s="6" t="inlineStr">
        <is>
          <t>Đã khớp TT38</t>
        </is>
      </c>
      <c r="G255" t="inlineStr">
        <is>
          <t>Khớp nhóm BC.141</t>
        </is>
      </c>
      <c r="H255" s="7">
        <f>HYPERLINK("tt38://pl3/212", "👉 Mở Phụ lục III - Trang 212")</f>
        <v/>
      </c>
    </row>
    <row r="256">
      <c r="A256" s="4" t="n">
        <v>251</v>
      </c>
      <c r="B256" t="inlineStr">
        <is>
          <t>Chiết tính</t>
        </is>
      </c>
      <c r="C256" s="4" t="n">
        <v>603</v>
      </c>
      <c r="D256" s="5" t="inlineStr">
        <is>
          <t>BB.41101</t>
        </is>
      </c>
      <c r="E256" t="inlineStr">
        <is>
          <t>Ống uPVC_D21</t>
        </is>
      </c>
      <c r="F256" s="6" t="inlineStr">
        <is>
          <t>Đã khớp TT38</t>
        </is>
      </c>
      <c r="G256" t="inlineStr">
        <is>
          <t>Khớp nhóm BB.4110</t>
        </is>
      </c>
      <c r="H256" s="7">
        <f>HYPERLINK("tt38://pl3/71", "👉 Mở Phụ lục III - Trang 71")</f>
        <v/>
      </c>
    </row>
    <row r="257">
      <c r="A257" s="4" t="n">
        <v>252</v>
      </c>
      <c r="B257" t="inlineStr">
        <is>
          <t>Chiết tính</t>
        </is>
      </c>
      <c r="C257" s="4" t="n">
        <v>622</v>
      </c>
      <c r="D257" s="5" t="inlineStr">
        <is>
          <t>BB.41102</t>
        </is>
      </c>
      <c r="E257" t="inlineStr">
        <is>
          <t>Ống uPVC_D27</t>
        </is>
      </c>
      <c r="F257" s="6" t="inlineStr">
        <is>
          <t>Đã khớp TT38</t>
        </is>
      </c>
      <c r="G257" t="inlineStr">
        <is>
          <t>Khớp nhóm BB.4110</t>
        </is>
      </c>
      <c r="H257" s="7">
        <f>HYPERLINK("tt38://pl3/71", "👉 Mở Phụ lục III - Trang 71")</f>
        <v/>
      </c>
    </row>
    <row r="258">
      <c r="A258" s="4" t="n">
        <v>253</v>
      </c>
      <c r="B258" t="inlineStr">
        <is>
          <t>Chiết tính</t>
        </is>
      </c>
      <c r="C258" s="4" t="n">
        <v>641</v>
      </c>
      <c r="D258" s="5" t="inlineStr">
        <is>
          <t>BB.41103</t>
        </is>
      </c>
      <c r="E258" t="inlineStr">
        <is>
          <t>Ống uPVC_D34</t>
        </is>
      </c>
      <c r="F258" s="6" t="inlineStr">
        <is>
          <t>Đã khớp TT38</t>
        </is>
      </c>
      <c r="G258" t="inlineStr">
        <is>
          <t>Khớp nhóm BB.4110</t>
        </is>
      </c>
      <c r="H258" s="7">
        <f>HYPERLINK("tt38://pl3/71", "👉 Mở Phụ lục III - Trang 71")</f>
        <v/>
      </c>
    </row>
    <row r="259">
      <c r="A259" s="4" t="n">
        <v>254</v>
      </c>
      <c r="B259" t="inlineStr">
        <is>
          <t>Chiết tính</t>
        </is>
      </c>
      <c r="C259" s="4" t="n">
        <v>660</v>
      </c>
      <c r="D259" s="5" t="inlineStr">
        <is>
          <t>BB.41104</t>
        </is>
      </c>
      <c r="E259" t="inlineStr">
        <is>
          <t>Ống uPVC_D42</t>
        </is>
      </c>
      <c r="F259" s="6" t="inlineStr">
        <is>
          <t>Đã khớp TT38</t>
        </is>
      </c>
      <c r="G259" t="inlineStr">
        <is>
          <t>Khớp nhóm BB.4110</t>
        </is>
      </c>
      <c r="H259" s="7">
        <f>HYPERLINK("tt38://pl3/71", "👉 Mở Phụ lục III - Trang 71")</f>
        <v/>
      </c>
    </row>
    <row r="260">
      <c r="A260" s="4" t="n">
        <v>255</v>
      </c>
      <c r="B260" t="inlineStr">
        <is>
          <t>Chiết tính</t>
        </is>
      </c>
      <c r="C260" s="4" t="n">
        <v>679</v>
      </c>
      <c r="D260" s="5" t="inlineStr">
        <is>
          <t>BB.41105</t>
        </is>
      </c>
      <c r="E260" t="inlineStr">
        <is>
          <t>Ống uPVC_D48</t>
        </is>
      </c>
      <c r="F260" s="6" t="inlineStr">
        <is>
          <t>Đã khớp TT38</t>
        </is>
      </c>
      <c r="G260" t="inlineStr">
        <is>
          <t>Khớp nhóm BB.4110</t>
        </is>
      </c>
      <c r="H260" s="7">
        <f>HYPERLINK("tt38://pl3/71", "👉 Mở Phụ lục III - Trang 71")</f>
        <v/>
      </c>
    </row>
    <row r="261">
      <c r="A261" s="4" t="n">
        <v>256</v>
      </c>
      <c r="B261" t="inlineStr">
        <is>
          <t>Chiết tính</t>
        </is>
      </c>
      <c r="C261" s="4" t="n">
        <v>698</v>
      </c>
      <c r="D261" s="5" t="inlineStr">
        <is>
          <t>BC.13102</t>
        </is>
      </c>
      <c r="E261" t="inlineStr">
        <is>
          <t>Bảo ôn ống uPVC D21 dày 13mm</t>
        </is>
      </c>
      <c r="F261" s="6" t="inlineStr">
        <is>
          <t>Đã khớp TT38</t>
        </is>
      </c>
      <c r="G261" t="inlineStr">
        <is>
          <t>Khớp nhóm BC.1310</t>
        </is>
      </c>
      <c r="H261" s="7">
        <f>HYPERLINK("tt38://pl3/204", "👉 Mở Phụ lục III - Trang 204")</f>
        <v/>
      </c>
    </row>
    <row r="262">
      <c r="A262" s="4" t="n">
        <v>257</v>
      </c>
      <c r="B262" t="inlineStr">
        <is>
          <t>Chiết tính</t>
        </is>
      </c>
      <c r="C262" s="4" t="n">
        <v>715</v>
      </c>
      <c r="D262" s="5" t="inlineStr">
        <is>
          <t>BC.13103</t>
        </is>
      </c>
      <c r="E262" t="inlineStr">
        <is>
          <t>Bảo ôn ống uPVC D27 dày 13mm</t>
        </is>
      </c>
      <c r="F262" s="6" t="inlineStr">
        <is>
          <t>Đã khớp TT38</t>
        </is>
      </c>
      <c r="G262" t="inlineStr">
        <is>
          <t>Khớp nhóm BC.1310</t>
        </is>
      </c>
      <c r="H262" s="7">
        <f>HYPERLINK("tt38://pl3/204", "👉 Mở Phụ lục III - Trang 204")</f>
        <v/>
      </c>
    </row>
    <row r="263">
      <c r="A263" s="4" t="n">
        <v>258</v>
      </c>
      <c r="B263" t="inlineStr">
        <is>
          <t>Chiết tính</t>
        </is>
      </c>
      <c r="C263" s="4" t="n">
        <v>732</v>
      </c>
      <c r="D263" s="5" t="inlineStr">
        <is>
          <t>BC.13104</t>
        </is>
      </c>
      <c r="E263" t="inlineStr">
        <is>
          <t>Bảo ôn ống uPVC D34 dày 13mm</t>
        </is>
      </c>
      <c r="F263" s="6" t="inlineStr">
        <is>
          <t>Đã khớp TT38</t>
        </is>
      </c>
      <c r="G263" t="inlineStr">
        <is>
          <t>Khớp nhóm BC.1310</t>
        </is>
      </c>
      <c r="H263" s="7">
        <f>HYPERLINK("tt38://pl3/204", "👉 Mở Phụ lục III - Trang 204")</f>
        <v/>
      </c>
    </row>
    <row r="264">
      <c r="A264" s="4" t="n">
        <v>259</v>
      </c>
      <c r="B264" t="inlineStr">
        <is>
          <t>Chiết tính</t>
        </is>
      </c>
      <c r="C264" s="4" t="n">
        <v>749</v>
      </c>
      <c r="D264" s="5" t="inlineStr">
        <is>
          <t>BC.13105</t>
        </is>
      </c>
      <c r="E264" t="inlineStr">
        <is>
          <t>Bảo ôn ống uPVC D42 dày 13mm</t>
        </is>
      </c>
      <c r="F264" s="6" t="inlineStr">
        <is>
          <t>Đã khớp TT38</t>
        </is>
      </c>
      <c r="G264" t="inlineStr">
        <is>
          <t>Khớp nhóm BC.1310</t>
        </is>
      </c>
      <c r="H264" s="7">
        <f>HYPERLINK("tt38://pl3/204", "👉 Mở Phụ lục III - Trang 204")</f>
        <v/>
      </c>
    </row>
    <row r="265">
      <c r="A265" s="4" t="n">
        <v>260</v>
      </c>
      <c r="B265" t="inlineStr">
        <is>
          <t>Chiết tính</t>
        </is>
      </c>
      <c r="C265" s="4" t="n">
        <v>766</v>
      </c>
      <c r="D265" s="5" t="inlineStr">
        <is>
          <t>BC.13106</t>
        </is>
      </c>
      <c r="E265" t="inlineStr">
        <is>
          <t>Bảo ôn ống uPVC D48 dày 13mm</t>
        </is>
      </c>
      <c r="F265" s="6" t="inlineStr">
        <is>
          <t>Đã khớp TT38</t>
        </is>
      </c>
      <c r="G265" t="inlineStr">
        <is>
          <t>Khớp nhóm BC.1310</t>
        </is>
      </c>
      <c r="H265" s="7">
        <f>HYPERLINK("tt38://pl3/204", "👉 Mở Phụ lục III - Trang 204")</f>
        <v/>
      </c>
    </row>
    <row r="266">
      <c r="A266" s="4" t="n">
        <v>261</v>
      </c>
      <c r="B266" t="inlineStr">
        <is>
          <t>Chiết tính</t>
        </is>
      </c>
      <c r="C266" s="4" t="n">
        <v>784</v>
      </c>
      <c r="D266" s="5" t="inlineStr">
        <is>
          <t>BA.16201</t>
        </is>
      </c>
      <c r="E266" t="inlineStr">
        <is>
          <t>Dây điện_Cu/PVC_2x(1x0.75)mm2</t>
        </is>
      </c>
      <c r="F266" s="6" t="inlineStr">
        <is>
          <t>Đã khớp TT38</t>
        </is>
      </c>
      <c r="G266" t="inlineStr">
        <is>
          <t>Khớp nhóm BA.1620</t>
        </is>
      </c>
      <c r="H266" s="7">
        <f>HYPERLINK("tt38://pl3/14", "👉 Mở Phụ lục III - Trang 14")</f>
        <v/>
      </c>
    </row>
    <row r="267">
      <c r="A267" s="4" t="n">
        <v>262</v>
      </c>
      <c r="B267" t="inlineStr">
        <is>
          <t>Chiết tính</t>
        </is>
      </c>
      <c r="C267" s="4" t="n">
        <v>801</v>
      </c>
      <c r="D267" s="5" t="inlineStr">
        <is>
          <t>BA.16202</t>
        </is>
      </c>
      <c r="E267" t="inlineStr">
        <is>
          <t>Dây điện_Cu/PVC_2x(1x1.5)mm2</t>
        </is>
      </c>
      <c r="F267" s="6" t="inlineStr">
        <is>
          <t>Đã khớp TT38</t>
        </is>
      </c>
      <c r="G267" t="inlineStr">
        <is>
          <t>Khớp nhóm BA.1620</t>
        </is>
      </c>
      <c r="H267" s="7">
        <f>HYPERLINK("tt38://pl3/14", "👉 Mở Phụ lục III - Trang 14")</f>
        <v/>
      </c>
    </row>
    <row r="268">
      <c r="A268" s="4" t="n">
        <v>263</v>
      </c>
      <c r="B268" t="inlineStr">
        <is>
          <t>Chiết tính</t>
        </is>
      </c>
      <c r="C268" s="4" t="n">
        <v>818</v>
      </c>
      <c r="D268" s="5" t="inlineStr">
        <is>
          <t>BA.16202</t>
        </is>
      </c>
      <c r="E268" t="inlineStr">
        <is>
          <t>Dây điện_Cu/PVC_2x(1x2.5)mm2</t>
        </is>
      </c>
      <c r="F268" s="6" t="inlineStr">
        <is>
          <t>Đã khớp TT38</t>
        </is>
      </c>
      <c r="G268" t="inlineStr">
        <is>
          <t>Khớp nhóm BA.1620</t>
        </is>
      </c>
      <c r="H268" s="7">
        <f>HYPERLINK("tt38://pl3/14", "👉 Mở Phụ lục III - Trang 14")</f>
        <v/>
      </c>
    </row>
    <row r="269">
      <c r="A269" s="4" t="n">
        <v>264</v>
      </c>
      <c r="B269" t="inlineStr">
        <is>
          <t>Chiết tính</t>
        </is>
      </c>
      <c r="C269" s="4" t="n">
        <v>835</v>
      </c>
      <c r="D269" s="5" t="inlineStr">
        <is>
          <t>BA.16202</t>
        </is>
      </c>
      <c r="E269" t="inlineStr">
        <is>
          <t>Dây điện_Cu/PVC_2x(1x4.0)mm2</t>
        </is>
      </c>
      <c r="F269" s="6" t="inlineStr">
        <is>
          <t>Đã khớp TT38</t>
        </is>
      </c>
      <c r="G269" t="inlineStr">
        <is>
          <t>Khớp nhóm BA.1620</t>
        </is>
      </c>
      <c r="H269" s="7">
        <f>HYPERLINK("tt38://pl3/14", "👉 Mở Phụ lục III - Trang 14")</f>
        <v/>
      </c>
    </row>
    <row r="270">
      <c r="A270" s="4" t="n">
        <v>265</v>
      </c>
      <c r="B270" t="inlineStr">
        <is>
          <t>Dự thầu</t>
        </is>
      </c>
      <c r="C270" s="4" t="n">
        <v>5</v>
      </c>
      <c r="D270" s="5" t="inlineStr">
        <is>
          <t>MD.12002</t>
        </is>
      </c>
      <c r="E270" t="inlineStr">
        <is>
          <t>Dàn nóng điều hòa VRF, Multi</t>
        </is>
      </c>
      <c r="F270" s="6" t="inlineStr">
        <is>
          <t>Đã khớp TT38</t>
        </is>
      </c>
      <c r="G270" t="inlineStr">
        <is>
          <t>Khớp nhóm MD.1200</t>
        </is>
      </c>
      <c r="H270" s="7">
        <f>HYPERLINK("tt38://pl5/37", "👉 Mở Phụ lục IV - Trang 37")</f>
        <v/>
      </c>
    </row>
    <row r="271">
      <c r="A271" s="4" t="n">
        <v>266</v>
      </c>
      <c r="B271" t="inlineStr">
        <is>
          <t>Dự thầu</t>
        </is>
      </c>
      <c r="C271" s="4" t="n">
        <v>6</v>
      </c>
      <c r="D271" s="5" t="inlineStr">
        <is>
          <t>BA.12130</t>
        </is>
      </c>
      <c r="E271" t="inlineStr">
        <is>
          <t>Dàn lạnh âm trần nối ống gió, CSL: 7.1 kW</t>
        </is>
      </c>
      <c r="F271" s="6" t="inlineStr">
        <is>
          <t>Đã khớp TT38</t>
        </is>
      </c>
      <c r="G271" t="inlineStr">
        <is>
          <t>Khớp nhóm BA.121</t>
        </is>
      </c>
      <c r="H271" s="7">
        <f>HYPERLINK("tt38://pl3/6", "👉 Mở Phụ lục III - Trang 6")</f>
        <v/>
      </c>
    </row>
    <row r="272">
      <c r="A272" s="4" t="n">
        <v>267</v>
      </c>
      <c r="B272" t="inlineStr">
        <is>
          <t>Dự thầu</t>
        </is>
      </c>
      <c r="C272" s="4" t="n">
        <v>7</v>
      </c>
      <c r="D272" s="5" t="inlineStr">
        <is>
          <t>BA.12130</t>
        </is>
      </c>
      <c r="E272" t="inlineStr">
        <is>
          <t>Dàn lạnh cassette, CSL: 9.0 kW</t>
        </is>
      </c>
      <c r="F272" s="6" t="inlineStr">
        <is>
          <t>Đã khớp TT38</t>
        </is>
      </c>
      <c r="G272" t="inlineStr">
        <is>
          <t>Khớp nhóm BA.121</t>
        </is>
      </c>
      <c r="H272" s="7">
        <f>HYPERLINK("tt38://pl3/6", "👉 Mở Phụ lục III - Trang 6")</f>
        <v/>
      </c>
    </row>
    <row r="273">
      <c r="A273" s="4" t="n">
        <v>268</v>
      </c>
      <c r="B273" t="inlineStr">
        <is>
          <t>Dự thầu</t>
        </is>
      </c>
      <c r="C273" s="4" t="n">
        <v>8</v>
      </c>
      <c r="D273" s="5" t="inlineStr">
        <is>
          <t>BA.12130</t>
        </is>
      </c>
      <c r="E273" t="inlineStr">
        <is>
          <t>Dàn lạnh cassette, CSL: 11.2 kW</t>
        </is>
      </c>
      <c r="F273" s="6" t="inlineStr">
        <is>
          <t>Đã khớp TT38</t>
        </is>
      </c>
      <c r="G273" t="inlineStr">
        <is>
          <t>Khớp nhóm BA.121</t>
        </is>
      </c>
      <c r="H273" s="7">
        <f>HYPERLINK("tt38://pl3/6", "👉 Mở Phụ lục III - Trang 6")</f>
        <v/>
      </c>
    </row>
    <row r="274">
      <c r="A274" s="4" t="n">
        <v>269</v>
      </c>
      <c r="B274" t="inlineStr">
        <is>
          <t>Dự thầu</t>
        </is>
      </c>
      <c r="C274" s="4" t="n">
        <v>9</v>
      </c>
      <c r="D274" s="5" t="inlineStr">
        <is>
          <t>BA.12130</t>
        </is>
      </c>
      <c r="E274" t="inlineStr">
        <is>
          <t>Dàn lạnh cassette, CSL: 14.0 kW</t>
        </is>
      </c>
      <c r="F274" s="6" t="inlineStr">
        <is>
          <t>Đã khớp TT38</t>
        </is>
      </c>
      <c r="G274" t="inlineStr">
        <is>
          <t>Khớp nhóm BA.121</t>
        </is>
      </c>
      <c r="H274" s="7">
        <f>HYPERLINK("tt38://pl3/6", "👉 Mở Phụ lục III - Trang 6")</f>
        <v/>
      </c>
    </row>
    <row r="275">
      <c r="A275" s="4" t="n">
        <v>270</v>
      </c>
      <c r="B275" t="inlineStr">
        <is>
          <t>Dự thầu</t>
        </is>
      </c>
      <c r="C275" s="4" t="n">
        <v>10</v>
      </c>
      <c r="D275" s="5" t="inlineStr">
        <is>
          <t>BA.12130</t>
        </is>
      </c>
      <c r="E275" t="inlineStr">
        <is>
          <t>Dàn lạnh âm trần nối ống gió CSL: 7.1 kW</t>
        </is>
      </c>
      <c r="F275" s="6" t="inlineStr">
        <is>
          <t>Đã khớp TT38</t>
        </is>
      </c>
      <c r="G275" t="inlineStr">
        <is>
          <t>Khớp nhóm BA.121</t>
        </is>
      </c>
      <c r="H275" s="7">
        <f>HYPERLINK("tt38://pl3/6", "👉 Mở Phụ lục III - Trang 6")</f>
        <v/>
      </c>
    </row>
    <row r="276">
      <c r="A276" s="4" t="n">
        <v>271</v>
      </c>
      <c r="B276" t="inlineStr">
        <is>
          <t>Dự thầu</t>
        </is>
      </c>
      <c r="C276" s="4" t="n">
        <v>11</v>
      </c>
      <c r="D276" s="5" t="inlineStr">
        <is>
          <t>BA.12130</t>
        </is>
      </c>
      <c r="E276" t="inlineStr">
        <is>
          <t>Dàn lạnh cassette CSL: 7.1 kW</t>
        </is>
      </c>
      <c r="F276" s="6" t="inlineStr">
        <is>
          <t>Đã khớp TT38</t>
        </is>
      </c>
      <c r="G276" t="inlineStr">
        <is>
          <t>Khớp nhóm BA.121</t>
        </is>
      </c>
      <c r="H276" s="7">
        <f>HYPERLINK("tt38://pl3/6", "👉 Mở Phụ lục III - Trang 6")</f>
        <v/>
      </c>
    </row>
    <row r="277">
      <c r="A277" s="4" t="n">
        <v>272</v>
      </c>
      <c r="B277" t="inlineStr">
        <is>
          <t>Dự thầu</t>
        </is>
      </c>
      <c r="C277" s="4" t="n">
        <v>12</v>
      </c>
      <c r="D277" s="5" t="inlineStr">
        <is>
          <t>BA.12130</t>
        </is>
      </c>
      <c r="E277" t="inlineStr">
        <is>
          <t>Dàn lạnh cassette CSL: 10.0 kW</t>
        </is>
      </c>
      <c r="F277" s="6" t="inlineStr">
        <is>
          <t>Đã khớp TT38</t>
        </is>
      </c>
      <c r="G277" t="inlineStr">
        <is>
          <t>Khớp nhóm BA.121</t>
        </is>
      </c>
      <c r="H277" s="7">
        <f>HYPERLINK("tt38://pl3/6", "👉 Mở Phụ lục III - Trang 6")</f>
        <v/>
      </c>
    </row>
    <row r="278">
      <c r="A278" s="4" t="n">
        <v>273</v>
      </c>
      <c r="B278" t="inlineStr">
        <is>
          <t>Dự thầu</t>
        </is>
      </c>
      <c r="C278" s="4" t="n">
        <v>13</v>
      </c>
      <c r="D278" s="5" t="inlineStr">
        <is>
          <t>BA.12130</t>
        </is>
      </c>
      <c r="E278" t="inlineStr">
        <is>
          <t>Dàn lạnh cassette CSL: 12.5 kW</t>
        </is>
      </c>
      <c r="F278" s="6" t="inlineStr">
        <is>
          <t>Đã khớp TT38</t>
        </is>
      </c>
      <c r="G278" t="inlineStr">
        <is>
          <t>Khớp nhóm BA.121</t>
        </is>
      </c>
      <c r="H278" s="7">
        <f>HYPERLINK("tt38://pl3/6", "👉 Mở Phụ lục III - Trang 6")</f>
        <v/>
      </c>
    </row>
    <row r="279">
      <c r="A279" s="4" t="n">
        <v>274</v>
      </c>
      <c r="B279" t="inlineStr">
        <is>
          <t>Dự thầu</t>
        </is>
      </c>
      <c r="C279" s="4" t="n">
        <v>14</v>
      </c>
      <c r="D279" s="5" t="inlineStr">
        <is>
          <t>BA.12110</t>
        </is>
      </c>
      <c r="E279" t="inlineStr">
        <is>
          <t>Dàn lạnh treo tường CSL: 2.5 kW</t>
        </is>
      </c>
      <c r="F279" s="6" t="inlineStr">
        <is>
          <t>Đã khớp TT38</t>
        </is>
      </c>
      <c r="G279" t="inlineStr">
        <is>
          <t>Khớp nhóm BA.121</t>
        </is>
      </c>
      <c r="H279" s="7">
        <f>HYPERLINK("tt38://pl3/6", "👉 Mở Phụ lục III - Trang 6")</f>
        <v/>
      </c>
    </row>
    <row r="280">
      <c r="A280" s="4" t="n">
        <v>275</v>
      </c>
      <c r="B280" t="inlineStr">
        <is>
          <t>Dự thầu</t>
        </is>
      </c>
      <c r="C280" s="4" t="n">
        <v>15</v>
      </c>
      <c r="D280" s="5" t="inlineStr">
        <is>
          <t>BA.12110</t>
        </is>
      </c>
      <c r="E280" t="inlineStr">
        <is>
          <t>Dàn lạnh treo tường CSL: 5.0 kW</t>
        </is>
      </c>
      <c r="F280" s="6" t="inlineStr">
        <is>
          <t>Đã khớp TT38</t>
        </is>
      </c>
      <c r="G280" t="inlineStr">
        <is>
          <t>Khớp nhóm BA.121</t>
        </is>
      </c>
      <c r="H280" s="7">
        <f>HYPERLINK("tt38://pl3/6", "👉 Mở Phụ lục III - Trang 6")</f>
        <v/>
      </c>
    </row>
    <row r="281">
      <c r="A281" s="4" t="n">
        <v>276</v>
      </c>
      <c r="B281" t="inlineStr">
        <is>
          <t>Dự thầu</t>
        </is>
      </c>
      <c r="C281" s="4" t="n">
        <v>16</v>
      </c>
      <c r="D281" s="5" t="inlineStr">
        <is>
          <t>BA.12110</t>
        </is>
      </c>
      <c r="E281" t="inlineStr">
        <is>
          <t>Dàn lạnh treo tường CSL: 7.1 kW</t>
        </is>
      </c>
      <c r="F281" s="6" t="inlineStr">
        <is>
          <t>Đã khớp TT38</t>
        </is>
      </c>
      <c r="G281" t="inlineStr">
        <is>
          <t>Khớp nhóm BA.121</t>
        </is>
      </c>
      <c r="H281" s="7">
        <f>HYPERLINK("tt38://pl3/6", "👉 Mở Phụ lục III - Trang 6")</f>
        <v/>
      </c>
    </row>
    <row r="282">
      <c r="A282" s="4" t="n">
        <v>277</v>
      </c>
      <c r="B282" t="inlineStr">
        <is>
          <t>Dự thầu</t>
        </is>
      </c>
      <c r="C282" s="4" t="n">
        <v>24</v>
      </c>
      <c r="D282" s="5" t="inlineStr">
        <is>
          <t>BB.51001</t>
        </is>
      </c>
      <c r="E282" t="inlineStr">
        <is>
          <t>Ống đồng_D6.4_0.81mm</t>
        </is>
      </c>
      <c r="F282" s="6" t="inlineStr">
        <is>
          <t>Đã khớp TT38</t>
        </is>
      </c>
      <c r="G282" t="inlineStr">
        <is>
          <t>Khớp nhóm BB.5100</t>
        </is>
      </c>
      <c r="H282" s="7">
        <f>HYPERLINK("tt38://pl3/100", "👉 Mở Phụ lục III - Trang 100")</f>
        <v/>
      </c>
    </row>
    <row r="283">
      <c r="A283" s="4" t="n">
        <v>278</v>
      </c>
      <c r="B283" t="inlineStr">
        <is>
          <t>Dự thầu</t>
        </is>
      </c>
      <c r="C283" s="4" t="n">
        <v>25</v>
      </c>
      <c r="D283" s="5" t="inlineStr">
        <is>
          <t>BB.51002</t>
        </is>
      </c>
      <c r="E283" t="inlineStr">
        <is>
          <t>Ống đồng_D9.5_0.81mm</t>
        </is>
      </c>
      <c r="F283" s="6" t="inlineStr">
        <is>
          <t>Đã khớp TT38</t>
        </is>
      </c>
      <c r="G283" t="inlineStr">
        <is>
          <t>Khớp nhóm BB.5100</t>
        </is>
      </c>
      <c r="H283" s="7">
        <f>HYPERLINK("tt38://pl3/100", "👉 Mở Phụ lục III - Trang 100")</f>
        <v/>
      </c>
    </row>
    <row r="284">
      <c r="A284" s="4" t="n">
        <v>279</v>
      </c>
      <c r="B284" t="inlineStr">
        <is>
          <t>Dự thầu</t>
        </is>
      </c>
      <c r="C284" s="4" t="n">
        <v>26</v>
      </c>
      <c r="D284" s="5" t="inlineStr">
        <is>
          <t>BB.51003</t>
        </is>
      </c>
      <c r="E284" t="inlineStr">
        <is>
          <t>Ống đồng_D12.7_0.81mm</t>
        </is>
      </c>
      <c r="F284" s="6" t="inlineStr">
        <is>
          <t>Đã khớp TT38</t>
        </is>
      </c>
      <c r="G284" t="inlineStr">
        <is>
          <t>Khớp nhóm BB.5100</t>
        </is>
      </c>
      <c r="H284" s="7">
        <f>HYPERLINK("tt38://pl3/100", "👉 Mở Phụ lục III - Trang 100")</f>
        <v/>
      </c>
    </row>
    <row r="285">
      <c r="A285" s="4" t="n">
        <v>280</v>
      </c>
      <c r="B285" t="inlineStr">
        <is>
          <t>Dự thầu</t>
        </is>
      </c>
      <c r="C285" s="4" t="n">
        <v>27</v>
      </c>
      <c r="D285" s="5" t="inlineStr">
        <is>
          <t>BB.51004</t>
        </is>
      </c>
      <c r="E285" t="inlineStr">
        <is>
          <t>Ống đồng_D15.9_0.99mm</t>
        </is>
      </c>
      <c r="F285" s="6" t="inlineStr">
        <is>
          <t>Đã khớp TT38</t>
        </is>
      </c>
      <c r="G285" t="inlineStr">
        <is>
          <t>Khớp nhóm BB.5100</t>
        </is>
      </c>
      <c r="H285" s="7">
        <f>HYPERLINK("tt38://pl3/100", "👉 Mở Phụ lục III - Trang 100")</f>
        <v/>
      </c>
    </row>
    <row r="286">
      <c r="A286" s="4" t="n">
        <v>281</v>
      </c>
      <c r="B286" t="inlineStr">
        <is>
          <t>Dự thầu</t>
        </is>
      </c>
      <c r="C286" s="4" t="n">
        <v>28</v>
      </c>
      <c r="D286" s="5" t="inlineStr">
        <is>
          <t>BB.51005</t>
        </is>
      </c>
      <c r="E286" t="inlineStr">
        <is>
          <t>Ống đồng_D19.1_0.99mm</t>
        </is>
      </c>
      <c r="F286" s="6" t="inlineStr">
        <is>
          <t>Đã khớp TT38</t>
        </is>
      </c>
      <c r="G286" t="inlineStr">
        <is>
          <t>Khớp nhóm BB.5100</t>
        </is>
      </c>
      <c r="H286" s="7">
        <f>HYPERLINK("tt38://pl3/100", "👉 Mở Phụ lục III - Trang 100")</f>
        <v/>
      </c>
    </row>
    <row r="287">
      <c r="A287" s="4" t="n">
        <v>282</v>
      </c>
      <c r="B287" t="inlineStr">
        <is>
          <t>Dự thầu</t>
        </is>
      </c>
      <c r="C287" s="4" t="n">
        <v>29</v>
      </c>
      <c r="D287" s="5" t="inlineStr">
        <is>
          <t>BB.51006</t>
        </is>
      </c>
      <c r="E287" t="inlineStr">
        <is>
          <t>Ống đồng_D22.2_1.14mm</t>
        </is>
      </c>
      <c r="F287" s="6" t="inlineStr">
        <is>
          <t>Đã khớp TT38</t>
        </is>
      </c>
      <c r="G287" t="inlineStr">
        <is>
          <t>Khớp nhóm BB.5100</t>
        </is>
      </c>
      <c r="H287" s="7">
        <f>HYPERLINK("tt38://pl3/100", "👉 Mở Phụ lục III - Trang 100")</f>
        <v/>
      </c>
    </row>
    <row r="288">
      <c r="A288" s="4" t="n">
        <v>283</v>
      </c>
      <c r="B288" t="inlineStr">
        <is>
          <t>Dự thầu</t>
        </is>
      </c>
      <c r="C288" s="4" t="n">
        <v>30</v>
      </c>
      <c r="D288" s="5" t="inlineStr">
        <is>
          <t>BB.51008</t>
        </is>
      </c>
      <c r="E288" t="inlineStr">
        <is>
          <t>Ống đồng_D28.6_1.27mm</t>
        </is>
      </c>
      <c r="F288" s="6" t="inlineStr">
        <is>
          <t>Đã khớp TT38</t>
        </is>
      </c>
      <c r="G288" t="inlineStr">
        <is>
          <t>Khớp nhóm BB.5100</t>
        </is>
      </c>
      <c r="H288" s="7">
        <f>HYPERLINK("tt38://pl3/100", "👉 Mở Phụ lục III - Trang 100")</f>
        <v/>
      </c>
    </row>
    <row r="289">
      <c r="A289" s="4" t="n">
        <v>284</v>
      </c>
      <c r="B289" t="inlineStr">
        <is>
          <t>Dự thầu</t>
        </is>
      </c>
      <c r="C289" s="4" t="n">
        <v>31</v>
      </c>
      <c r="D289" s="5" t="inlineStr">
        <is>
          <t>BB.51010</t>
        </is>
      </c>
      <c r="E289" t="inlineStr">
        <is>
          <t>Ống đồng_D34.9_1.40mm</t>
        </is>
      </c>
      <c r="F289" s="6" t="inlineStr">
        <is>
          <t>Đã khớp TT38</t>
        </is>
      </c>
      <c r="G289" t="inlineStr">
        <is>
          <t>Khớp nhóm BB.510</t>
        </is>
      </c>
      <c r="H289" s="7">
        <f>HYPERLINK("tt38://pl3/100", "👉 Mở Phụ lục III - Trang 100")</f>
        <v/>
      </c>
    </row>
    <row r="290">
      <c r="A290" s="4" t="n">
        <v>285</v>
      </c>
      <c r="B290" t="inlineStr">
        <is>
          <t>Dự thầu</t>
        </is>
      </c>
      <c r="C290" s="4" t="n">
        <v>32</v>
      </c>
      <c r="D290" s="5" t="inlineStr">
        <is>
          <t>BB.51012</t>
        </is>
      </c>
      <c r="E290" t="inlineStr">
        <is>
          <t>Ống đồng_D41.3_1.53mm</t>
        </is>
      </c>
      <c r="F290" s="6" t="inlineStr">
        <is>
          <t>Đã khớp TT38</t>
        </is>
      </c>
      <c r="G290" t="inlineStr">
        <is>
          <t>Khớp nhóm BB.510</t>
        </is>
      </c>
      <c r="H290" s="7">
        <f>HYPERLINK("tt38://pl3/100", "👉 Mở Phụ lục III - Trang 100")</f>
        <v/>
      </c>
    </row>
    <row r="291">
      <c r="A291" s="4" t="n">
        <v>286</v>
      </c>
      <c r="B291" t="inlineStr">
        <is>
          <t>Dự thầu</t>
        </is>
      </c>
      <c r="C291" s="4" t="n">
        <v>33</v>
      </c>
      <c r="D291" s="5" t="inlineStr">
        <is>
          <t>BC.14101</t>
        </is>
      </c>
      <c r="E291" t="inlineStr">
        <is>
          <t>Bảo ôn ống đồng D6.4 dày 19mm</t>
        </is>
      </c>
      <c r="F291" s="6" t="inlineStr">
        <is>
          <t>Đã khớp TT38</t>
        </is>
      </c>
      <c r="G291" t="inlineStr">
        <is>
          <t>Khớp nhóm BC.1410</t>
        </is>
      </c>
      <c r="H291" s="7">
        <f>HYPERLINK("tt38://pl3/212", "👉 Mở Phụ lục III - Trang 212")</f>
        <v/>
      </c>
    </row>
    <row r="292">
      <c r="A292" s="4" t="n">
        <v>287</v>
      </c>
      <c r="B292" t="inlineStr">
        <is>
          <t>Dự thầu</t>
        </is>
      </c>
      <c r="C292" s="4" t="n">
        <v>34</v>
      </c>
      <c r="D292" s="5" t="inlineStr">
        <is>
          <t>BC.14102</t>
        </is>
      </c>
      <c r="E292" t="inlineStr">
        <is>
          <t>Bảo ôn ống đồng D9.5 dày 19mm</t>
        </is>
      </c>
      <c r="F292" s="6" t="inlineStr">
        <is>
          <t>Đã khớp TT38</t>
        </is>
      </c>
      <c r="G292" t="inlineStr">
        <is>
          <t>Khớp nhóm BC.1410</t>
        </is>
      </c>
      <c r="H292" s="7">
        <f>HYPERLINK("tt38://pl3/212", "👉 Mở Phụ lục III - Trang 212")</f>
        <v/>
      </c>
    </row>
    <row r="293">
      <c r="A293" s="4" t="n">
        <v>288</v>
      </c>
      <c r="B293" t="inlineStr">
        <is>
          <t>Dự thầu</t>
        </is>
      </c>
      <c r="C293" s="4" t="n">
        <v>35</v>
      </c>
      <c r="D293" s="5" t="inlineStr">
        <is>
          <t>BC.14103</t>
        </is>
      </c>
      <c r="E293" t="inlineStr">
        <is>
          <t>Bảo ôn ống đồng D12.7 dày 19mm</t>
        </is>
      </c>
      <c r="F293" s="6" t="inlineStr">
        <is>
          <t>Đã khớp TT38</t>
        </is>
      </c>
      <c r="G293" t="inlineStr">
        <is>
          <t>Khớp nhóm BC.1410</t>
        </is>
      </c>
      <c r="H293" s="7">
        <f>HYPERLINK("tt38://pl3/212", "👉 Mở Phụ lục III - Trang 212")</f>
        <v/>
      </c>
    </row>
    <row r="294">
      <c r="A294" s="4" t="n">
        <v>289</v>
      </c>
      <c r="B294" t="inlineStr">
        <is>
          <t>Dự thầu</t>
        </is>
      </c>
      <c r="C294" s="4" t="n">
        <v>36</v>
      </c>
      <c r="D294" s="5" t="inlineStr">
        <is>
          <t>BC.14104</t>
        </is>
      </c>
      <c r="E294" t="inlineStr">
        <is>
          <t>Bảo ôn ống đồng D15.9 dày 19mm</t>
        </is>
      </c>
      <c r="F294" s="6" t="inlineStr">
        <is>
          <t>Đã khớp TT38</t>
        </is>
      </c>
      <c r="G294" t="inlineStr">
        <is>
          <t>Khớp nhóm BC.1410</t>
        </is>
      </c>
      <c r="H294" s="7">
        <f>HYPERLINK("tt38://pl3/212", "👉 Mở Phụ lục III - Trang 212")</f>
        <v/>
      </c>
    </row>
    <row r="295">
      <c r="A295" s="4" t="n">
        <v>290</v>
      </c>
      <c r="B295" t="inlineStr">
        <is>
          <t>Dự thầu</t>
        </is>
      </c>
      <c r="C295" s="4" t="n">
        <v>37</v>
      </c>
      <c r="D295" s="5" t="inlineStr">
        <is>
          <t>BC.14105</t>
        </is>
      </c>
      <c r="E295" t="inlineStr">
        <is>
          <t>Bảo ôn ống đồng D19.1 dày 19mm</t>
        </is>
      </c>
      <c r="F295" s="6" t="inlineStr">
        <is>
          <t>Đã khớp TT38</t>
        </is>
      </c>
      <c r="G295" t="inlineStr">
        <is>
          <t>Khớp nhóm BC.1410</t>
        </is>
      </c>
      <c r="H295" s="7">
        <f>HYPERLINK("tt38://pl3/212", "👉 Mở Phụ lục III - Trang 212")</f>
        <v/>
      </c>
    </row>
    <row r="296">
      <c r="A296" s="4" t="n">
        <v>291</v>
      </c>
      <c r="B296" t="inlineStr">
        <is>
          <t>Dự thầu</t>
        </is>
      </c>
      <c r="C296" s="4" t="n">
        <v>38</v>
      </c>
      <c r="D296" s="5" t="inlineStr">
        <is>
          <t>BC.14106</t>
        </is>
      </c>
      <c r="E296" t="inlineStr">
        <is>
          <t>Bảo ôn ống đồng D22.2 dày 19mm</t>
        </is>
      </c>
      <c r="F296" s="6" t="inlineStr">
        <is>
          <t>Đã khớp TT38</t>
        </is>
      </c>
      <c r="G296" t="inlineStr">
        <is>
          <t>Khớp nhóm BC.1410</t>
        </is>
      </c>
      <c r="H296" s="7">
        <f>HYPERLINK("tt38://pl3/212", "👉 Mở Phụ lục III - Trang 212")</f>
        <v/>
      </c>
    </row>
    <row r="297">
      <c r="A297" s="4" t="n">
        <v>292</v>
      </c>
      <c r="B297" t="inlineStr">
        <is>
          <t>Dự thầu</t>
        </is>
      </c>
      <c r="C297" s="4" t="n">
        <v>39</v>
      </c>
      <c r="D297" s="5" t="inlineStr">
        <is>
          <t>BC.14108</t>
        </is>
      </c>
      <c r="E297" t="inlineStr">
        <is>
          <t>Bảo ôn ống đồng D28.6 dày 19mm</t>
        </is>
      </c>
      <c r="F297" s="6" t="inlineStr">
        <is>
          <t>Đã khớp TT38</t>
        </is>
      </c>
      <c r="G297" t="inlineStr">
        <is>
          <t>Khớp nhóm BC.1410</t>
        </is>
      </c>
      <c r="H297" s="7">
        <f>HYPERLINK("tt38://pl3/212", "👉 Mở Phụ lục III - Trang 212")</f>
        <v/>
      </c>
    </row>
    <row r="298">
      <c r="A298" s="4" t="n">
        <v>293</v>
      </c>
      <c r="B298" t="inlineStr">
        <is>
          <t>Dự thầu</t>
        </is>
      </c>
      <c r="C298" s="4" t="n">
        <v>40</v>
      </c>
      <c r="D298" s="5" t="inlineStr">
        <is>
          <t>BC.14110</t>
        </is>
      </c>
      <c r="E298" t="inlineStr">
        <is>
          <t>Bảo ôn ống đồng D34.9 dày 19mm</t>
        </is>
      </c>
      <c r="F298" s="6" t="inlineStr">
        <is>
          <t>Đã khớp TT38</t>
        </is>
      </c>
      <c r="G298" t="inlineStr">
        <is>
          <t>Khớp nhóm BC.141</t>
        </is>
      </c>
      <c r="H298" s="7">
        <f>HYPERLINK("tt38://pl3/212", "👉 Mở Phụ lục III - Trang 212")</f>
        <v/>
      </c>
    </row>
    <row r="299">
      <c r="A299" s="4" t="n">
        <v>294</v>
      </c>
      <c r="B299" t="inlineStr">
        <is>
          <t>Dự thầu</t>
        </is>
      </c>
      <c r="C299" s="4" t="n">
        <v>41</v>
      </c>
      <c r="D299" s="5" t="inlineStr">
        <is>
          <t>BC.14112</t>
        </is>
      </c>
      <c r="E299" t="inlineStr">
        <is>
          <t>Bảo ôn ống đồng D41.3 dày 19mm</t>
        </is>
      </c>
      <c r="F299" s="6" t="inlineStr">
        <is>
          <t>Đã khớp TT38</t>
        </is>
      </c>
      <c r="G299" t="inlineStr">
        <is>
          <t>Khớp nhóm BC.141</t>
        </is>
      </c>
      <c r="H299" s="7">
        <f>HYPERLINK("tt38://pl3/212", "👉 Mở Phụ lục III - Trang 212")</f>
        <v/>
      </c>
    </row>
    <row r="300">
      <c r="A300" s="4" t="n">
        <v>295</v>
      </c>
      <c r="B300" t="inlineStr">
        <is>
          <t>Dự thầu</t>
        </is>
      </c>
      <c r="C300" s="4" t="n">
        <v>44</v>
      </c>
      <c r="D300" s="5" t="inlineStr">
        <is>
          <t>BB.41101</t>
        </is>
      </c>
      <c r="E300" t="inlineStr">
        <is>
          <t>Ống uPVC_D21</t>
        </is>
      </c>
      <c r="F300" s="6" t="inlineStr">
        <is>
          <t>Đã khớp TT38</t>
        </is>
      </c>
      <c r="G300" t="inlineStr">
        <is>
          <t>Khớp nhóm BB.4110</t>
        </is>
      </c>
      <c r="H300" s="7">
        <f>HYPERLINK("tt38://pl3/71", "👉 Mở Phụ lục III - Trang 71")</f>
        <v/>
      </c>
    </row>
    <row r="301">
      <c r="A301" s="4" t="n">
        <v>296</v>
      </c>
      <c r="B301" t="inlineStr">
        <is>
          <t>Dự thầu</t>
        </is>
      </c>
      <c r="C301" s="4" t="n">
        <v>45</v>
      </c>
      <c r="D301" s="5" t="inlineStr">
        <is>
          <t>BB.41102</t>
        </is>
      </c>
      <c r="E301" t="inlineStr">
        <is>
          <t>Ống uPVC_D27</t>
        </is>
      </c>
      <c r="F301" s="6" t="inlineStr">
        <is>
          <t>Đã khớp TT38</t>
        </is>
      </c>
      <c r="G301" t="inlineStr">
        <is>
          <t>Khớp nhóm BB.4110</t>
        </is>
      </c>
      <c r="H301" s="7">
        <f>HYPERLINK("tt38://pl3/71", "👉 Mở Phụ lục III - Trang 71")</f>
        <v/>
      </c>
    </row>
    <row r="302">
      <c r="A302" s="4" t="n">
        <v>297</v>
      </c>
      <c r="B302" t="inlineStr">
        <is>
          <t>Dự thầu</t>
        </is>
      </c>
      <c r="C302" s="4" t="n">
        <v>46</v>
      </c>
      <c r="D302" s="5" t="inlineStr">
        <is>
          <t>BB.41103</t>
        </is>
      </c>
      <c r="E302" t="inlineStr">
        <is>
          <t>Ống uPVC_D34</t>
        </is>
      </c>
      <c r="F302" s="6" t="inlineStr">
        <is>
          <t>Đã khớp TT38</t>
        </is>
      </c>
      <c r="G302" t="inlineStr">
        <is>
          <t>Khớp nhóm BB.4110</t>
        </is>
      </c>
      <c r="H302" s="7">
        <f>HYPERLINK("tt38://pl3/71", "👉 Mở Phụ lục III - Trang 71")</f>
        <v/>
      </c>
    </row>
    <row r="303">
      <c r="A303" s="4" t="n">
        <v>298</v>
      </c>
      <c r="B303" t="inlineStr">
        <is>
          <t>Dự thầu</t>
        </is>
      </c>
      <c r="C303" s="4" t="n">
        <v>47</v>
      </c>
      <c r="D303" s="5" t="inlineStr">
        <is>
          <t>BB.41104</t>
        </is>
      </c>
      <c r="E303" t="inlineStr">
        <is>
          <t>Ống uPVC_D42</t>
        </is>
      </c>
      <c r="F303" s="6" t="inlineStr">
        <is>
          <t>Đã khớp TT38</t>
        </is>
      </c>
      <c r="G303" t="inlineStr">
        <is>
          <t>Khớp nhóm BB.4110</t>
        </is>
      </c>
      <c r="H303" s="7">
        <f>HYPERLINK("tt38://pl3/71", "👉 Mở Phụ lục III - Trang 71")</f>
        <v/>
      </c>
    </row>
    <row r="304">
      <c r="A304" s="4" t="n">
        <v>299</v>
      </c>
      <c r="B304" t="inlineStr">
        <is>
          <t>Dự thầu</t>
        </is>
      </c>
      <c r="C304" s="4" t="n">
        <v>48</v>
      </c>
      <c r="D304" s="5" t="inlineStr">
        <is>
          <t>BB.41105</t>
        </is>
      </c>
      <c r="E304" t="inlineStr">
        <is>
          <t>Ống uPVC_D48</t>
        </is>
      </c>
      <c r="F304" s="6" t="inlineStr">
        <is>
          <t>Đã khớp TT38</t>
        </is>
      </c>
      <c r="G304" t="inlineStr">
        <is>
          <t>Khớp nhóm BB.4110</t>
        </is>
      </c>
      <c r="H304" s="7">
        <f>HYPERLINK("tt38://pl3/71", "👉 Mở Phụ lục III - Trang 71")</f>
        <v/>
      </c>
    </row>
    <row r="305">
      <c r="A305" s="4" t="n">
        <v>300</v>
      </c>
      <c r="B305" t="inlineStr">
        <is>
          <t>Dự thầu</t>
        </is>
      </c>
      <c r="C305" s="4" t="n">
        <v>49</v>
      </c>
      <c r="D305" s="5" t="inlineStr">
        <is>
          <t>BC.13102</t>
        </is>
      </c>
      <c r="E305" t="inlineStr">
        <is>
          <t>Bảo ôn ống uPVC D21 dày 13mm</t>
        </is>
      </c>
      <c r="F305" s="6" t="inlineStr">
        <is>
          <t>Đã khớp TT38</t>
        </is>
      </c>
      <c r="G305" t="inlineStr">
        <is>
          <t>Khớp nhóm BC.1310</t>
        </is>
      </c>
      <c r="H305" s="7">
        <f>HYPERLINK("tt38://pl3/204", "👉 Mở Phụ lục III - Trang 204")</f>
        <v/>
      </c>
    </row>
    <row r="306">
      <c r="A306" s="4" t="n">
        <v>301</v>
      </c>
      <c r="B306" t="inlineStr">
        <is>
          <t>Dự thầu</t>
        </is>
      </c>
      <c r="C306" s="4" t="n">
        <v>50</v>
      </c>
      <c r="D306" s="5" t="inlineStr">
        <is>
          <t>BC.13103</t>
        </is>
      </c>
      <c r="E306" t="inlineStr">
        <is>
          <t>Bảo ôn ống uPVC D27 dày 13mm</t>
        </is>
      </c>
      <c r="F306" s="6" t="inlineStr">
        <is>
          <t>Đã khớp TT38</t>
        </is>
      </c>
      <c r="G306" t="inlineStr">
        <is>
          <t>Khớp nhóm BC.1310</t>
        </is>
      </c>
      <c r="H306" s="7">
        <f>HYPERLINK("tt38://pl3/204", "👉 Mở Phụ lục III - Trang 204")</f>
        <v/>
      </c>
    </row>
    <row r="307">
      <c r="A307" s="4" t="n">
        <v>302</v>
      </c>
      <c r="B307" t="inlineStr">
        <is>
          <t>Dự thầu</t>
        </is>
      </c>
      <c r="C307" s="4" t="n">
        <v>51</v>
      </c>
      <c r="D307" s="5" t="inlineStr">
        <is>
          <t>BC.13104</t>
        </is>
      </c>
      <c r="E307" t="inlineStr">
        <is>
          <t>Bảo ôn ống uPVC D34 dày 13mm</t>
        </is>
      </c>
      <c r="F307" s="6" t="inlineStr">
        <is>
          <t>Đã khớp TT38</t>
        </is>
      </c>
      <c r="G307" t="inlineStr">
        <is>
          <t>Khớp nhóm BC.1310</t>
        </is>
      </c>
      <c r="H307" s="7">
        <f>HYPERLINK("tt38://pl3/204", "👉 Mở Phụ lục III - Trang 204")</f>
        <v/>
      </c>
    </row>
    <row r="308">
      <c r="A308" s="4" t="n">
        <v>303</v>
      </c>
      <c r="B308" t="inlineStr">
        <is>
          <t>Dự thầu</t>
        </is>
      </c>
      <c r="C308" s="4" t="n">
        <v>52</v>
      </c>
      <c r="D308" s="5" t="inlineStr">
        <is>
          <t>BC.13105</t>
        </is>
      </c>
      <c r="E308" t="inlineStr">
        <is>
          <t>Bảo ôn ống uPVC D42 dày 13mm</t>
        </is>
      </c>
      <c r="F308" s="6" t="inlineStr">
        <is>
          <t>Đã khớp TT38</t>
        </is>
      </c>
      <c r="G308" t="inlineStr">
        <is>
          <t>Khớp nhóm BC.1310</t>
        </is>
      </c>
      <c r="H308" s="7">
        <f>HYPERLINK("tt38://pl3/204", "👉 Mở Phụ lục III - Trang 204")</f>
        <v/>
      </c>
    </row>
    <row r="309">
      <c r="A309" s="4" t="n">
        <v>304</v>
      </c>
      <c r="B309" t="inlineStr">
        <is>
          <t>Dự thầu</t>
        </is>
      </c>
      <c r="C309" s="4" t="n">
        <v>53</v>
      </c>
      <c r="D309" s="5" t="inlineStr">
        <is>
          <t>BC.13106</t>
        </is>
      </c>
      <c r="E309" t="inlineStr">
        <is>
          <t>Bảo ôn ống uPVC D48 dày 13mm</t>
        </is>
      </c>
      <c r="F309" s="6" t="inlineStr">
        <is>
          <t>Đã khớp TT38</t>
        </is>
      </c>
      <c r="G309" t="inlineStr">
        <is>
          <t>Khớp nhóm BC.1310</t>
        </is>
      </c>
      <c r="H309" s="7">
        <f>HYPERLINK("tt38://pl3/204", "👉 Mở Phụ lục III - Trang 204")</f>
        <v/>
      </c>
    </row>
    <row r="310">
      <c r="A310" s="4" t="n">
        <v>305</v>
      </c>
      <c r="B310" t="inlineStr">
        <is>
          <t>Dự thầu</t>
        </is>
      </c>
      <c r="C310" s="4" t="n">
        <v>56</v>
      </c>
      <c r="D310" s="5" t="inlineStr">
        <is>
          <t>BA.16201</t>
        </is>
      </c>
      <c r="E310" t="inlineStr">
        <is>
          <t>Dây điện_Cu/PVC_2x(1x0.75)mm2</t>
        </is>
      </c>
      <c r="F310" s="6" t="inlineStr">
        <is>
          <t>Đã khớp TT38</t>
        </is>
      </c>
      <c r="G310" t="inlineStr">
        <is>
          <t>Khớp nhóm BA.1620</t>
        </is>
      </c>
      <c r="H310" s="7">
        <f>HYPERLINK("tt38://pl3/14", "👉 Mở Phụ lục III - Trang 14")</f>
        <v/>
      </c>
    </row>
    <row r="311">
      <c r="A311" s="4" t="n">
        <v>306</v>
      </c>
      <c r="B311" t="inlineStr">
        <is>
          <t>Dự thầu</t>
        </is>
      </c>
      <c r="C311" s="4" t="n">
        <v>57</v>
      </c>
      <c r="D311" s="5" t="inlineStr">
        <is>
          <t>BA.16202</t>
        </is>
      </c>
      <c r="E311" t="inlineStr">
        <is>
          <t>Dây điện_Cu/PVC_2x(1x1.5)mm2</t>
        </is>
      </c>
      <c r="F311" s="6" t="inlineStr">
        <is>
          <t>Đã khớp TT38</t>
        </is>
      </c>
      <c r="G311" t="inlineStr">
        <is>
          <t>Khớp nhóm BA.1620</t>
        </is>
      </c>
      <c r="H311" s="7">
        <f>HYPERLINK("tt38://pl3/14", "👉 Mở Phụ lục III - Trang 14")</f>
        <v/>
      </c>
    </row>
    <row r="312">
      <c r="A312" s="4" t="n">
        <v>307</v>
      </c>
      <c r="B312" t="inlineStr">
        <is>
          <t>Dự thầu</t>
        </is>
      </c>
      <c r="C312" s="4" t="n">
        <v>58</v>
      </c>
      <c r="D312" s="5" t="inlineStr">
        <is>
          <t>BA.16202</t>
        </is>
      </c>
      <c r="E312" t="inlineStr">
        <is>
          <t>Dây điện_Cu/PVC_2x(1x2.5)mm2</t>
        </is>
      </c>
      <c r="F312" s="6" t="inlineStr">
        <is>
          <t>Đã khớp TT38</t>
        </is>
      </c>
      <c r="G312" t="inlineStr">
        <is>
          <t>Khớp nhóm BA.1620</t>
        </is>
      </c>
      <c r="H312" s="7">
        <f>HYPERLINK("tt38://pl3/14", "👉 Mở Phụ lục III - Trang 14")</f>
        <v/>
      </c>
    </row>
    <row r="313">
      <c r="A313" s="4" t="n">
        <v>308</v>
      </c>
      <c r="B313" t="inlineStr">
        <is>
          <t>Dự thầu</t>
        </is>
      </c>
      <c r="C313" s="4" t="n">
        <v>59</v>
      </c>
      <c r="D313" s="5" t="inlineStr">
        <is>
          <t>BA.16202</t>
        </is>
      </c>
      <c r="E313" t="inlineStr">
        <is>
          <t>Dây điện_Cu/PVC_2x(1x4.0)mm2</t>
        </is>
      </c>
      <c r="F313" s="6" t="inlineStr">
        <is>
          <t>Đã khớp TT38</t>
        </is>
      </c>
      <c r="G313" t="inlineStr">
        <is>
          <t>Khớp nhóm BA.1620</t>
        </is>
      </c>
      <c r="H313" s="7">
        <f>HYPERLINK("tt38://pl3/14", "👉 Mở Phụ lục III - Trang 14")</f>
        <v/>
      </c>
    </row>
  </sheetData>
  <mergeCells count="2">
    <mergeCell ref="A3:H3"/>
    <mergeCell ref="A2:H2"/>
  </mergeCells>
  <hyperlinks>
    <hyperlink xmlns:r="http://schemas.openxmlformats.org/officeDocument/2006/relationships" ref="H6" r:id="rId1"/>
    <hyperlink xmlns:r="http://schemas.openxmlformats.org/officeDocument/2006/relationships" ref="H7" r:id="rId2"/>
    <hyperlink xmlns:r="http://schemas.openxmlformats.org/officeDocument/2006/relationships" ref="H8" r:id="rId3"/>
    <hyperlink xmlns:r="http://schemas.openxmlformats.org/officeDocument/2006/relationships" ref="H9" r:id="rId4"/>
    <hyperlink xmlns:r="http://schemas.openxmlformats.org/officeDocument/2006/relationships" ref="H10" r:id="rId5"/>
    <hyperlink xmlns:r="http://schemas.openxmlformats.org/officeDocument/2006/relationships" ref="H11" r:id="rId6"/>
    <hyperlink xmlns:r="http://schemas.openxmlformats.org/officeDocument/2006/relationships" ref="H12" r:id="rId7"/>
    <hyperlink xmlns:r="http://schemas.openxmlformats.org/officeDocument/2006/relationships" ref="H13" r:id="rId8"/>
    <hyperlink xmlns:r="http://schemas.openxmlformats.org/officeDocument/2006/relationships" ref="H14" r:id="rId9"/>
    <hyperlink xmlns:r="http://schemas.openxmlformats.org/officeDocument/2006/relationships" ref="H15" r:id="rId10"/>
    <hyperlink xmlns:r="http://schemas.openxmlformats.org/officeDocument/2006/relationships" ref="H16" r:id="rId11"/>
    <hyperlink xmlns:r="http://schemas.openxmlformats.org/officeDocument/2006/relationships" ref="H17" r:id="rId12"/>
    <hyperlink xmlns:r="http://schemas.openxmlformats.org/officeDocument/2006/relationships" ref="H18" r:id="rId13"/>
    <hyperlink xmlns:r="http://schemas.openxmlformats.org/officeDocument/2006/relationships" ref="H19" r:id="rId14"/>
    <hyperlink xmlns:r="http://schemas.openxmlformats.org/officeDocument/2006/relationships" ref="H20" r:id="rId15"/>
    <hyperlink xmlns:r="http://schemas.openxmlformats.org/officeDocument/2006/relationships" ref="H21" r:id="rId16"/>
    <hyperlink xmlns:r="http://schemas.openxmlformats.org/officeDocument/2006/relationships" ref="H22" r:id="rId17"/>
    <hyperlink xmlns:r="http://schemas.openxmlformats.org/officeDocument/2006/relationships" ref="H23" r:id="rId18"/>
    <hyperlink xmlns:r="http://schemas.openxmlformats.org/officeDocument/2006/relationships" ref="H24" r:id="rId19"/>
    <hyperlink xmlns:r="http://schemas.openxmlformats.org/officeDocument/2006/relationships" ref="H25" r:id="rId20"/>
    <hyperlink xmlns:r="http://schemas.openxmlformats.org/officeDocument/2006/relationships" ref="H26" r:id="rId21"/>
    <hyperlink xmlns:r="http://schemas.openxmlformats.org/officeDocument/2006/relationships" ref="H27" r:id="rId22"/>
    <hyperlink xmlns:r="http://schemas.openxmlformats.org/officeDocument/2006/relationships" ref="H28" r:id="rId23"/>
    <hyperlink xmlns:r="http://schemas.openxmlformats.org/officeDocument/2006/relationships" ref="H29" r:id="rId24"/>
    <hyperlink xmlns:r="http://schemas.openxmlformats.org/officeDocument/2006/relationships" ref="H30" r:id="rId25"/>
    <hyperlink xmlns:r="http://schemas.openxmlformats.org/officeDocument/2006/relationships" ref="H31" r:id="rId26"/>
    <hyperlink xmlns:r="http://schemas.openxmlformats.org/officeDocument/2006/relationships" ref="H32" r:id="rId27"/>
    <hyperlink xmlns:r="http://schemas.openxmlformats.org/officeDocument/2006/relationships" ref="H33" r:id="rId28"/>
    <hyperlink xmlns:r="http://schemas.openxmlformats.org/officeDocument/2006/relationships" ref="H34" r:id="rId29"/>
    <hyperlink xmlns:r="http://schemas.openxmlformats.org/officeDocument/2006/relationships" ref="H35" r:id="rId30"/>
    <hyperlink xmlns:r="http://schemas.openxmlformats.org/officeDocument/2006/relationships" ref="H36" r:id="rId31"/>
    <hyperlink xmlns:r="http://schemas.openxmlformats.org/officeDocument/2006/relationships" ref="H37" r:id="rId32"/>
    <hyperlink xmlns:r="http://schemas.openxmlformats.org/officeDocument/2006/relationships" ref="H38" r:id="rId33"/>
    <hyperlink xmlns:r="http://schemas.openxmlformats.org/officeDocument/2006/relationships" ref="H39" r:id="rId34"/>
    <hyperlink xmlns:r="http://schemas.openxmlformats.org/officeDocument/2006/relationships" ref="H40" r:id="rId35"/>
    <hyperlink xmlns:r="http://schemas.openxmlformats.org/officeDocument/2006/relationships" ref="H41" r:id="rId36"/>
    <hyperlink xmlns:r="http://schemas.openxmlformats.org/officeDocument/2006/relationships" ref="H42" r:id="rId37"/>
    <hyperlink xmlns:r="http://schemas.openxmlformats.org/officeDocument/2006/relationships" ref="H43" r:id="rId38"/>
    <hyperlink xmlns:r="http://schemas.openxmlformats.org/officeDocument/2006/relationships" ref="H44" r:id="rId39"/>
    <hyperlink xmlns:r="http://schemas.openxmlformats.org/officeDocument/2006/relationships" ref="H45" r:id="rId40"/>
    <hyperlink xmlns:r="http://schemas.openxmlformats.org/officeDocument/2006/relationships" ref="H46" r:id="rId41"/>
    <hyperlink xmlns:r="http://schemas.openxmlformats.org/officeDocument/2006/relationships" ref="H47" r:id="rId42"/>
    <hyperlink xmlns:r="http://schemas.openxmlformats.org/officeDocument/2006/relationships" ref="H48" r:id="rId43"/>
    <hyperlink xmlns:r="http://schemas.openxmlformats.org/officeDocument/2006/relationships" ref="H49" r:id="rId44"/>
    <hyperlink xmlns:r="http://schemas.openxmlformats.org/officeDocument/2006/relationships" ref="H50" r:id="rId45"/>
    <hyperlink xmlns:r="http://schemas.openxmlformats.org/officeDocument/2006/relationships" ref="H51" r:id="rId46"/>
    <hyperlink xmlns:r="http://schemas.openxmlformats.org/officeDocument/2006/relationships" ref="H52" r:id="rId47"/>
    <hyperlink xmlns:r="http://schemas.openxmlformats.org/officeDocument/2006/relationships" ref="H53" r:id="rId48"/>
    <hyperlink xmlns:r="http://schemas.openxmlformats.org/officeDocument/2006/relationships" ref="H54" r:id="rId49"/>
    <hyperlink xmlns:r="http://schemas.openxmlformats.org/officeDocument/2006/relationships" ref="H55" r:id="rId50"/>
    <hyperlink xmlns:r="http://schemas.openxmlformats.org/officeDocument/2006/relationships" ref="H56" r:id="rId51"/>
    <hyperlink xmlns:r="http://schemas.openxmlformats.org/officeDocument/2006/relationships" ref="H57" r:id="rId52"/>
    <hyperlink xmlns:r="http://schemas.openxmlformats.org/officeDocument/2006/relationships" ref="H58" r:id="rId53"/>
    <hyperlink xmlns:r="http://schemas.openxmlformats.org/officeDocument/2006/relationships" ref="H59" r:id="rId54"/>
    <hyperlink xmlns:r="http://schemas.openxmlformats.org/officeDocument/2006/relationships" ref="H60" r:id="rId55"/>
    <hyperlink xmlns:r="http://schemas.openxmlformats.org/officeDocument/2006/relationships" ref="H61" r:id="rId56"/>
    <hyperlink xmlns:r="http://schemas.openxmlformats.org/officeDocument/2006/relationships" ref="H62" r:id="rId57"/>
    <hyperlink xmlns:r="http://schemas.openxmlformats.org/officeDocument/2006/relationships" ref="H63" r:id="rId58"/>
    <hyperlink xmlns:r="http://schemas.openxmlformats.org/officeDocument/2006/relationships" ref="H64" r:id="rId59"/>
    <hyperlink xmlns:r="http://schemas.openxmlformats.org/officeDocument/2006/relationships" ref="H65" r:id="rId60"/>
    <hyperlink xmlns:r="http://schemas.openxmlformats.org/officeDocument/2006/relationships" ref="H66" r:id="rId61"/>
    <hyperlink xmlns:r="http://schemas.openxmlformats.org/officeDocument/2006/relationships" ref="H67" r:id="rId62"/>
    <hyperlink xmlns:r="http://schemas.openxmlformats.org/officeDocument/2006/relationships" ref="H68" r:id="rId63"/>
    <hyperlink xmlns:r="http://schemas.openxmlformats.org/officeDocument/2006/relationships" ref="H69" r:id="rId64"/>
    <hyperlink xmlns:r="http://schemas.openxmlformats.org/officeDocument/2006/relationships" ref="H70" r:id="rId65"/>
    <hyperlink xmlns:r="http://schemas.openxmlformats.org/officeDocument/2006/relationships" ref="H71" r:id="rId66"/>
    <hyperlink xmlns:r="http://schemas.openxmlformats.org/officeDocument/2006/relationships" ref="H72" r:id="rId67"/>
    <hyperlink xmlns:r="http://schemas.openxmlformats.org/officeDocument/2006/relationships" ref="H73" r:id="rId68"/>
    <hyperlink xmlns:r="http://schemas.openxmlformats.org/officeDocument/2006/relationships" ref="H74" r:id="rId69"/>
    <hyperlink xmlns:r="http://schemas.openxmlformats.org/officeDocument/2006/relationships" ref="H75" r:id="rId70"/>
    <hyperlink xmlns:r="http://schemas.openxmlformats.org/officeDocument/2006/relationships" ref="H76" r:id="rId71"/>
    <hyperlink xmlns:r="http://schemas.openxmlformats.org/officeDocument/2006/relationships" ref="H77" r:id="rId72"/>
    <hyperlink xmlns:r="http://schemas.openxmlformats.org/officeDocument/2006/relationships" ref="H78" r:id="rId73"/>
    <hyperlink xmlns:r="http://schemas.openxmlformats.org/officeDocument/2006/relationships" ref="H79" r:id="rId74"/>
    <hyperlink xmlns:r="http://schemas.openxmlformats.org/officeDocument/2006/relationships" ref="H80" r:id="rId75"/>
    <hyperlink xmlns:r="http://schemas.openxmlformats.org/officeDocument/2006/relationships" ref="H81" r:id="rId76"/>
    <hyperlink xmlns:r="http://schemas.openxmlformats.org/officeDocument/2006/relationships" ref="H82" r:id="rId77"/>
    <hyperlink xmlns:r="http://schemas.openxmlformats.org/officeDocument/2006/relationships" ref="H83" r:id="rId78"/>
    <hyperlink xmlns:r="http://schemas.openxmlformats.org/officeDocument/2006/relationships" ref="H84" r:id="rId79"/>
    <hyperlink xmlns:r="http://schemas.openxmlformats.org/officeDocument/2006/relationships" ref="H85" r:id="rId80"/>
    <hyperlink xmlns:r="http://schemas.openxmlformats.org/officeDocument/2006/relationships" ref="H86" r:id="rId81"/>
    <hyperlink xmlns:r="http://schemas.openxmlformats.org/officeDocument/2006/relationships" ref="H87" r:id="rId82"/>
    <hyperlink xmlns:r="http://schemas.openxmlformats.org/officeDocument/2006/relationships" ref="H88" r:id="rId83"/>
    <hyperlink xmlns:r="http://schemas.openxmlformats.org/officeDocument/2006/relationships" ref="H89" r:id="rId84"/>
    <hyperlink xmlns:r="http://schemas.openxmlformats.org/officeDocument/2006/relationships" ref="H90" r:id="rId85"/>
    <hyperlink xmlns:r="http://schemas.openxmlformats.org/officeDocument/2006/relationships" ref="H91" r:id="rId86"/>
    <hyperlink xmlns:r="http://schemas.openxmlformats.org/officeDocument/2006/relationships" ref="H92" r:id="rId87"/>
    <hyperlink xmlns:r="http://schemas.openxmlformats.org/officeDocument/2006/relationships" ref="H93" r:id="rId88"/>
    <hyperlink xmlns:r="http://schemas.openxmlformats.org/officeDocument/2006/relationships" ref="H94" r:id="rId89"/>
    <hyperlink xmlns:r="http://schemas.openxmlformats.org/officeDocument/2006/relationships" ref="H95" r:id="rId90"/>
    <hyperlink xmlns:r="http://schemas.openxmlformats.org/officeDocument/2006/relationships" ref="H96" r:id="rId91"/>
    <hyperlink xmlns:r="http://schemas.openxmlformats.org/officeDocument/2006/relationships" ref="H97" r:id="rId92"/>
    <hyperlink xmlns:r="http://schemas.openxmlformats.org/officeDocument/2006/relationships" ref="H98" r:id="rId93"/>
    <hyperlink xmlns:r="http://schemas.openxmlformats.org/officeDocument/2006/relationships" ref="H99" r:id="rId94"/>
    <hyperlink xmlns:r="http://schemas.openxmlformats.org/officeDocument/2006/relationships" ref="H100" r:id="rId95"/>
    <hyperlink xmlns:r="http://schemas.openxmlformats.org/officeDocument/2006/relationships" ref="H101" r:id="rId96"/>
    <hyperlink xmlns:r="http://schemas.openxmlformats.org/officeDocument/2006/relationships" ref="H102" r:id="rId97"/>
    <hyperlink xmlns:r="http://schemas.openxmlformats.org/officeDocument/2006/relationships" ref="H103" r:id="rId98"/>
    <hyperlink xmlns:r="http://schemas.openxmlformats.org/officeDocument/2006/relationships" ref="H104" r:id="rId99"/>
    <hyperlink xmlns:r="http://schemas.openxmlformats.org/officeDocument/2006/relationships" ref="H105" r:id="rId100"/>
    <hyperlink xmlns:r="http://schemas.openxmlformats.org/officeDocument/2006/relationships" ref="H106" r:id="rId101"/>
    <hyperlink xmlns:r="http://schemas.openxmlformats.org/officeDocument/2006/relationships" ref="H107" r:id="rId102"/>
    <hyperlink xmlns:r="http://schemas.openxmlformats.org/officeDocument/2006/relationships" ref="H108" r:id="rId103"/>
    <hyperlink xmlns:r="http://schemas.openxmlformats.org/officeDocument/2006/relationships" ref="H109" r:id="rId104"/>
    <hyperlink xmlns:r="http://schemas.openxmlformats.org/officeDocument/2006/relationships" ref="H110" r:id="rId105"/>
    <hyperlink xmlns:r="http://schemas.openxmlformats.org/officeDocument/2006/relationships" ref="H111" r:id="rId106"/>
    <hyperlink xmlns:r="http://schemas.openxmlformats.org/officeDocument/2006/relationships" ref="H112" r:id="rId107"/>
    <hyperlink xmlns:r="http://schemas.openxmlformats.org/officeDocument/2006/relationships" ref="H113" r:id="rId108"/>
    <hyperlink xmlns:r="http://schemas.openxmlformats.org/officeDocument/2006/relationships" ref="H114" r:id="rId109"/>
    <hyperlink xmlns:r="http://schemas.openxmlformats.org/officeDocument/2006/relationships" ref="H115" r:id="rId110"/>
    <hyperlink xmlns:r="http://schemas.openxmlformats.org/officeDocument/2006/relationships" ref="H116" r:id="rId111"/>
    <hyperlink xmlns:r="http://schemas.openxmlformats.org/officeDocument/2006/relationships" ref="H117" r:id="rId112"/>
    <hyperlink xmlns:r="http://schemas.openxmlformats.org/officeDocument/2006/relationships" ref="H118" r:id="rId113"/>
    <hyperlink xmlns:r="http://schemas.openxmlformats.org/officeDocument/2006/relationships" ref="H119" r:id="rId114"/>
    <hyperlink xmlns:r="http://schemas.openxmlformats.org/officeDocument/2006/relationships" ref="H120" r:id="rId115"/>
    <hyperlink xmlns:r="http://schemas.openxmlformats.org/officeDocument/2006/relationships" ref="H121" r:id="rId116"/>
    <hyperlink xmlns:r="http://schemas.openxmlformats.org/officeDocument/2006/relationships" ref="H122" r:id="rId117"/>
    <hyperlink xmlns:r="http://schemas.openxmlformats.org/officeDocument/2006/relationships" ref="H123" r:id="rId118"/>
    <hyperlink xmlns:r="http://schemas.openxmlformats.org/officeDocument/2006/relationships" ref="H124" r:id="rId119"/>
    <hyperlink xmlns:r="http://schemas.openxmlformats.org/officeDocument/2006/relationships" ref="H125" r:id="rId120"/>
    <hyperlink xmlns:r="http://schemas.openxmlformats.org/officeDocument/2006/relationships" ref="H126" r:id="rId121"/>
    <hyperlink xmlns:r="http://schemas.openxmlformats.org/officeDocument/2006/relationships" ref="H127" r:id="rId122"/>
    <hyperlink xmlns:r="http://schemas.openxmlformats.org/officeDocument/2006/relationships" ref="H128" r:id="rId123"/>
    <hyperlink xmlns:r="http://schemas.openxmlformats.org/officeDocument/2006/relationships" ref="H129" r:id="rId124"/>
    <hyperlink xmlns:r="http://schemas.openxmlformats.org/officeDocument/2006/relationships" ref="H130" r:id="rId125"/>
    <hyperlink xmlns:r="http://schemas.openxmlformats.org/officeDocument/2006/relationships" ref="H131" r:id="rId126"/>
    <hyperlink xmlns:r="http://schemas.openxmlformats.org/officeDocument/2006/relationships" ref="H132" r:id="rId127"/>
    <hyperlink xmlns:r="http://schemas.openxmlformats.org/officeDocument/2006/relationships" ref="H133" r:id="rId128"/>
    <hyperlink xmlns:r="http://schemas.openxmlformats.org/officeDocument/2006/relationships" ref="H134" r:id="rId129"/>
    <hyperlink xmlns:r="http://schemas.openxmlformats.org/officeDocument/2006/relationships" ref="H135" r:id="rId130"/>
    <hyperlink xmlns:r="http://schemas.openxmlformats.org/officeDocument/2006/relationships" ref="H136" r:id="rId131"/>
    <hyperlink xmlns:r="http://schemas.openxmlformats.org/officeDocument/2006/relationships" ref="H137" r:id="rId132"/>
    <hyperlink xmlns:r="http://schemas.openxmlformats.org/officeDocument/2006/relationships" ref="H138" r:id="rId133"/>
    <hyperlink xmlns:r="http://schemas.openxmlformats.org/officeDocument/2006/relationships" ref="H139" r:id="rId134"/>
    <hyperlink xmlns:r="http://schemas.openxmlformats.org/officeDocument/2006/relationships" ref="H140" r:id="rId135"/>
    <hyperlink xmlns:r="http://schemas.openxmlformats.org/officeDocument/2006/relationships" ref="H141" r:id="rId136"/>
    <hyperlink xmlns:r="http://schemas.openxmlformats.org/officeDocument/2006/relationships" ref="H142" r:id="rId137"/>
    <hyperlink xmlns:r="http://schemas.openxmlformats.org/officeDocument/2006/relationships" ref="H143" r:id="rId138"/>
    <hyperlink xmlns:r="http://schemas.openxmlformats.org/officeDocument/2006/relationships" ref="H144" r:id="rId139"/>
    <hyperlink xmlns:r="http://schemas.openxmlformats.org/officeDocument/2006/relationships" ref="H145" r:id="rId140"/>
    <hyperlink xmlns:r="http://schemas.openxmlformats.org/officeDocument/2006/relationships" ref="H146" r:id="rId141"/>
    <hyperlink xmlns:r="http://schemas.openxmlformats.org/officeDocument/2006/relationships" ref="H147" r:id="rId142"/>
    <hyperlink xmlns:r="http://schemas.openxmlformats.org/officeDocument/2006/relationships" ref="H148" r:id="rId143"/>
    <hyperlink xmlns:r="http://schemas.openxmlformats.org/officeDocument/2006/relationships" ref="H149" r:id="rId144"/>
    <hyperlink xmlns:r="http://schemas.openxmlformats.org/officeDocument/2006/relationships" ref="H150" r:id="rId145"/>
    <hyperlink xmlns:r="http://schemas.openxmlformats.org/officeDocument/2006/relationships" ref="H151" r:id="rId146"/>
    <hyperlink xmlns:r="http://schemas.openxmlformats.org/officeDocument/2006/relationships" ref="H152" r:id="rId147"/>
    <hyperlink xmlns:r="http://schemas.openxmlformats.org/officeDocument/2006/relationships" ref="H153" r:id="rId148"/>
    <hyperlink xmlns:r="http://schemas.openxmlformats.org/officeDocument/2006/relationships" ref="H154" r:id="rId149"/>
    <hyperlink xmlns:r="http://schemas.openxmlformats.org/officeDocument/2006/relationships" ref="H155" r:id="rId150"/>
    <hyperlink xmlns:r="http://schemas.openxmlformats.org/officeDocument/2006/relationships" ref="H156" r:id="rId151"/>
    <hyperlink xmlns:r="http://schemas.openxmlformats.org/officeDocument/2006/relationships" ref="H157" r:id="rId152"/>
    <hyperlink xmlns:r="http://schemas.openxmlformats.org/officeDocument/2006/relationships" ref="H158" r:id="rId153"/>
    <hyperlink xmlns:r="http://schemas.openxmlformats.org/officeDocument/2006/relationships" ref="H159" r:id="rId154"/>
    <hyperlink xmlns:r="http://schemas.openxmlformats.org/officeDocument/2006/relationships" ref="H160" r:id="rId155"/>
    <hyperlink xmlns:r="http://schemas.openxmlformats.org/officeDocument/2006/relationships" ref="H161" r:id="rId156"/>
    <hyperlink xmlns:r="http://schemas.openxmlformats.org/officeDocument/2006/relationships" ref="H162" r:id="rId157"/>
    <hyperlink xmlns:r="http://schemas.openxmlformats.org/officeDocument/2006/relationships" ref="H163" r:id="rId158"/>
    <hyperlink xmlns:r="http://schemas.openxmlformats.org/officeDocument/2006/relationships" ref="H164" r:id="rId159"/>
    <hyperlink xmlns:r="http://schemas.openxmlformats.org/officeDocument/2006/relationships" ref="H165" r:id="rId160"/>
    <hyperlink xmlns:r="http://schemas.openxmlformats.org/officeDocument/2006/relationships" ref="H166" r:id="rId161"/>
    <hyperlink xmlns:r="http://schemas.openxmlformats.org/officeDocument/2006/relationships" ref="H167" r:id="rId162"/>
    <hyperlink xmlns:r="http://schemas.openxmlformats.org/officeDocument/2006/relationships" ref="H168" r:id="rId163"/>
    <hyperlink xmlns:r="http://schemas.openxmlformats.org/officeDocument/2006/relationships" ref="H169" r:id="rId164"/>
    <hyperlink xmlns:r="http://schemas.openxmlformats.org/officeDocument/2006/relationships" ref="H170" r:id="rId165"/>
    <hyperlink xmlns:r="http://schemas.openxmlformats.org/officeDocument/2006/relationships" ref="H171" r:id="rId166"/>
    <hyperlink xmlns:r="http://schemas.openxmlformats.org/officeDocument/2006/relationships" ref="H172" r:id="rId167"/>
    <hyperlink xmlns:r="http://schemas.openxmlformats.org/officeDocument/2006/relationships" ref="H173" r:id="rId168"/>
    <hyperlink xmlns:r="http://schemas.openxmlformats.org/officeDocument/2006/relationships" ref="H174" r:id="rId169"/>
    <hyperlink xmlns:r="http://schemas.openxmlformats.org/officeDocument/2006/relationships" ref="H175" r:id="rId170"/>
    <hyperlink xmlns:r="http://schemas.openxmlformats.org/officeDocument/2006/relationships" ref="H176" r:id="rId171"/>
    <hyperlink xmlns:r="http://schemas.openxmlformats.org/officeDocument/2006/relationships" ref="H177" r:id="rId172"/>
    <hyperlink xmlns:r="http://schemas.openxmlformats.org/officeDocument/2006/relationships" ref="H178" r:id="rId173"/>
    <hyperlink xmlns:r="http://schemas.openxmlformats.org/officeDocument/2006/relationships" ref="H179" r:id="rId174"/>
    <hyperlink xmlns:r="http://schemas.openxmlformats.org/officeDocument/2006/relationships" ref="H180" r:id="rId175"/>
    <hyperlink xmlns:r="http://schemas.openxmlformats.org/officeDocument/2006/relationships" ref="H181" r:id="rId176"/>
    <hyperlink xmlns:r="http://schemas.openxmlformats.org/officeDocument/2006/relationships" ref="H182" r:id="rId177"/>
    <hyperlink xmlns:r="http://schemas.openxmlformats.org/officeDocument/2006/relationships" ref="H183" r:id="rId178"/>
    <hyperlink xmlns:r="http://schemas.openxmlformats.org/officeDocument/2006/relationships" ref="H184" r:id="rId179"/>
    <hyperlink xmlns:r="http://schemas.openxmlformats.org/officeDocument/2006/relationships" ref="H185" r:id="rId180"/>
    <hyperlink xmlns:r="http://schemas.openxmlformats.org/officeDocument/2006/relationships" ref="H186" r:id="rId181"/>
    <hyperlink xmlns:r="http://schemas.openxmlformats.org/officeDocument/2006/relationships" ref="H187" r:id="rId182"/>
    <hyperlink xmlns:r="http://schemas.openxmlformats.org/officeDocument/2006/relationships" ref="H188" r:id="rId183"/>
    <hyperlink xmlns:r="http://schemas.openxmlformats.org/officeDocument/2006/relationships" ref="H189" r:id="rId184"/>
    <hyperlink xmlns:r="http://schemas.openxmlformats.org/officeDocument/2006/relationships" ref="H190" r:id="rId185"/>
    <hyperlink xmlns:r="http://schemas.openxmlformats.org/officeDocument/2006/relationships" ref="H191" r:id="rId186"/>
    <hyperlink xmlns:r="http://schemas.openxmlformats.org/officeDocument/2006/relationships" ref="H192" r:id="rId187"/>
    <hyperlink xmlns:r="http://schemas.openxmlformats.org/officeDocument/2006/relationships" ref="H193" r:id="rId188"/>
    <hyperlink xmlns:r="http://schemas.openxmlformats.org/officeDocument/2006/relationships" ref="H194" r:id="rId189"/>
    <hyperlink xmlns:r="http://schemas.openxmlformats.org/officeDocument/2006/relationships" ref="H195" r:id="rId190"/>
    <hyperlink xmlns:r="http://schemas.openxmlformats.org/officeDocument/2006/relationships" ref="H196" r:id="rId191"/>
    <hyperlink xmlns:r="http://schemas.openxmlformats.org/officeDocument/2006/relationships" ref="H197" r:id="rId192"/>
    <hyperlink xmlns:r="http://schemas.openxmlformats.org/officeDocument/2006/relationships" ref="H198" r:id="rId193"/>
    <hyperlink xmlns:r="http://schemas.openxmlformats.org/officeDocument/2006/relationships" ref="H199" r:id="rId194"/>
    <hyperlink xmlns:r="http://schemas.openxmlformats.org/officeDocument/2006/relationships" ref="H200" r:id="rId195"/>
    <hyperlink xmlns:r="http://schemas.openxmlformats.org/officeDocument/2006/relationships" ref="H201" r:id="rId196"/>
    <hyperlink xmlns:r="http://schemas.openxmlformats.org/officeDocument/2006/relationships" ref="H202" r:id="rId197"/>
    <hyperlink xmlns:r="http://schemas.openxmlformats.org/officeDocument/2006/relationships" ref="H203" r:id="rId198"/>
    <hyperlink xmlns:r="http://schemas.openxmlformats.org/officeDocument/2006/relationships" ref="H204" r:id="rId199"/>
    <hyperlink xmlns:r="http://schemas.openxmlformats.org/officeDocument/2006/relationships" ref="H205" r:id="rId200"/>
    <hyperlink xmlns:r="http://schemas.openxmlformats.org/officeDocument/2006/relationships" ref="H206" r:id="rId201"/>
    <hyperlink xmlns:r="http://schemas.openxmlformats.org/officeDocument/2006/relationships" ref="H207" r:id="rId202"/>
    <hyperlink xmlns:r="http://schemas.openxmlformats.org/officeDocument/2006/relationships" ref="H208" r:id="rId203"/>
    <hyperlink xmlns:r="http://schemas.openxmlformats.org/officeDocument/2006/relationships" ref="H209" r:id="rId204"/>
    <hyperlink xmlns:r="http://schemas.openxmlformats.org/officeDocument/2006/relationships" ref="H210" r:id="rId205"/>
    <hyperlink xmlns:r="http://schemas.openxmlformats.org/officeDocument/2006/relationships" ref="H211" r:id="rId206"/>
    <hyperlink xmlns:r="http://schemas.openxmlformats.org/officeDocument/2006/relationships" ref="H212" r:id="rId207"/>
    <hyperlink xmlns:r="http://schemas.openxmlformats.org/officeDocument/2006/relationships" ref="H213" r:id="rId208"/>
    <hyperlink xmlns:r="http://schemas.openxmlformats.org/officeDocument/2006/relationships" ref="H214" r:id="rId209"/>
    <hyperlink xmlns:r="http://schemas.openxmlformats.org/officeDocument/2006/relationships" ref="H215" r:id="rId210"/>
    <hyperlink xmlns:r="http://schemas.openxmlformats.org/officeDocument/2006/relationships" ref="H216" r:id="rId211"/>
    <hyperlink xmlns:r="http://schemas.openxmlformats.org/officeDocument/2006/relationships" ref="H217" r:id="rId212"/>
    <hyperlink xmlns:r="http://schemas.openxmlformats.org/officeDocument/2006/relationships" ref="H218" r:id="rId213"/>
    <hyperlink xmlns:r="http://schemas.openxmlformats.org/officeDocument/2006/relationships" ref="H219" r:id="rId214"/>
    <hyperlink xmlns:r="http://schemas.openxmlformats.org/officeDocument/2006/relationships" ref="H220" r:id="rId215"/>
    <hyperlink xmlns:r="http://schemas.openxmlformats.org/officeDocument/2006/relationships" ref="H221" r:id="rId216"/>
    <hyperlink xmlns:r="http://schemas.openxmlformats.org/officeDocument/2006/relationships" ref="H222" r:id="rId217"/>
    <hyperlink xmlns:r="http://schemas.openxmlformats.org/officeDocument/2006/relationships" ref="H223" r:id="rId218"/>
    <hyperlink xmlns:r="http://schemas.openxmlformats.org/officeDocument/2006/relationships" ref="H224" r:id="rId219"/>
    <hyperlink xmlns:r="http://schemas.openxmlformats.org/officeDocument/2006/relationships" ref="H225" r:id="rId220"/>
    <hyperlink xmlns:r="http://schemas.openxmlformats.org/officeDocument/2006/relationships" ref="H226" r:id="rId221"/>
    <hyperlink xmlns:r="http://schemas.openxmlformats.org/officeDocument/2006/relationships" ref="H227" r:id="rId222"/>
    <hyperlink xmlns:r="http://schemas.openxmlformats.org/officeDocument/2006/relationships" ref="H228" r:id="rId223"/>
    <hyperlink xmlns:r="http://schemas.openxmlformats.org/officeDocument/2006/relationships" ref="H229" r:id="rId224"/>
    <hyperlink xmlns:r="http://schemas.openxmlformats.org/officeDocument/2006/relationships" ref="H230" r:id="rId225"/>
    <hyperlink xmlns:r="http://schemas.openxmlformats.org/officeDocument/2006/relationships" ref="H231" r:id="rId226"/>
    <hyperlink xmlns:r="http://schemas.openxmlformats.org/officeDocument/2006/relationships" ref="H232" r:id="rId227"/>
    <hyperlink xmlns:r="http://schemas.openxmlformats.org/officeDocument/2006/relationships" ref="H233" r:id="rId228"/>
    <hyperlink xmlns:r="http://schemas.openxmlformats.org/officeDocument/2006/relationships" ref="H234" r:id="rId229"/>
    <hyperlink xmlns:r="http://schemas.openxmlformats.org/officeDocument/2006/relationships" ref="H235" r:id="rId230"/>
    <hyperlink xmlns:r="http://schemas.openxmlformats.org/officeDocument/2006/relationships" ref="H236" r:id="rId231"/>
    <hyperlink xmlns:r="http://schemas.openxmlformats.org/officeDocument/2006/relationships" ref="H237" r:id="rId232"/>
    <hyperlink xmlns:r="http://schemas.openxmlformats.org/officeDocument/2006/relationships" ref="H238" r:id="rId233"/>
    <hyperlink xmlns:r="http://schemas.openxmlformats.org/officeDocument/2006/relationships" ref="H239" r:id="rId234"/>
    <hyperlink xmlns:r="http://schemas.openxmlformats.org/officeDocument/2006/relationships" ref="H240" r:id="rId235"/>
    <hyperlink xmlns:r="http://schemas.openxmlformats.org/officeDocument/2006/relationships" ref="H241" r:id="rId236"/>
    <hyperlink xmlns:r="http://schemas.openxmlformats.org/officeDocument/2006/relationships" ref="H242" r:id="rId237"/>
    <hyperlink xmlns:r="http://schemas.openxmlformats.org/officeDocument/2006/relationships" ref="H243" r:id="rId238"/>
    <hyperlink xmlns:r="http://schemas.openxmlformats.org/officeDocument/2006/relationships" ref="H244" r:id="rId239"/>
    <hyperlink xmlns:r="http://schemas.openxmlformats.org/officeDocument/2006/relationships" ref="H245" r:id="rId240"/>
    <hyperlink xmlns:r="http://schemas.openxmlformats.org/officeDocument/2006/relationships" ref="H246" r:id="rId241"/>
    <hyperlink xmlns:r="http://schemas.openxmlformats.org/officeDocument/2006/relationships" ref="H247" r:id="rId242"/>
    <hyperlink xmlns:r="http://schemas.openxmlformats.org/officeDocument/2006/relationships" ref="H248" r:id="rId243"/>
    <hyperlink xmlns:r="http://schemas.openxmlformats.org/officeDocument/2006/relationships" ref="H249" r:id="rId244"/>
    <hyperlink xmlns:r="http://schemas.openxmlformats.org/officeDocument/2006/relationships" ref="H250" r:id="rId245"/>
    <hyperlink xmlns:r="http://schemas.openxmlformats.org/officeDocument/2006/relationships" ref="H251" r:id="rId246"/>
    <hyperlink xmlns:r="http://schemas.openxmlformats.org/officeDocument/2006/relationships" ref="H252" r:id="rId247"/>
    <hyperlink xmlns:r="http://schemas.openxmlformats.org/officeDocument/2006/relationships" ref="H253" r:id="rId248"/>
    <hyperlink xmlns:r="http://schemas.openxmlformats.org/officeDocument/2006/relationships" ref="H254" r:id="rId249"/>
    <hyperlink xmlns:r="http://schemas.openxmlformats.org/officeDocument/2006/relationships" ref="H255" r:id="rId250"/>
    <hyperlink xmlns:r="http://schemas.openxmlformats.org/officeDocument/2006/relationships" ref="H256" r:id="rId251"/>
    <hyperlink xmlns:r="http://schemas.openxmlformats.org/officeDocument/2006/relationships" ref="H257" r:id="rId252"/>
    <hyperlink xmlns:r="http://schemas.openxmlformats.org/officeDocument/2006/relationships" ref="H258" r:id="rId253"/>
    <hyperlink xmlns:r="http://schemas.openxmlformats.org/officeDocument/2006/relationships" ref="H259" r:id="rId254"/>
    <hyperlink xmlns:r="http://schemas.openxmlformats.org/officeDocument/2006/relationships" ref="H260" r:id="rId255"/>
    <hyperlink xmlns:r="http://schemas.openxmlformats.org/officeDocument/2006/relationships" ref="H261" r:id="rId256"/>
    <hyperlink xmlns:r="http://schemas.openxmlformats.org/officeDocument/2006/relationships" ref="H262" r:id="rId257"/>
    <hyperlink xmlns:r="http://schemas.openxmlformats.org/officeDocument/2006/relationships" ref="H263" r:id="rId258"/>
    <hyperlink xmlns:r="http://schemas.openxmlformats.org/officeDocument/2006/relationships" ref="H264" r:id="rId259"/>
    <hyperlink xmlns:r="http://schemas.openxmlformats.org/officeDocument/2006/relationships" ref="H265" r:id="rId260"/>
    <hyperlink xmlns:r="http://schemas.openxmlformats.org/officeDocument/2006/relationships" ref="H266" r:id="rId261"/>
    <hyperlink xmlns:r="http://schemas.openxmlformats.org/officeDocument/2006/relationships" ref="H267" r:id="rId262"/>
    <hyperlink xmlns:r="http://schemas.openxmlformats.org/officeDocument/2006/relationships" ref="H268" r:id="rId263"/>
    <hyperlink xmlns:r="http://schemas.openxmlformats.org/officeDocument/2006/relationships" ref="H269" r:id="rId264"/>
    <hyperlink xmlns:r="http://schemas.openxmlformats.org/officeDocument/2006/relationships" ref="H270" r:id="rId265"/>
    <hyperlink xmlns:r="http://schemas.openxmlformats.org/officeDocument/2006/relationships" ref="H271" r:id="rId266"/>
    <hyperlink xmlns:r="http://schemas.openxmlformats.org/officeDocument/2006/relationships" ref="H272" r:id="rId267"/>
    <hyperlink xmlns:r="http://schemas.openxmlformats.org/officeDocument/2006/relationships" ref="H273" r:id="rId268"/>
    <hyperlink xmlns:r="http://schemas.openxmlformats.org/officeDocument/2006/relationships" ref="H274" r:id="rId269"/>
    <hyperlink xmlns:r="http://schemas.openxmlformats.org/officeDocument/2006/relationships" ref="H275" r:id="rId270"/>
    <hyperlink xmlns:r="http://schemas.openxmlformats.org/officeDocument/2006/relationships" ref="H276" r:id="rId271"/>
    <hyperlink xmlns:r="http://schemas.openxmlformats.org/officeDocument/2006/relationships" ref="H277" r:id="rId272"/>
    <hyperlink xmlns:r="http://schemas.openxmlformats.org/officeDocument/2006/relationships" ref="H278" r:id="rId273"/>
    <hyperlink xmlns:r="http://schemas.openxmlformats.org/officeDocument/2006/relationships" ref="H279" r:id="rId274"/>
    <hyperlink xmlns:r="http://schemas.openxmlformats.org/officeDocument/2006/relationships" ref="H280" r:id="rId275"/>
    <hyperlink xmlns:r="http://schemas.openxmlformats.org/officeDocument/2006/relationships" ref="H281" r:id="rId276"/>
    <hyperlink xmlns:r="http://schemas.openxmlformats.org/officeDocument/2006/relationships" ref="H282" r:id="rId277"/>
    <hyperlink xmlns:r="http://schemas.openxmlformats.org/officeDocument/2006/relationships" ref="H283" r:id="rId278"/>
    <hyperlink xmlns:r="http://schemas.openxmlformats.org/officeDocument/2006/relationships" ref="H284" r:id="rId279"/>
    <hyperlink xmlns:r="http://schemas.openxmlformats.org/officeDocument/2006/relationships" ref="H285" r:id="rId280"/>
    <hyperlink xmlns:r="http://schemas.openxmlformats.org/officeDocument/2006/relationships" ref="H286" r:id="rId281"/>
    <hyperlink xmlns:r="http://schemas.openxmlformats.org/officeDocument/2006/relationships" ref="H287" r:id="rId282"/>
    <hyperlink xmlns:r="http://schemas.openxmlformats.org/officeDocument/2006/relationships" ref="H288" r:id="rId283"/>
    <hyperlink xmlns:r="http://schemas.openxmlformats.org/officeDocument/2006/relationships" ref="H289" r:id="rId284"/>
    <hyperlink xmlns:r="http://schemas.openxmlformats.org/officeDocument/2006/relationships" ref="H290" r:id="rId285"/>
    <hyperlink xmlns:r="http://schemas.openxmlformats.org/officeDocument/2006/relationships" ref="H291" r:id="rId286"/>
    <hyperlink xmlns:r="http://schemas.openxmlformats.org/officeDocument/2006/relationships" ref="H292" r:id="rId287"/>
    <hyperlink xmlns:r="http://schemas.openxmlformats.org/officeDocument/2006/relationships" ref="H293" r:id="rId288"/>
    <hyperlink xmlns:r="http://schemas.openxmlformats.org/officeDocument/2006/relationships" ref="H294" r:id="rId289"/>
    <hyperlink xmlns:r="http://schemas.openxmlformats.org/officeDocument/2006/relationships" ref="H295" r:id="rId290"/>
    <hyperlink xmlns:r="http://schemas.openxmlformats.org/officeDocument/2006/relationships" ref="H296" r:id="rId291"/>
    <hyperlink xmlns:r="http://schemas.openxmlformats.org/officeDocument/2006/relationships" ref="H297" r:id="rId292"/>
    <hyperlink xmlns:r="http://schemas.openxmlformats.org/officeDocument/2006/relationships" ref="H298" r:id="rId293"/>
    <hyperlink xmlns:r="http://schemas.openxmlformats.org/officeDocument/2006/relationships" ref="H299" r:id="rId294"/>
    <hyperlink xmlns:r="http://schemas.openxmlformats.org/officeDocument/2006/relationships" ref="H300" r:id="rId295"/>
    <hyperlink xmlns:r="http://schemas.openxmlformats.org/officeDocument/2006/relationships" ref="H301" r:id="rId296"/>
    <hyperlink xmlns:r="http://schemas.openxmlformats.org/officeDocument/2006/relationships" ref="H302" r:id="rId297"/>
    <hyperlink xmlns:r="http://schemas.openxmlformats.org/officeDocument/2006/relationships" ref="H303" r:id="rId298"/>
    <hyperlink xmlns:r="http://schemas.openxmlformats.org/officeDocument/2006/relationships" ref="H304" r:id="rId299"/>
    <hyperlink xmlns:r="http://schemas.openxmlformats.org/officeDocument/2006/relationships" ref="H305" r:id="rId300"/>
    <hyperlink xmlns:r="http://schemas.openxmlformats.org/officeDocument/2006/relationships" ref="H306" r:id="rId301"/>
    <hyperlink xmlns:r="http://schemas.openxmlformats.org/officeDocument/2006/relationships" ref="H307" r:id="rId302"/>
    <hyperlink xmlns:r="http://schemas.openxmlformats.org/officeDocument/2006/relationships" ref="H308" r:id="rId303"/>
    <hyperlink xmlns:r="http://schemas.openxmlformats.org/officeDocument/2006/relationships" ref="H309" r:id="rId304"/>
    <hyperlink xmlns:r="http://schemas.openxmlformats.org/officeDocument/2006/relationships" ref="H310" r:id="rId305"/>
    <hyperlink xmlns:r="http://schemas.openxmlformats.org/officeDocument/2006/relationships" ref="H311" r:id="rId306"/>
    <hyperlink xmlns:r="http://schemas.openxmlformats.org/officeDocument/2006/relationships" ref="H312" r:id="rId307"/>
    <hyperlink xmlns:r="http://schemas.openxmlformats.org/officeDocument/2006/relationships" ref="H313" r:id="rId30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38" customWidth="1" min="3" max="3"/>
    <col width="12" customWidth="1" min="4" max="4"/>
    <col width="12" customWidth="1" min="5" max="5"/>
    <col width="27" customWidth="1" min="6" max="6"/>
    <col width="30" customWidth="1" min="7" max="7"/>
    <col width="12" customWidth="1" min="8" max="8"/>
    <col width="21" customWidth="1" min="9" max="9"/>
    <col width="28" customWidth="1" min="10" max="10"/>
    <col width="29" customWidth="1" min="11" max="11"/>
  </cols>
  <sheetData>
    <row r="1">
      <c r="A1" s="8" t="inlineStr">
        <is>
          <t>BẢNG TỔNG HỢP CHI PHÍ THIẾT BỊ CÔNG TRÌNH</t>
        </is>
      </c>
      <c r="B1" s="8" t="inlineStr"/>
      <c r="D1" s="8" t="inlineStr"/>
      <c r="E1" s="8" t="inlineStr"/>
      <c r="F1" s="8" t="inlineStr"/>
      <c r="G1" s="8" t="inlineStr"/>
      <c r="H1" s="8" t="inlineStr"/>
      <c r="I1" s="8" t="inlineStr"/>
      <c r="J1" s="8" t="inlineStr"/>
      <c r="K1" s="8" t="inlineStr"/>
    </row>
    <row r="2">
      <c r="A2" s="8" t="inlineStr">
        <is>
          <t>DỰ ÁN: XÂY DỰNG NHÀ Ở CHO LỰC LƯỢNG VŨ TRANG CÔNG AN NHÂN DÂN 
TẠI Ô ĐẤT NO1 THUỘC LÔ ĐẤT D12 KHU ĐÔ THỊ MỚI CẦU GIẤY, PHƯỜNG CẦU GIẤY, THÀNH PHỐ HÀ NỘI</t>
        </is>
      </c>
      <c r="B2" s="8" t="inlineStr"/>
      <c r="D2" s="8" t="inlineStr"/>
      <c r="E2" s="8" t="inlineStr"/>
      <c r="F2" s="8" t="inlineStr"/>
      <c r="G2" s="8" t="inlineStr"/>
      <c r="H2" s="8" t="inlineStr"/>
      <c r="I2" s="8" t="inlineStr"/>
      <c r="J2" s="8" t="inlineStr"/>
      <c r="K2" s="8" t="inlineStr"/>
    </row>
    <row r="3">
      <c r="A3" s="8" t="inlineStr">
        <is>
          <t>HẠNG MỤC: ĐIỀU HÒA KHÔNG KHÍ</t>
        </is>
      </c>
      <c r="B3" s="8" t="inlineStr"/>
      <c r="D3" s="8" t="inlineStr"/>
      <c r="E3" s="8" t="inlineStr"/>
      <c r="F3" s="8" t="inlineStr"/>
      <c r="G3" s="8" t="inlineStr"/>
      <c r="H3" s="8" t="inlineStr"/>
      <c r="I3" s="8" t="inlineStr"/>
      <c r="J3" s="8" t="inlineStr"/>
      <c r="K3" s="8" t="inlineStr"/>
    </row>
    <row r="4">
      <c r="A4" s="8" t="inlineStr"/>
      <c r="B4" s="8" t="inlineStr"/>
      <c r="D4" s="8" t="inlineStr"/>
      <c r="E4" s="8" t="inlineStr"/>
      <c r="F4" s="8" t="inlineStr"/>
      <c r="G4" s="8" t="inlineStr"/>
      <c r="H4" s="8" t="inlineStr"/>
      <c r="I4" s="8" t="inlineStr"/>
      <c r="J4" s="8" t="inlineStr"/>
      <c r="K4" s="8" t="inlineStr"/>
    </row>
    <row r="5">
      <c r="A5" s="8" t="inlineStr">
        <is>
          <t>STT</t>
        </is>
      </c>
      <c r="B5" s="8" t="inlineStr">
        <is>
          <t>Tên thiết bị</t>
        </is>
      </c>
      <c r="D5" s="8" t="inlineStr">
        <is>
          <t>Đơn vị</t>
        </is>
      </c>
      <c r="E5" s="8" t="inlineStr">
        <is>
          <t>Số lượng</t>
        </is>
      </c>
      <c r="F5" s="8" t="inlineStr">
        <is>
          <t>Đơn giá
trước thuế
(đ)</t>
        </is>
      </c>
      <c r="G5" s="8" t="inlineStr">
        <is>
          <t>Thành tiền
trước thuế
(đ)</t>
        </is>
      </c>
      <c r="H5" s="8" t="inlineStr">
        <is>
          <t>Thuế VAT</t>
        </is>
      </c>
      <c r="I5" s="8" t="inlineStr"/>
      <c r="J5" s="8" t="inlineStr">
        <is>
          <t>Thành tiền
sau thuế
(đ)</t>
        </is>
      </c>
      <c r="K5" s="8" t="inlineStr">
        <is>
          <t>Ghi chú, Nguồn gốc xuất xứ</t>
        </is>
      </c>
    </row>
    <row r="6">
      <c r="A6" s="8" t="inlineStr"/>
      <c r="B6" s="8" t="inlineStr"/>
      <c r="D6" s="8" t="inlineStr"/>
      <c r="E6" s="8" t="inlineStr"/>
      <c r="F6" s="8" t="inlineStr"/>
      <c r="G6" s="8" t="inlineStr"/>
      <c r="H6" s="8" t="inlineStr">
        <is>
          <t>%</t>
        </is>
      </c>
      <c r="I6" s="8" t="inlineStr">
        <is>
          <t>Thành tiền
(đ)</t>
        </is>
      </c>
      <c r="J6" s="8" t="inlineStr"/>
      <c r="K6" s="8" t="inlineStr"/>
    </row>
    <row r="7">
      <c r="A7" s="8" t="inlineStr">
        <is>
          <t>1</t>
        </is>
      </c>
      <c r="B7" s="8" t="inlineStr">
        <is>
          <t>Chi phí mua sắm thiết bị</t>
        </is>
      </c>
      <c r="D7" s="8" t="inlineStr"/>
      <c r="E7" s="8" t="inlineStr"/>
      <c r="F7" s="8" t="inlineStr"/>
      <c r="G7" s="8" t="n">
        <v>0</v>
      </c>
      <c r="H7" s="8" t="inlineStr"/>
      <c r="I7" s="8" t="n">
        <v>0</v>
      </c>
      <c r="J7" s="8" t="n">
        <v>0</v>
      </c>
      <c r="K7" s="8" t="inlineStr"/>
    </row>
    <row r="8">
      <c r="A8" s="8" t="inlineStr">
        <is>
          <t>*</t>
        </is>
      </c>
      <c r="B8" s="8" t="inlineStr">
        <is>
          <t>Dàn nóng điều hòa VRF, Multi</t>
        </is>
      </c>
      <c r="D8" s="8" t="inlineStr"/>
      <c r="E8" s="8" t="inlineStr"/>
      <c r="F8" s="8" t="inlineStr"/>
      <c r="G8" s="8" t="n">
        <v>0</v>
      </c>
      <c r="H8" s="8" t="inlineStr"/>
      <c r="I8" s="8" t="n">
        <v>0</v>
      </c>
      <c r="J8" s="8" t="n">
        <v>0</v>
      </c>
      <c r="K8" s="8" t="inlineStr"/>
    </row>
    <row r="9">
      <c r="A9" s="8" t="inlineStr"/>
      <c r="B9" s="8" t="inlineStr">
        <is>
          <t>Dàn nóng CSL: 10 HP</t>
        </is>
      </c>
      <c r="D9" s="8" t="inlineStr">
        <is>
          <t>Cái</t>
        </is>
      </c>
      <c r="E9" s="8" t="n">
        <v>1</v>
      </c>
      <c r="F9" s="8" t="n">
        <v>154784000</v>
      </c>
      <c r="G9" s="8" t="n">
        <v>154784000</v>
      </c>
      <c r="H9" s="8" t="n">
        <v>10</v>
      </c>
      <c r="I9" s="8" t="n">
        <v>15478400</v>
      </c>
      <c r="J9" s="8" t="n">
        <v>170262400</v>
      </c>
      <c r="K9" s="8" t="inlineStr"/>
    </row>
    <row r="10">
      <c r="A10" s="8" t="inlineStr"/>
      <c r="B10" s="8" t="inlineStr">
        <is>
          <t>Dàn nóng CSL: 14 HP</t>
        </is>
      </c>
      <c r="D10" s="8" t="inlineStr">
        <is>
          <t>Cái</t>
        </is>
      </c>
      <c r="E10" s="8" t="n">
        <v>5</v>
      </c>
      <c r="F10" s="8" t="n">
        <v>212110000</v>
      </c>
      <c r="G10" s="8" t="n">
        <v>1060550000</v>
      </c>
      <c r="H10" s="8" t="n">
        <v>10</v>
      </c>
      <c r="I10" s="8" t="n">
        <v>106055000</v>
      </c>
      <c r="J10" s="8" t="n">
        <v>1166605000</v>
      </c>
      <c r="K10" s="8" t="inlineStr"/>
    </row>
    <row r="11">
      <c r="A11" s="8" t="inlineStr"/>
      <c r="B11" s="8" t="inlineStr">
        <is>
          <t>Dàn nóng CSL: 16 HP</t>
        </is>
      </c>
      <c r="D11" s="8" t="inlineStr">
        <is>
          <t>Cái</t>
        </is>
      </c>
      <c r="E11" s="8" t="n">
        <v>2</v>
      </c>
      <c r="F11" s="8" t="n">
        <v>242400000</v>
      </c>
      <c r="G11" s="8" t="n">
        <v>484800000</v>
      </c>
      <c r="H11" s="8" t="n">
        <v>10</v>
      </c>
      <c r="I11" s="8" t="n">
        <v>48480000</v>
      </c>
      <c r="J11" s="8" t="n">
        <v>533280000</v>
      </c>
      <c r="K11" s="8" t="inlineStr"/>
    </row>
    <row r="12">
      <c r="A12" s="8" t="inlineStr"/>
      <c r="B12" s="8" t="inlineStr">
        <is>
          <t>Dàn nóng CSL: 26 HP</t>
        </is>
      </c>
      <c r="D12" s="8" t="inlineStr">
        <is>
          <t>Cái</t>
        </is>
      </c>
      <c r="E12" s="8" t="n">
        <v>1</v>
      </c>
      <c r="F12" s="8" t="n">
        <v>400198000</v>
      </c>
      <c r="G12" s="8" t="n">
        <v>400198000</v>
      </c>
      <c r="H12" s="8" t="n">
        <v>10</v>
      </c>
      <c r="I12" s="8" t="n">
        <v>40019800</v>
      </c>
      <c r="J12" s="8" t="n">
        <v>440217800</v>
      </c>
      <c r="K12" s="8" t="inlineStr"/>
    </row>
    <row r="13">
      <c r="A13" s="8" t="inlineStr"/>
      <c r="B13" s="8" t="inlineStr">
        <is>
          <t>Dàn nóng CSL: 40 HP</t>
        </is>
      </c>
      <c r="D13" s="8" t="inlineStr">
        <is>
          <t>Cái</t>
        </is>
      </c>
      <c r="E13" s="8" t="n">
        <v>3</v>
      </c>
      <c r="F13" s="8" t="n">
        <v>581214000</v>
      </c>
      <c r="G13" s="8" t="n">
        <v>1743642000</v>
      </c>
      <c r="H13" s="8" t="n">
        <v>10</v>
      </c>
      <c r="I13" s="8" t="n">
        <v>174364200</v>
      </c>
      <c r="J13" s="8" t="n">
        <v>1918006200</v>
      </c>
      <c r="K13" s="8" t="inlineStr"/>
    </row>
    <row r="14">
      <c r="A14" s="8" t="inlineStr"/>
      <c r="B14" s="8" t="inlineStr">
        <is>
          <t>Dàn nóng CSL: 46 HP</t>
        </is>
      </c>
      <c r="D14" s="8" t="inlineStr">
        <is>
          <t>Cái</t>
        </is>
      </c>
      <c r="E14" s="8" t="n">
        <v>2</v>
      </c>
      <c r="F14" s="8" t="n">
        <v>703017000</v>
      </c>
      <c r="G14" s="8" t="n">
        <v>1406034000</v>
      </c>
      <c r="H14" s="8" t="n">
        <v>10</v>
      </c>
      <c r="I14" s="8" t="n">
        <v>140603400</v>
      </c>
      <c r="J14" s="8" t="n">
        <v>1546637400</v>
      </c>
      <c r="K14" s="8" t="inlineStr"/>
    </row>
    <row r="15">
      <c r="A15" s="8" t="inlineStr">
        <is>
          <t>*</t>
        </is>
      </c>
      <c r="B15" s="8" t="inlineStr">
        <is>
          <t>Dàn lạnh âm trần nối ống gió điều hòa không khí trung tâm, 2 chiều lạnh sưởi</t>
        </is>
      </c>
      <c r="D15" s="8" t="inlineStr"/>
      <c r="E15" s="8" t="inlineStr"/>
      <c r="F15" s="8" t="inlineStr"/>
      <c r="G15" s="8" t="inlineStr"/>
      <c r="H15" s="8" t="inlineStr"/>
      <c r="I15" s="8" t="inlineStr"/>
      <c r="J15" s="8" t="inlineStr"/>
      <c r="K15" s="8" t="inlineStr"/>
    </row>
    <row r="16">
      <c r="A16" s="8" t="inlineStr"/>
      <c r="B16" s="8" t="inlineStr">
        <is>
          <t>Dàn lạnh âm trần nối ống gió, CSL: 7.1 kW</t>
        </is>
      </c>
      <c r="D16" s="8" t="inlineStr">
        <is>
          <t>Cái</t>
        </is>
      </c>
      <c r="E16" s="8" t="n">
        <v>14</v>
      </c>
      <c r="F16" s="8" t="n">
        <v>28562000</v>
      </c>
      <c r="G16" s="8" t="n">
        <v>399868000</v>
      </c>
      <c r="H16" s="8" t="n">
        <v>10</v>
      </c>
      <c r="I16" s="8" t="n">
        <v>39986800</v>
      </c>
      <c r="J16" s="8" t="n">
        <v>439854800</v>
      </c>
      <c r="K16" s="8" t="inlineStr"/>
    </row>
    <row r="17">
      <c r="A17" s="8" t="inlineStr">
        <is>
          <t>*</t>
        </is>
      </c>
      <c r="B17" s="8" t="inlineStr">
        <is>
          <t>Dàn lạnh cassette đa hướng thổi điều hòa không khí trung tâm, 2 chiều lạnh sưởi</t>
        </is>
      </c>
      <c r="D17" s="8" t="inlineStr"/>
      <c r="E17" s="8" t="inlineStr"/>
      <c r="F17" s="8" t="inlineStr"/>
      <c r="G17" s="8" t="inlineStr"/>
      <c r="H17" s="8" t="inlineStr"/>
      <c r="I17" s="8" t="inlineStr"/>
      <c r="J17" s="8" t="inlineStr"/>
      <c r="K17" s="8" t="inlineStr"/>
    </row>
    <row r="18">
      <c r="A18" s="8" t="inlineStr"/>
      <c r="B18" s="8" t="inlineStr">
        <is>
          <t>Dàn lạnh cassette, CSL: 9.0 kW</t>
        </is>
      </c>
      <c r="D18" s="8" t="inlineStr">
        <is>
          <t>Cái</t>
        </is>
      </c>
      <c r="E18" s="8" t="n">
        <v>14</v>
      </c>
      <c r="F18" s="8" t="n">
        <v>30093000</v>
      </c>
      <c r="G18" s="8" t="n">
        <v>421302000</v>
      </c>
      <c r="H18" s="8" t="n">
        <v>10</v>
      </c>
      <c r="I18" s="8" t="n">
        <v>42130200</v>
      </c>
      <c r="J18" s="8" t="n">
        <v>463432200</v>
      </c>
      <c r="K18" s="8" t="inlineStr"/>
    </row>
    <row r="19">
      <c r="A19" s="8" t="inlineStr"/>
      <c r="B19" s="8" t="inlineStr">
        <is>
          <t>Dàn lạnh cassette, CSL: 11.2 kW</t>
        </is>
      </c>
      <c r="D19" s="8" t="inlineStr">
        <is>
          <t>Cái</t>
        </is>
      </c>
      <c r="E19" s="8" t="n">
        <v>43</v>
      </c>
      <c r="F19" s="8" t="n">
        <v>32119000</v>
      </c>
      <c r="G19" s="8" t="n">
        <v>1381117000</v>
      </c>
      <c r="H19" s="8" t="n">
        <v>10</v>
      </c>
      <c r="I19" s="8" t="n">
        <v>138111700</v>
      </c>
      <c r="J19" s="8" t="n">
        <v>1519228700</v>
      </c>
      <c r="K19" s="8" t="inlineStr"/>
    </row>
    <row r="20">
      <c r="A20" s="8" t="inlineStr"/>
      <c r="B20" s="8" t="inlineStr">
        <is>
          <t>Dàn lạnh cassette, CSL: 14.0 kW</t>
        </is>
      </c>
      <c r="D20" s="8" t="inlineStr">
        <is>
          <t>Cái</t>
        </is>
      </c>
      <c r="E20" s="8" t="n">
        <v>18</v>
      </c>
      <c r="F20" s="8" t="n">
        <v>36021000</v>
      </c>
      <c r="G20" s="8" t="n">
        <v>648378000</v>
      </c>
      <c r="H20" s="8" t="n">
        <v>10</v>
      </c>
      <c r="I20" s="8" t="n">
        <v>64837800</v>
      </c>
      <c r="J20" s="8" t="n">
        <v>713215800</v>
      </c>
      <c r="K20" s="8" t="inlineStr"/>
    </row>
    <row r="21">
      <c r="A21" s="8" t="inlineStr"/>
      <c r="B21" s="8" t="inlineStr">
        <is>
          <t>Điều khiển gắn tường</t>
        </is>
      </c>
      <c r="D21" s="8" t="inlineStr">
        <is>
          <t>Cái</t>
        </is>
      </c>
      <c r="E21" s="8" t="n">
        <v>89</v>
      </c>
      <c r="F21" s="8" t="n">
        <v>3890000</v>
      </c>
      <c r="G21" s="8" t="n">
        <v>346210000</v>
      </c>
      <c r="H21" s="8" t="n">
        <v>10</v>
      </c>
      <c r="I21" s="8" t="n">
        <v>34621000</v>
      </c>
      <c r="J21" s="8" t="n">
        <v>380831000</v>
      </c>
      <c r="K21" s="8" t="inlineStr"/>
    </row>
    <row r="22">
      <c r="A22" s="8" t="inlineStr"/>
      <c r="B22" s="8" t="inlineStr">
        <is>
          <t>Bộ đk trung tâm</t>
        </is>
      </c>
      <c r="D22" s="8" t="inlineStr">
        <is>
          <t>Cái</t>
        </is>
      </c>
      <c r="E22" s="8" t="n">
        <v>1</v>
      </c>
      <c r="F22" s="8" t="n">
        <v>86113000</v>
      </c>
      <c r="G22" s="8" t="n">
        <v>86113000</v>
      </c>
      <c r="H22" s="8" t="n">
        <v>10</v>
      </c>
      <c r="I22" s="8" t="n">
        <v>8611300</v>
      </c>
      <c r="J22" s="8" t="n">
        <v>94724300</v>
      </c>
      <c r="K22" s="8" t="inlineStr"/>
    </row>
    <row r="23">
      <c r="A23" s="8" t="inlineStr"/>
      <c r="B23" s="8" t="inlineStr">
        <is>
          <t>Bộ đk trung tâm mở rộng</t>
        </is>
      </c>
      <c r="D23" s="8" t="inlineStr">
        <is>
          <t>Cái</t>
        </is>
      </c>
      <c r="E23" s="8" t="n">
        <v>3</v>
      </c>
      <c r="F23" s="8" t="n">
        <v>59456000</v>
      </c>
      <c r="G23" s="8" t="n">
        <v>178368000</v>
      </c>
      <c r="H23" s="8" t="n">
        <v>10</v>
      </c>
      <c r="I23" s="8" t="n">
        <v>17836800</v>
      </c>
      <c r="J23" s="8" t="n">
        <v>196204800</v>
      </c>
      <c r="K23" s="8" t="inlineStr"/>
    </row>
    <row r="24">
      <c r="A24" s="8" t="inlineStr"/>
      <c r="B24" s="8" t="inlineStr">
        <is>
          <t>Bộ chia gas dàn lạnh</t>
        </is>
      </c>
      <c r="D24" s="8" t="inlineStr">
        <is>
          <t>Cái</t>
        </is>
      </c>
      <c r="E24" s="8" t="n">
        <v>75</v>
      </c>
      <c r="F24" s="8" t="n">
        <v>3334000</v>
      </c>
      <c r="G24" s="8" t="n">
        <v>250050000</v>
      </c>
      <c r="H24" s="8" t="n">
        <v>10</v>
      </c>
      <c r="I24" s="8" t="n">
        <v>25005000</v>
      </c>
      <c r="J24" s="8" t="n">
        <v>275055000</v>
      </c>
      <c r="K24" s="8" t="inlineStr"/>
    </row>
    <row r="25">
      <c r="A25" s="8" t="inlineStr">
        <is>
          <t>*</t>
        </is>
      </c>
      <c r="B25" s="8" t="inlineStr">
        <is>
          <t>Dàn lạnh âm trần nối ống gió</t>
        </is>
      </c>
      <c r="D25" s="8" t="inlineStr"/>
      <c r="E25" s="8" t="inlineStr"/>
      <c r="F25" s="8" t="inlineStr"/>
      <c r="G25" s="8" t="inlineStr"/>
      <c r="H25" s="8" t="inlineStr"/>
      <c r="I25" s="8" t="inlineStr"/>
      <c r="J25" s="8" t="inlineStr"/>
      <c r="K25" s="8" t="inlineStr"/>
    </row>
    <row r="26">
      <c r="A26" s="8" t="inlineStr"/>
      <c r="B26" s="8" t="inlineStr">
        <is>
          <t>Dàn lạnh âm trần nối ống gió CSL: 7.1 kW</t>
        </is>
      </c>
      <c r="D26" s="8" t="inlineStr">
        <is>
          <t>Bộ</t>
        </is>
      </c>
      <c r="E26" s="8" t="n">
        <v>2</v>
      </c>
      <c r="F26" s="8" t="n">
        <v>50296000</v>
      </c>
      <c r="G26" s="8" t="n">
        <v>100592000</v>
      </c>
      <c r="H26" s="8" t="n">
        <v>10</v>
      </c>
      <c r="I26" s="8" t="n">
        <v>10059200</v>
      </c>
      <c r="J26" s="8" t="n">
        <v>110651200</v>
      </c>
      <c r="K26" s="8" t="inlineStr"/>
    </row>
    <row r="27">
      <c r="A27" s="8" t="inlineStr">
        <is>
          <t>*</t>
        </is>
      </c>
      <c r="B27" s="8" t="inlineStr">
        <is>
          <t>Dàn lạnh cassette</t>
        </is>
      </c>
      <c r="D27" s="8" t="inlineStr"/>
      <c r="E27" s="8" t="inlineStr"/>
      <c r="F27" s="8" t="inlineStr"/>
      <c r="G27" s="8" t="inlineStr"/>
      <c r="H27" s="8" t="inlineStr"/>
      <c r="I27" s="8" t="inlineStr"/>
      <c r="J27" s="8" t="inlineStr"/>
      <c r="K27" s="8" t="inlineStr"/>
    </row>
    <row r="28">
      <c r="A28" s="8" t="inlineStr"/>
      <c r="B28" s="8" t="inlineStr">
        <is>
          <t>Dàn lạnh cassette CSL: 7.1 kW</t>
        </is>
      </c>
      <c r="D28" s="8" t="inlineStr">
        <is>
          <t>Bộ</t>
        </is>
      </c>
      <c r="E28" s="8" t="n">
        <v>36</v>
      </c>
      <c r="F28" s="8" t="n">
        <v>52558000</v>
      </c>
      <c r="G28" s="8" t="n">
        <v>1892088000</v>
      </c>
      <c r="H28" s="8" t="n">
        <v>10</v>
      </c>
      <c r="I28" s="8" t="n">
        <v>189208800</v>
      </c>
      <c r="J28" s="8" t="n">
        <v>2081296800</v>
      </c>
      <c r="K28" s="8" t="inlineStr"/>
    </row>
    <row r="29">
      <c r="A29" s="8" t="inlineStr"/>
      <c r="B29" s="8" t="inlineStr">
        <is>
          <t>Dàn lạnh cassette CSL: 10.0 kW</t>
        </is>
      </c>
      <c r="D29" s="8" t="inlineStr">
        <is>
          <t>Bộ</t>
        </is>
      </c>
      <c r="E29" s="8" t="n">
        <v>24</v>
      </c>
      <c r="F29" s="8" t="n">
        <v>62278000</v>
      </c>
      <c r="G29" s="8" t="n">
        <v>1494672000</v>
      </c>
      <c r="H29" s="8" t="n">
        <v>10</v>
      </c>
      <c r="I29" s="8" t="n">
        <v>149467200</v>
      </c>
      <c r="J29" s="8" t="n">
        <v>1644139200</v>
      </c>
      <c r="K29" s="8" t="inlineStr"/>
    </row>
    <row r="30">
      <c r="A30" s="8" t="inlineStr"/>
      <c r="B30" s="8" t="inlineStr">
        <is>
          <t>Dàn lạnh cassette CSL: 12.5 kW</t>
        </is>
      </c>
      <c r="D30" s="8" t="inlineStr">
        <is>
          <t>Bộ</t>
        </is>
      </c>
      <c r="E30" s="8" t="n">
        <v>30</v>
      </c>
      <c r="F30" s="8" t="n">
        <v>71466000</v>
      </c>
      <c r="G30" s="8" t="n">
        <v>2143980000</v>
      </c>
      <c r="H30" s="8" t="n">
        <v>10</v>
      </c>
      <c r="I30" s="8" t="n">
        <v>214398000</v>
      </c>
      <c r="J30" s="8" t="n">
        <v>2358378000</v>
      </c>
      <c r="K30" s="8" t="inlineStr"/>
    </row>
    <row r="31">
      <c r="A31" s="8" t="inlineStr">
        <is>
          <t>*</t>
        </is>
      </c>
      <c r="B31" s="8" t="inlineStr">
        <is>
          <t>Dàn lạnh treo tường</t>
        </is>
      </c>
      <c r="D31" s="8" t="inlineStr"/>
      <c r="E31" s="8" t="inlineStr"/>
      <c r="F31" s="8" t="inlineStr"/>
      <c r="G31" s="8" t="inlineStr"/>
      <c r="H31" s="8" t="inlineStr"/>
      <c r="I31" s="8" t="inlineStr"/>
      <c r="J31" s="8" t="inlineStr"/>
      <c r="K31" s="8" t="inlineStr"/>
    </row>
    <row r="32">
      <c r="A32" s="8" t="inlineStr"/>
      <c r="B32" s="8" t="inlineStr">
        <is>
          <t>Dàn lạnh treo tường CSL: 2.5 kW</t>
        </is>
      </c>
      <c r="D32" s="8" t="inlineStr">
        <is>
          <t>Bộ</t>
        </is>
      </c>
      <c r="E32" s="8" t="n">
        <v>1</v>
      </c>
      <c r="F32" s="8" t="n">
        <v>12780000</v>
      </c>
      <c r="G32" s="8" t="n">
        <v>12780000</v>
      </c>
      <c r="H32" s="8" t="n">
        <v>10</v>
      </c>
      <c r="I32" s="8" t="n">
        <v>1278000</v>
      </c>
      <c r="J32" s="8" t="n">
        <v>14058000</v>
      </c>
      <c r="K32" s="8" t="inlineStr"/>
    </row>
    <row r="33">
      <c r="A33" s="8" t="inlineStr"/>
      <c r="B33" s="8" t="inlineStr">
        <is>
          <t>Dàn lạnh treo tường CSL: 5.0 kW</t>
        </is>
      </c>
      <c r="D33" s="8" t="inlineStr">
        <is>
          <t>Bộ</t>
        </is>
      </c>
      <c r="E33" s="8" t="n">
        <v>2</v>
      </c>
      <c r="F33" s="8" t="n">
        <v>24532000</v>
      </c>
      <c r="G33" s="8" t="n">
        <v>49064000</v>
      </c>
      <c r="H33" s="8" t="n">
        <v>10</v>
      </c>
      <c r="I33" s="8" t="n">
        <v>4906400</v>
      </c>
      <c r="J33" s="8" t="n">
        <v>53970400</v>
      </c>
      <c r="K33" s="8" t="inlineStr"/>
    </row>
    <row r="34">
      <c r="A34" s="8" t="inlineStr"/>
      <c r="B34" s="8" t="inlineStr">
        <is>
          <t>Dàn lạnh treo tường CSL: 7.1 kW</t>
        </is>
      </c>
      <c r="D34" s="8" t="inlineStr">
        <is>
          <t>Bộ</t>
        </is>
      </c>
      <c r="E34" s="8" t="n">
        <v>2</v>
      </c>
      <c r="F34" s="8" t="n">
        <v>24532000</v>
      </c>
      <c r="G34" s="8" t="n">
        <v>49064000</v>
      </c>
      <c r="H34" s="8" t="n">
        <v>10</v>
      </c>
      <c r="I34" s="8" t="n">
        <v>4906400</v>
      </c>
      <c r="J34" s="8" t="n">
        <v>53970400</v>
      </c>
      <c r="K34" s="8" t="inlineStr"/>
    </row>
    <row r="35">
      <c r="A35" s="8" t="inlineStr">
        <is>
          <t>2</t>
        </is>
      </c>
      <c r="B35" s="8" t="inlineStr">
        <is>
          <t>Chi phí lắp đặt thiết bị</t>
        </is>
      </c>
      <c r="D35" s="8" t="inlineStr"/>
      <c r="E35" s="8" t="inlineStr"/>
      <c r="F35" s="8" t="inlineStr"/>
      <c r="G35" s="8" t="n">
        <v>348357977.7862608</v>
      </c>
      <c r="H35" s="8" t="inlineStr"/>
      <c r="I35" s="8" t="n">
        <v>34835797.77862608</v>
      </c>
      <c r="J35" s="8" t="n">
        <v>383193775.5648869</v>
      </c>
      <c r="K35" s="8" t="inlineStr"/>
    </row>
    <row r="36">
      <c r="A36" s="8" t="inlineStr"/>
      <c r="B36" s="8" t="inlineStr">
        <is>
          <t>TỔNG CỘNG</t>
        </is>
      </c>
      <c r="D36" s="8" t="inlineStr"/>
      <c r="E36" s="8" t="inlineStr"/>
      <c r="F36" s="8" t="inlineStr"/>
      <c r="G36" s="8" t="n">
        <v>15052011978</v>
      </c>
      <c r="H36" s="8" t="inlineStr"/>
      <c r="I36" s="8" t="n">
        <v>1505201198</v>
      </c>
      <c r="J36" s="8" t="n">
        <v>16557213176</v>
      </c>
      <c r="K36" s="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21" customWidth="1" min="3" max="3"/>
    <col width="21" customWidth="1" min="4" max="4"/>
    <col width="21" customWidth="1" min="5" max="5"/>
    <col width="12" customWidth="1" min="6" max="6"/>
  </cols>
  <sheetData>
    <row r="1">
      <c r="A1" s="8" t="inlineStr">
        <is>
          <t>BẢNG TỔNG HỢP CHI PHÍ XÂY DỰNG CÔNG TRÌNH</t>
        </is>
      </c>
      <c r="B1" s="8" t="inlineStr"/>
      <c r="C1" s="8" t="inlineStr"/>
      <c r="D1" s="8" t="inlineStr"/>
      <c r="E1" s="8" t="inlineStr"/>
      <c r="F1" s="8" t="inlineStr"/>
    </row>
    <row r="2">
      <c r="A2" s="8" t="inlineStr">
        <is>
          <t>DỰ ÁN: XÂY DỰNG NHÀ Ở CHO LỰC LƯỢNG VŨ TRANG CÔNG AN NHÂN DÂN 
TẠI Ô ĐẤT NO1 THUỘC LÔ ĐẤT D12 KHU ĐÔ THỊ MỚI CẦU GIẤY, PHƯỜNG CẦU GIẤY, THÀNH PHỐ HÀ NỘI</t>
        </is>
      </c>
      <c r="B2" s="8" t="inlineStr"/>
      <c r="C2" s="8" t="inlineStr"/>
      <c r="D2" s="8" t="inlineStr"/>
      <c r="E2" s="8" t="inlineStr"/>
      <c r="F2" s="8" t="inlineStr"/>
    </row>
    <row r="3">
      <c r="A3" s="8" t="inlineStr">
        <is>
          <t>HẠNG MỤC: ĐIỀU HÒA KHÔNG KHÍ</t>
        </is>
      </c>
      <c r="B3" s="8" t="inlineStr"/>
      <c r="C3" s="8" t="inlineStr"/>
      <c r="D3" s="8" t="inlineStr"/>
      <c r="E3" s="8" t="inlineStr"/>
      <c r="F3" s="8" t="inlineStr"/>
    </row>
    <row r="4">
      <c r="A4" s="8" t="inlineStr">
        <is>
          <t>Đơn vị tính: (đ)</t>
        </is>
      </c>
      <c r="B4" s="8" t="inlineStr"/>
      <c r="C4" s="8" t="inlineStr"/>
      <c r="D4" s="8" t="inlineStr"/>
      <c r="E4" s="8" t="inlineStr"/>
      <c r="F4" s="8" t="inlineStr"/>
    </row>
    <row r="5">
      <c r="A5" s="8" t="inlineStr">
        <is>
          <t>STT</t>
        </is>
      </c>
      <c r="B5" s="8" t="inlineStr">
        <is>
          <t>NỘI DUNG CHI PHÍ</t>
        </is>
      </c>
      <c r="C5" s="8" t="inlineStr">
        <is>
          <t>GIÁ TRỊ
TRƯỚC THUẾ</t>
        </is>
      </c>
      <c r="D5" s="8" t="inlineStr">
        <is>
          <t>THUẾ
GTGT</t>
        </is>
      </c>
      <c r="E5" s="8" t="inlineStr">
        <is>
          <t>GIÁ TRỊ
SAU THUẾ</t>
        </is>
      </c>
      <c r="F5" s="8" t="inlineStr">
        <is>
          <t>KÝ HIỆU</t>
        </is>
      </c>
    </row>
    <row r="6">
      <c r="A6" s="8" t="n">
        <v>1</v>
      </c>
      <c r="B6" s="8" t="inlineStr">
        <is>
          <t>Chi phí xây dựng của công trình chính, phụ trợ</t>
        </is>
      </c>
      <c r="C6" s="8" t="n">
        <v>3273490133</v>
      </c>
      <c r="D6" s="8" t="n">
        <v>327349013</v>
      </c>
      <c r="E6" s="8" t="n">
        <v>3600839146</v>
      </c>
      <c r="F6" s="8" t="inlineStr">
        <is>
          <t>Gxd</t>
        </is>
      </c>
    </row>
    <row r="7">
      <c r="A7" s="8" t="inlineStr">
        <is>
          <t>1.1</t>
        </is>
      </c>
      <c r="B7" s="8" t="inlineStr">
        <is>
          <t>+ HẠNG MỤC: ĐIỀU HÒA KHÔNG KHÍ &amp; THÔNG GIÓ - LẮP ĐẶT THIẾT BỊ</t>
        </is>
      </c>
      <c r="C7" s="8" t="n">
        <v>348357977.7862608</v>
      </c>
      <c r="D7" s="8" t="n">
        <v>34835797.77862608</v>
      </c>
      <c r="E7" s="8" t="n">
        <v>383193775.5648869</v>
      </c>
      <c r="F7" s="8" t="inlineStr">
        <is>
          <t>Gxd.1</t>
        </is>
      </c>
    </row>
    <row r="8">
      <c r="A8" s="8" t="inlineStr">
        <is>
          <t>1.2</t>
        </is>
      </c>
      <c r="B8" s="8" t="inlineStr">
        <is>
          <t>+ HẠNG MỤC: ĐIỀU HÒA KHÔNG KHÍ &amp; THÔNG GIÓ - VẬT TƯ XÂY LẮP</t>
        </is>
      </c>
      <c r="C8" s="8" t="n">
        <v>2925132154.906828</v>
      </c>
      <c r="D8" s="8" t="n">
        <v>292513215.4906828</v>
      </c>
      <c r="E8" s="8" t="n">
        <v>3217645370.397511</v>
      </c>
      <c r="F8" s="8" t="inlineStr">
        <is>
          <t>Gxd.2</t>
        </is>
      </c>
    </row>
    <row r="9">
      <c r="A9" s="8" t="n">
        <v>2</v>
      </c>
      <c r="B9" s="8" t="inlineStr">
        <is>
          <t>Chi phí nhà tạm để ở và điều hành thi công</t>
        </is>
      </c>
      <c r="C9" s="8" t="n">
        <v>29461411</v>
      </c>
      <c r="D9" s="8" t="n">
        <v>2946141</v>
      </c>
      <c r="E9" s="8" t="n">
        <v>32407552</v>
      </c>
      <c r="F9" s="8" t="inlineStr">
        <is>
          <t>Glt</t>
        </is>
      </c>
    </row>
    <row r="10">
      <c r="A10" s="8" t="inlineStr">
        <is>
          <t>2.1</t>
        </is>
      </c>
      <c r="B10" s="8" t="inlineStr">
        <is>
          <t>+ HẠNG MỤC: ĐIỀU HÒA KHÔNG KHÍ &amp; THÔNG GIÓ - LẮP ĐẶT THIẾT BỊ</t>
        </is>
      </c>
      <c r="C10" s="8" t="n">
        <v>3135221.800076347</v>
      </c>
      <c r="D10" s="8" t="n">
        <v>313522.1800076352</v>
      </c>
      <c r="E10" s="8" t="n">
        <v>3448743.980083982</v>
      </c>
      <c r="F10" s="8" t="inlineStr">
        <is>
          <t>Glt.1</t>
        </is>
      </c>
    </row>
    <row r="11">
      <c r="A11" s="8" t="inlineStr">
        <is>
          <t>2.2</t>
        </is>
      </c>
      <c r="B11" s="8" t="inlineStr">
        <is>
          <t>+ HẠNG MỤC: ĐIỀU HÒA KHÔNG KHÍ &amp; THÔNG GIÓ - VẬT TƯ XÂY LẮP</t>
        </is>
      </c>
      <c r="C11" s="8" t="n">
        <v>26326189.39416146</v>
      </c>
      <c r="D11" s="8" t="n">
        <v>2632618.939416148</v>
      </c>
      <c r="E11" s="8" t="n">
        <v>28958808.3335776</v>
      </c>
      <c r="F11" s="8" t="inlineStr">
        <is>
          <t>Glt.2</t>
        </is>
      </c>
    </row>
    <row r="12">
      <c r="A12" s="8" t="inlineStr"/>
      <c r="B12" s="8" t="inlineStr">
        <is>
          <t>TỔNG CỘNG</t>
        </is>
      </c>
      <c r="C12" s="8" t="n">
        <v>3302951544</v>
      </c>
      <c r="D12" s="8" t="n">
        <v>330295154</v>
      </c>
      <c r="E12" s="8" t="n">
        <v>3633246698</v>
      </c>
      <c r="F12" s="8" t="inlineStr"/>
    </row>
    <row r="13">
      <c r="A13" s="8" t="inlineStr"/>
      <c r="B13" s="8" t="inlineStr">
        <is>
          <t>LÀM TRÒN</t>
        </is>
      </c>
      <c r="C13" s="8" t="inlineStr"/>
      <c r="D13" s="8" t="inlineStr"/>
      <c r="E13" s="8" t="n">
        <v>3633247000</v>
      </c>
      <c r="F13" s="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21" customWidth="1" min="8" max="8"/>
    <col width="12" customWidth="1" min="9" max="9"/>
    <col width="38" customWidth="1" min="11" max="11"/>
  </cols>
  <sheetData>
    <row r="1">
      <c r="A1" s="8" t="inlineStr">
        <is>
          <t>BẢNG TỔNG HỢP DỰ TOÁN CHI PHÍ XÂY DỰNG</t>
        </is>
      </c>
      <c r="B1" s="8" t="inlineStr"/>
      <c r="C1" s="8" t="inlineStr"/>
      <c r="D1" s="8" t="inlineStr"/>
      <c r="E1" s="8" t="inlineStr"/>
      <c r="F1" s="8" t="inlineStr"/>
      <c r="G1" s="8" t="inlineStr"/>
      <c r="H1" s="8" t="inlineStr"/>
      <c r="I1" s="8" t="inlineStr"/>
    </row>
    <row r="2">
      <c r="A2" s="8" t="inlineStr">
        <is>
          <t>DỰ ÁN: XÂY DỰNG NHÀ Ở CHO LỰC LƯỢNG VŨ TRANG CÔNG AN NHÂN DÂN 
TẠI Ô ĐẤT NO1 THUỘC LÔ ĐẤT D12 KHU ĐÔ THỊ MỚI CẦU GIẤY, PHƯỜNG CẦU GIẤY, THÀNH PHỐ HÀ NỘI</t>
        </is>
      </c>
      <c r="B2" s="8" t="inlineStr"/>
      <c r="C2" s="8" t="inlineStr"/>
      <c r="D2" s="8" t="inlineStr"/>
      <c r="E2" s="8" t="inlineStr"/>
      <c r="F2" s="8" t="inlineStr"/>
      <c r="G2" s="8" t="inlineStr"/>
      <c r="H2" s="8" t="inlineStr"/>
      <c r="I2" s="8" t="inlineStr"/>
    </row>
    <row r="3">
      <c r="A3" s="8" t="inlineStr">
        <is>
          <t>HẠNG MỤC: ĐIỀU HÒA KHÔNG KHÍ - LẮP ĐẶT THIẾT BỊ</t>
        </is>
      </c>
      <c r="B3" s="8" t="inlineStr"/>
      <c r="C3" s="8" t="inlineStr"/>
      <c r="D3" s="8" t="inlineStr"/>
      <c r="E3" s="8" t="inlineStr"/>
      <c r="F3" s="8" t="inlineStr"/>
      <c r="G3" s="8" t="inlineStr"/>
      <c r="H3" s="8" t="inlineStr"/>
      <c r="I3" s="8" t="inlineStr"/>
    </row>
    <row r="4">
      <c r="A4" s="8" t="inlineStr">
        <is>
          <t>STT</t>
        </is>
      </c>
      <c r="B4" s="8" t="inlineStr">
        <is>
          <t>NỘI DUNG CHI PHÍ</t>
        </is>
      </c>
      <c r="C4" s="8" t="inlineStr"/>
      <c r="D4" s="8" t="inlineStr">
        <is>
          <t>CÁCH TÍNH</t>
        </is>
      </c>
      <c r="E4" s="8" t="inlineStr"/>
      <c r="F4" s="8" t="inlineStr"/>
      <c r="G4" s="8" t="inlineStr">
        <is>
          <t>HỆ SỐ</t>
        </is>
      </c>
      <c r="H4" s="8" t="inlineStr">
        <is>
          <t>GIÁ TRỊ
(đ)</t>
        </is>
      </c>
      <c r="I4" s="8" t="inlineStr">
        <is>
          <t>KÝ HIỆU</t>
        </is>
      </c>
    </row>
    <row r="5">
      <c r="A5" s="8" t="inlineStr">
        <is>
          <t>I</t>
        </is>
      </c>
      <c r="B5" s="8" t="inlineStr">
        <is>
          <t>CHI PHÍ TRỰC TIẾP</t>
        </is>
      </c>
      <c r="C5" s="8" t="inlineStr"/>
      <c r="D5" s="8" t="inlineStr">
        <is>
          <t>VL + NC + M</t>
        </is>
      </c>
      <c r="E5" s="8" t="inlineStr"/>
      <c r="F5" s="8" t="inlineStr"/>
      <c r="G5" s="8" t="inlineStr"/>
      <c r="H5" s="8" t="n">
        <v>300725988.472156</v>
      </c>
      <c r="I5" s="8" t="inlineStr">
        <is>
          <t>T</t>
        </is>
      </c>
    </row>
    <row r="6">
      <c r="A6" s="8" t="inlineStr">
        <is>
          <t>1</t>
        </is>
      </c>
      <c r="B6" s="8" t="inlineStr">
        <is>
          <t>Chi phí Vật liệu</t>
        </is>
      </c>
      <c r="C6" s="8" t="inlineStr"/>
      <c r="D6" s="8" t="inlineStr">
        <is>
          <t>A1</t>
        </is>
      </c>
      <c r="E6" s="8" t="inlineStr"/>
      <c r="F6" s="8" t="inlineStr"/>
      <c r="G6" s="8" t="inlineStr"/>
      <c r="H6" s="8" t="n">
        <v>99444119.68764</v>
      </c>
      <c r="I6" s="8" t="inlineStr">
        <is>
          <t>VL</t>
        </is>
      </c>
    </row>
    <row r="7">
      <c r="A7" s="8" t="inlineStr"/>
      <c r="B7" s="8" t="inlineStr">
        <is>
          <t xml:space="preserve"> + Theo giá xây dựng tổng hợp</t>
        </is>
      </c>
      <c r="C7" s="8" t="inlineStr"/>
      <c r="D7" s="8" t="inlineStr">
        <is>
          <t>Bảng giá tổng hợp</t>
        </is>
      </c>
      <c r="E7" s="8" t="inlineStr"/>
      <c r="F7" s="8" t="inlineStr"/>
      <c r="G7" s="8" t="inlineStr"/>
      <c r="H7" s="8" t="n">
        <v>99444119.68764</v>
      </c>
      <c r="I7" s="8" t="inlineStr">
        <is>
          <t>A1</t>
        </is>
      </c>
    </row>
    <row r="8">
      <c r="A8" s="8" t="inlineStr">
        <is>
          <t>2</t>
        </is>
      </c>
      <c r="B8" s="8" t="inlineStr">
        <is>
          <t>Chi phí Nhân công</t>
        </is>
      </c>
      <c r="C8" s="8" t="inlineStr"/>
      <c r="D8" s="8" t="inlineStr">
        <is>
          <t>B1</t>
        </is>
      </c>
      <c r="E8" s="8" t="inlineStr"/>
      <c r="F8" s="8" t="inlineStr"/>
      <c r="G8" s="8" t="inlineStr"/>
      <c r="H8" s="8" t="n">
        <v>194815034.8</v>
      </c>
      <c r="I8" s="8" t="inlineStr">
        <is>
          <t>NC</t>
        </is>
      </c>
    </row>
    <row r="9">
      <c r="A9" s="8" t="inlineStr"/>
      <c r="B9" s="8" t="inlineStr">
        <is>
          <t xml:space="preserve"> + Theo giá xây dựng tổng hợp</t>
        </is>
      </c>
      <c r="C9" s="8" t="inlineStr"/>
      <c r="D9" s="8" t="inlineStr">
        <is>
          <t>Bảng giá tổng hợp</t>
        </is>
      </c>
      <c r="E9" s="8" t="inlineStr"/>
      <c r="F9" s="8" t="inlineStr"/>
      <c r="G9" s="8" t="inlineStr"/>
      <c r="H9" s="8" t="n">
        <v>194815034.8</v>
      </c>
      <c r="I9" s="8" t="inlineStr">
        <is>
          <t>B1</t>
        </is>
      </c>
    </row>
    <row r="10">
      <c r="A10" s="8" t="inlineStr">
        <is>
          <t>3</t>
        </is>
      </c>
      <c r="B10" s="8" t="inlineStr">
        <is>
          <t>Chi phí Máy thi công</t>
        </is>
      </c>
      <c r="C10" s="8" t="inlineStr"/>
      <c r="D10" s="8" t="inlineStr">
        <is>
          <t>C1</t>
        </is>
      </c>
      <c r="E10" s="8" t="inlineStr"/>
      <c r="F10" s="8" t="inlineStr"/>
      <c r="G10" s="8" t="inlineStr"/>
      <c r="H10" s="8" t="n">
        <v>6466833.984516001</v>
      </c>
      <c r="I10" s="8" t="inlineStr">
        <is>
          <t>M</t>
        </is>
      </c>
    </row>
    <row r="11">
      <c r="A11" s="8" t="inlineStr"/>
      <c r="B11" s="8" t="inlineStr">
        <is>
          <t xml:space="preserve"> + Theo giá xây dựng tổng hợp</t>
        </is>
      </c>
      <c r="C11" s="8" t="inlineStr"/>
      <c r="D11" s="8" t="inlineStr">
        <is>
          <t>Bảng giá tổng hợp</t>
        </is>
      </c>
      <c r="E11" s="8" t="inlineStr"/>
      <c r="F11" s="8" t="inlineStr"/>
      <c r="G11" s="8" t="inlineStr"/>
      <c r="H11" s="8" t="n">
        <v>6466833.984516001</v>
      </c>
      <c r="I11" s="8" t="inlineStr">
        <is>
          <t>C1</t>
        </is>
      </c>
    </row>
    <row r="12">
      <c r="A12" s="8" t="inlineStr"/>
      <c r="B12" s="8" t="inlineStr">
        <is>
          <t>Cộng chi phí trực tiếp</t>
        </is>
      </c>
      <c r="C12" s="8" t="inlineStr"/>
      <c r="D12" s="8" t="inlineStr"/>
      <c r="E12" s="8" t="inlineStr"/>
      <c r="F12" s="8" t="inlineStr"/>
      <c r="G12" s="8" t="inlineStr"/>
      <c r="H12" s="8" t="inlineStr"/>
      <c r="I12" s="8" t="inlineStr"/>
    </row>
    <row r="13">
      <c r="A13" s="8" t="inlineStr">
        <is>
          <t>II</t>
        </is>
      </c>
      <c r="B13" s="8" t="inlineStr">
        <is>
          <t>CHI PHÍ GIÁN TIẾP</t>
        </is>
      </c>
      <c r="C13" s="8" t="inlineStr"/>
      <c r="D13" s="8" t="inlineStr">
        <is>
          <t>(C + TT)</t>
        </is>
      </c>
      <c r="E13" s="8" t="inlineStr"/>
      <c r="F13" s="8" t="inlineStr"/>
      <c r="G13" s="8" t="inlineStr"/>
      <c r="H13" s="8" t="n">
        <v>29471146.87027129</v>
      </c>
      <c r="I13" s="8" t="inlineStr">
        <is>
          <t>GT</t>
        </is>
      </c>
    </row>
    <row r="14">
      <c r="A14" s="8" t="inlineStr">
        <is>
          <t>1</t>
        </is>
      </c>
      <c r="B14" s="8" t="inlineStr">
        <is>
          <t>Chi phí chung</t>
        </is>
      </c>
      <c r="C14" s="8" t="inlineStr"/>
      <c r="D14" s="8" t="inlineStr">
        <is>
          <t>T x 7,3%</t>
        </is>
      </c>
      <c r="E14" s="8" t="inlineStr"/>
      <c r="F14" s="8" t="inlineStr"/>
      <c r="G14" s="8" t="inlineStr">
        <is>
          <t>7,3%</t>
        </is>
      </c>
      <c r="H14" s="8" t="n">
        <v>21952997.15846739</v>
      </c>
      <c r="I14" s="8" t="inlineStr">
        <is>
          <t>C</t>
        </is>
      </c>
    </row>
    <row r="15">
      <c r="A15" s="8" t="inlineStr">
        <is>
          <t>2</t>
        </is>
      </c>
      <c r="B15" s="8" t="inlineStr">
        <is>
          <t>Chi phí một số công việc không xác định được khối lượng từ thiết kế</t>
        </is>
      </c>
      <c r="C15" s="8" t="inlineStr"/>
      <c r="D15" s="8" t="inlineStr">
        <is>
          <t>T x 2,5%</t>
        </is>
      </c>
      <c r="E15" s="8" t="inlineStr"/>
      <c r="F15" s="8" t="inlineStr"/>
      <c r="G15" s="8" t="inlineStr">
        <is>
          <t>2,5%</t>
        </is>
      </c>
      <c r="H15" s="8" t="n">
        <v>7518149.711803902</v>
      </c>
      <c r="I15" s="9" t="inlineStr">
        <is>
          <t>TT</t>
        </is>
      </c>
    </row>
    <row r="16">
      <c r="A16" s="8" t="inlineStr">
        <is>
          <t>III</t>
        </is>
      </c>
      <c r="B16" s="8" t="inlineStr">
        <is>
          <t>THU NHẬP CHỊU THUẾ TÍNH TRƯỚC</t>
        </is>
      </c>
      <c r="C16" s="8" t="inlineStr"/>
      <c r="D16" s="8" t="inlineStr">
        <is>
          <t>(T+GT) x 5,5%</t>
        </is>
      </c>
      <c r="E16" s="8" t="inlineStr"/>
      <c r="F16" s="8" t="inlineStr"/>
      <c r="G16" s="8" t="inlineStr">
        <is>
          <t>5,5%</t>
        </is>
      </c>
      <c r="H16" s="8" t="n">
        <v>18160842.4438335</v>
      </c>
      <c r="I16" s="8" t="inlineStr">
        <is>
          <t>TL</t>
        </is>
      </c>
    </row>
    <row r="17">
      <c r="A17" s="8" t="inlineStr"/>
      <c r="B17" s="8" t="inlineStr">
        <is>
          <t>Chi phí xây dựng trước thuế</t>
        </is>
      </c>
      <c r="C17" s="8" t="inlineStr"/>
      <c r="D17" s="8" t="inlineStr">
        <is>
          <t>(T+GT+TL)</t>
        </is>
      </c>
      <c r="E17" s="8" t="inlineStr"/>
      <c r="F17" s="8" t="inlineStr"/>
      <c r="G17" s="8" t="inlineStr"/>
      <c r="H17" s="8" t="n">
        <v>348357977.7862608</v>
      </c>
      <c r="I17" s="8" t="inlineStr">
        <is>
          <t>Gxdtt</t>
        </is>
      </c>
    </row>
    <row r="18">
      <c r="A18" s="8" t="inlineStr">
        <is>
          <t>IV</t>
        </is>
      </c>
      <c r="B18" s="8" t="inlineStr">
        <is>
          <t>THUẾ GIÁ TRỊ GIA TĂNG</t>
        </is>
      </c>
      <c r="C18" s="8" t="inlineStr"/>
      <c r="D18" s="8" t="inlineStr">
        <is>
          <t>Gxdtt x 10%</t>
        </is>
      </c>
      <c r="E18" s="8" t="n">
        <v>0.1</v>
      </c>
      <c r="F18" s="8" t="inlineStr"/>
      <c r="G18" s="8" t="n">
        <v>0.1</v>
      </c>
      <c r="H18" s="8" t="n">
        <v>34835797.77862608</v>
      </c>
      <c r="I18" s="8" t="inlineStr">
        <is>
          <t>GTGT</t>
        </is>
      </c>
    </row>
    <row r="19">
      <c r="A19" s="8" t="inlineStr"/>
      <c r="B19" s="8" t="inlineStr">
        <is>
          <t>Chi phí xây dựng sau thuế</t>
        </is>
      </c>
      <c r="C19" s="8" t="inlineStr"/>
      <c r="D19" s="8" t="inlineStr">
        <is>
          <t>Gxdtt + GTGT</t>
        </is>
      </c>
      <c r="E19" s="8" t="inlineStr"/>
      <c r="F19" s="8" t="inlineStr"/>
      <c r="G19" s="8" t="inlineStr"/>
      <c r="H19" s="8" t="n">
        <v>383193775.5648869</v>
      </c>
      <c r="I19" s="8" t="inlineStr">
        <is>
          <t>Gxdst</t>
        </is>
      </c>
    </row>
    <row r="20">
      <c r="A20" s="8" t="inlineStr">
        <is>
          <t>V</t>
        </is>
      </c>
      <c r="B20" s="8" t="inlineStr">
        <is>
          <t>Chi phí nhà tạm để ở và điều hành thi công</t>
        </is>
      </c>
      <c r="C20" s="8" t="inlineStr"/>
      <c r="D20" s="8" t="inlineStr">
        <is>
          <t>Gxdtt x 0,9% x (1+10%)</t>
        </is>
      </c>
      <c r="E20" s="8" t="n">
        <v>0.008999999999999999</v>
      </c>
      <c r="F20" s="8" t="inlineStr"/>
      <c r="G20" s="8" t="n">
        <v>0.008999999999999999</v>
      </c>
      <c r="H20" s="8" t="n">
        <v>3448743.980083982</v>
      </c>
      <c r="I20" s="8" t="inlineStr">
        <is>
          <t>LT</t>
        </is>
      </c>
    </row>
    <row r="21">
      <c r="A21" s="8" t="inlineStr"/>
      <c r="B21" s="8" t="inlineStr">
        <is>
          <t>TỔNG CỘNG</t>
        </is>
      </c>
      <c r="C21" s="8" t="inlineStr"/>
      <c r="D21" s="8" t="inlineStr"/>
      <c r="E21" s="8" t="inlineStr"/>
      <c r="F21" s="8" t="inlineStr"/>
      <c r="G21" s="8" t="inlineStr"/>
      <c r="H21" s="8" t="n">
        <v>386642520</v>
      </c>
      <c r="I21" s="8" t="inlineStr">
        <is>
          <t>Gxd</t>
        </is>
      </c>
    </row>
    <row r="22">
      <c r="A22" s="8" t="inlineStr"/>
      <c r="B22" s="8" t="inlineStr">
        <is>
          <t>LÀM TRÒN</t>
        </is>
      </c>
      <c r="C22" s="8" t="inlineStr"/>
      <c r="D22" s="8" t="inlineStr"/>
      <c r="E22" s="8" t="inlineStr"/>
      <c r="F22" s="8" t="inlineStr"/>
      <c r="G22" s="8" t="inlineStr"/>
      <c r="H22" s="8" t="n">
        <v>386643000</v>
      </c>
      <c r="I22" s="8" t="inlineStr"/>
    </row>
    <row r="23">
      <c r="A23" s="8" t="inlineStr"/>
      <c r="B23" s="8" t="inlineStr"/>
      <c r="C23" s="8" t="inlineStr"/>
      <c r="D23" s="8" t="inlineStr"/>
      <c r="E23" s="8" t="inlineStr"/>
      <c r="F23" s="8" t="inlineStr"/>
      <c r="G23" s="8" t="inlineStr"/>
      <c r="H23" s="8" t="inlineStr"/>
      <c r="I23" s="8" t="inlineStr"/>
    </row>
    <row r="24">
      <c r="A24" s="8" t="inlineStr">
        <is>
          <t>BẢNG TỔNG HỢP DỰ TOÁN CHI PHÍ XÂY DỰNG</t>
        </is>
      </c>
      <c r="B24" s="8" t="inlineStr"/>
      <c r="C24" s="8" t="inlineStr"/>
      <c r="D24" s="8" t="inlineStr"/>
      <c r="E24" s="8" t="inlineStr"/>
      <c r="F24" s="8" t="inlineStr"/>
      <c r="G24" s="8" t="inlineStr"/>
      <c r="H24" s="8" t="inlineStr"/>
      <c r="I24" s="8" t="inlineStr"/>
    </row>
    <row r="25">
      <c r="A25" s="8" t="inlineStr">
        <is>
          <t>DỰ ÁN: XÂY DỰNG NHÀ Ở CHO LỰC LƯỢNG VŨ TRANG CÔNG AN NHÂN DÂN 
TẠI Ô ĐẤT NO1 THUỘC LÔ ĐẤT D12 KHU ĐÔ THỊ MỚI CẦU GIẤY, PHƯỜNG CẦU GIẤY, THÀNH PHỐ HÀ NỘI</t>
        </is>
      </c>
      <c r="B25" s="8" t="inlineStr"/>
      <c r="C25" s="8" t="inlineStr"/>
      <c r="D25" s="8" t="inlineStr"/>
      <c r="E25" s="8" t="inlineStr"/>
      <c r="F25" s="8" t="inlineStr"/>
      <c r="G25" s="8" t="inlineStr"/>
      <c r="H25" s="8" t="inlineStr"/>
      <c r="I25" s="8" t="inlineStr"/>
    </row>
    <row r="26">
      <c r="A26" s="8" t="inlineStr">
        <is>
          <t>HẠNG MỤC: ĐIỀU HÒA KHÔNG KHÍ - VẬT TƯ XÂY LẮP</t>
        </is>
      </c>
      <c r="B26" s="8" t="inlineStr"/>
      <c r="C26" s="8" t="inlineStr"/>
      <c r="D26" s="8" t="inlineStr"/>
      <c r="E26" s="8" t="inlineStr"/>
      <c r="F26" s="8" t="inlineStr"/>
      <c r="G26" s="8" t="inlineStr"/>
      <c r="H26" s="8" t="inlineStr"/>
      <c r="I26" s="8" t="inlineStr"/>
    </row>
    <row r="27">
      <c r="A27" s="8" t="inlineStr">
        <is>
          <t>STT</t>
        </is>
      </c>
      <c r="B27" s="8" t="inlineStr">
        <is>
          <t>NỘI DUNG CHI PHÍ</t>
        </is>
      </c>
      <c r="C27" s="8" t="n">
        <v>0</v>
      </c>
      <c r="D27" s="8" t="inlineStr">
        <is>
          <t>CÁCH TÍNH</t>
        </is>
      </c>
      <c r="E27" s="8" t="n">
        <v>0</v>
      </c>
      <c r="F27" s="8" t="n">
        <v>0</v>
      </c>
      <c r="G27" s="8" t="inlineStr">
        <is>
          <t>HỆ SỐ</t>
        </is>
      </c>
      <c r="H27" s="8" t="inlineStr">
        <is>
          <t>GIÁ TRỊ
(đ)</t>
        </is>
      </c>
      <c r="I27" s="8" t="inlineStr">
        <is>
          <t>KÝ HIỆU</t>
        </is>
      </c>
    </row>
    <row r="28">
      <c r="A28" s="8" t="inlineStr">
        <is>
          <t>I</t>
        </is>
      </c>
      <c r="B28" s="8" t="inlineStr">
        <is>
          <t>CHI PHÍ TRỰC TIẾP</t>
        </is>
      </c>
      <c r="C28" s="8" t="inlineStr"/>
      <c r="D28" s="8" t="inlineStr">
        <is>
          <t>VL + NC + M</t>
        </is>
      </c>
      <c r="E28" s="8" t="inlineStr"/>
      <c r="F28" s="8" t="inlineStr"/>
      <c r="G28" s="8" t="inlineStr"/>
      <c r="H28" s="8" t="n">
        <v>2525170413.165539</v>
      </c>
      <c r="I28" s="8" t="inlineStr">
        <is>
          <t>T</t>
        </is>
      </c>
    </row>
    <row r="29">
      <c r="A29" s="8" t="inlineStr">
        <is>
          <t>1</t>
        </is>
      </c>
      <c r="B29" s="8" t="inlineStr">
        <is>
          <t>Chi phí Vật liệu</t>
        </is>
      </c>
      <c r="C29" s="8" t="inlineStr"/>
      <c r="D29" s="8" t="inlineStr">
        <is>
          <t>A1</t>
        </is>
      </c>
      <c r="E29" s="8" t="inlineStr"/>
      <c r="F29" s="8" t="inlineStr"/>
      <c r="G29" s="8" t="inlineStr"/>
      <c r="H29" s="8" t="n">
        <v>1624154724.165539</v>
      </c>
      <c r="I29" s="8" t="inlineStr">
        <is>
          <t>VL</t>
        </is>
      </c>
    </row>
    <row r="30">
      <c r="A30" s="8" t="inlineStr"/>
      <c r="B30" s="8" t="inlineStr">
        <is>
          <t xml:space="preserve"> + Theo giá xây dựng tổng hợp</t>
        </is>
      </c>
      <c r="C30" s="8" t="inlineStr"/>
      <c r="D30" s="8" t="inlineStr">
        <is>
          <t>Bảng giá tổng hợp</t>
        </is>
      </c>
      <c r="E30" s="8" t="inlineStr"/>
      <c r="F30" s="8" t="inlineStr"/>
      <c r="G30" s="8" t="inlineStr"/>
      <c r="H30" s="8" t="n">
        <v>1624154724.165539</v>
      </c>
      <c r="I30" s="8" t="inlineStr">
        <is>
          <t>A1</t>
        </is>
      </c>
    </row>
    <row r="31">
      <c r="A31" s="8" t="inlineStr">
        <is>
          <t>2</t>
        </is>
      </c>
      <c r="B31" s="8" t="inlineStr">
        <is>
          <t>Chi phí Nhân công</t>
        </is>
      </c>
      <c r="C31" s="8" t="inlineStr"/>
      <c r="D31" s="8" t="inlineStr">
        <is>
          <t>B1</t>
        </is>
      </c>
      <c r="E31" s="8" t="inlineStr"/>
      <c r="F31" s="8" t="inlineStr"/>
      <c r="G31" s="8" t="inlineStr"/>
      <c r="H31" s="8" t="n">
        <v>901015689</v>
      </c>
      <c r="I31" s="8" t="inlineStr">
        <is>
          <t>NC</t>
        </is>
      </c>
    </row>
    <row r="32">
      <c r="A32" s="8" t="inlineStr"/>
      <c r="B32" s="8" t="inlineStr">
        <is>
          <t xml:space="preserve"> + Theo giá xây dựng tổng hợp</t>
        </is>
      </c>
      <c r="C32" s="8" t="inlineStr"/>
      <c r="D32" s="8" t="inlineStr">
        <is>
          <t>Bảng giá tổng hợp</t>
        </is>
      </c>
      <c r="E32" s="8" t="inlineStr"/>
      <c r="F32" s="8" t="inlineStr"/>
      <c r="G32" s="8" t="inlineStr"/>
      <c r="H32" s="8" t="n">
        <v>901015689</v>
      </c>
      <c r="I32" s="8" t="inlineStr">
        <is>
          <t>B1</t>
        </is>
      </c>
    </row>
    <row r="33">
      <c r="A33" s="8" t="inlineStr">
        <is>
          <t>3</t>
        </is>
      </c>
      <c r="B33" s="8" t="inlineStr">
        <is>
          <t>Chi phí Máy thi công</t>
        </is>
      </c>
      <c r="C33" s="8" t="inlineStr"/>
      <c r="D33" s="8" t="inlineStr">
        <is>
          <t>C1</t>
        </is>
      </c>
      <c r="E33" s="8" t="inlineStr"/>
      <c r="F33" s="8" t="inlineStr"/>
      <c r="G33" s="8" t="inlineStr"/>
      <c r="H33" s="8" t="n">
        <v>0</v>
      </c>
      <c r="I33" s="8" t="inlineStr">
        <is>
          <t>M</t>
        </is>
      </c>
    </row>
    <row r="34">
      <c r="A34" s="8" t="inlineStr"/>
      <c r="B34" s="8" t="inlineStr">
        <is>
          <t xml:space="preserve"> + Theo giá xây dựng tổng hợp</t>
        </is>
      </c>
      <c r="C34" s="8" t="inlineStr"/>
      <c r="D34" s="8" t="inlineStr">
        <is>
          <t>Bảng giá tổng hợp</t>
        </is>
      </c>
      <c r="E34" s="8" t="inlineStr"/>
      <c r="F34" s="8" t="inlineStr"/>
      <c r="G34" s="8" t="inlineStr"/>
      <c r="H34" s="8" t="n">
        <v>0</v>
      </c>
      <c r="I34" s="8" t="inlineStr">
        <is>
          <t>C1</t>
        </is>
      </c>
    </row>
    <row r="35">
      <c r="A35" s="8" t="inlineStr"/>
      <c r="B35" s="8" t="inlineStr">
        <is>
          <t>Cộng chi phí trực tiếp</t>
        </is>
      </c>
      <c r="C35" s="8" t="inlineStr"/>
      <c r="D35" s="8" t="inlineStr"/>
      <c r="E35" s="8" t="inlineStr"/>
      <c r="F35" s="8" t="inlineStr"/>
      <c r="G35" s="8" t="inlineStr"/>
      <c r="H35" s="8" t="inlineStr"/>
      <c r="I35" s="8" t="inlineStr"/>
    </row>
    <row r="36">
      <c r="A36" s="8" t="inlineStr">
        <is>
          <t>II</t>
        </is>
      </c>
      <c r="B36" s="8" t="inlineStr">
        <is>
          <t>CHI PHÍ GIÁN TIẾP</t>
        </is>
      </c>
      <c r="C36" s="8" t="inlineStr"/>
      <c r="D36" s="8" t="inlineStr">
        <is>
          <t>(C + TT)</t>
        </is>
      </c>
      <c r="E36" s="8" t="inlineStr"/>
      <c r="F36" s="8" t="inlineStr"/>
      <c r="G36" s="8" t="inlineStr"/>
      <c r="H36" s="8" t="n">
        <v>247466700.4902228</v>
      </c>
      <c r="I36" s="8" t="inlineStr">
        <is>
          <t>GT</t>
        </is>
      </c>
    </row>
    <row r="37">
      <c r="A37" s="8" t="inlineStr">
        <is>
          <t>1</t>
        </is>
      </c>
      <c r="B37" s="8" t="inlineStr">
        <is>
          <t>Chi phí chung</t>
        </is>
      </c>
      <c r="C37" s="8" t="inlineStr"/>
      <c r="D37" s="8" t="inlineStr">
        <is>
          <t>T x 7,3%</t>
        </is>
      </c>
      <c r="E37" s="8" t="inlineStr"/>
      <c r="F37" s="8" t="inlineStr"/>
      <c r="G37" s="8" t="inlineStr">
        <is>
          <t>7,3%</t>
        </is>
      </c>
      <c r="H37" s="8" t="n">
        <v>184337440.1610843</v>
      </c>
      <c r="I37" s="8" t="inlineStr">
        <is>
          <t>C</t>
        </is>
      </c>
    </row>
    <row r="38">
      <c r="A38" s="8" t="inlineStr">
        <is>
          <t>2</t>
        </is>
      </c>
      <c r="B38" s="8" t="inlineStr">
        <is>
          <t>Chi phí một số công việc không xác định được khối lượng từ thiết kế</t>
        </is>
      </c>
      <c r="C38" s="8" t="inlineStr"/>
      <c r="D38" s="8" t="inlineStr">
        <is>
          <t>T x 2,5%</t>
        </is>
      </c>
      <c r="E38" s="8" t="inlineStr"/>
      <c r="F38" s="8" t="inlineStr"/>
      <c r="G38" s="8" t="inlineStr">
        <is>
          <t>2,5%</t>
        </is>
      </c>
      <c r="H38" s="8" t="n">
        <v>63129260.32913847</v>
      </c>
      <c r="I38" s="9" t="inlineStr">
        <is>
          <t>TT</t>
        </is>
      </c>
    </row>
    <row r="39">
      <c r="A39" s="8" t="inlineStr">
        <is>
          <t>III</t>
        </is>
      </c>
      <c r="B39" s="8" t="inlineStr">
        <is>
          <t>THU NHẬP CHỊU THUẾ TÍNH TRƯỚC</t>
        </is>
      </c>
      <c r="C39" s="8" t="inlineStr"/>
      <c r="D39" s="8" t="inlineStr">
        <is>
          <t>(T+GT) x 5,5%</t>
        </is>
      </c>
      <c r="E39" s="8" t="inlineStr"/>
      <c r="F39" s="8" t="inlineStr"/>
      <c r="G39" s="8" t="inlineStr">
        <is>
          <t>5,5%</t>
        </is>
      </c>
      <c r="H39" s="8" t="n">
        <v>152495041.2510669</v>
      </c>
      <c r="I39" s="8" t="inlineStr">
        <is>
          <t>TL</t>
        </is>
      </c>
    </row>
    <row r="40">
      <c r="A40" s="8" t="inlineStr"/>
      <c r="B40" s="8" t="inlineStr">
        <is>
          <t>Chi phí xây dựng trước thuế</t>
        </is>
      </c>
      <c r="C40" s="8" t="inlineStr"/>
      <c r="D40" s="8" t="inlineStr">
        <is>
          <t>(T+GT+TL)</t>
        </is>
      </c>
      <c r="E40" s="8" t="inlineStr"/>
      <c r="F40" s="8" t="inlineStr"/>
      <c r="G40" s="8" t="inlineStr"/>
      <c r="H40" s="8" t="n">
        <v>2925132154.906828</v>
      </c>
      <c r="I40" s="8" t="inlineStr">
        <is>
          <t>Gxdtt</t>
        </is>
      </c>
    </row>
    <row r="41">
      <c r="A41" s="8" t="inlineStr">
        <is>
          <t>IV</t>
        </is>
      </c>
      <c r="B41" s="8" t="inlineStr">
        <is>
          <t>THUẾ GIÁ TRỊ GIA TĂNG</t>
        </is>
      </c>
      <c r="C41" s="8" t="inlineStr"/>
      <c r="D41" s="8" t="inlineStr">
        <is>
          <t>Gxdtt x 10%</t>
        </is>
      </c>
      <c r="E41" s="8" t="n">
        <v>0.1</v>
      </c>
      <c r="F41" s="8" t="inlineStr"/>
      <c r="G41" s="8" t="n">
        <v>0.1</v>
      </c>
      <c r="H41" s="8" t="n">
        <v>292513215.4906828</v>
      </c>
      <c r="I41" s="8" t="inlineStr">
        <is>
          <t>GTGT</t>
        </is>
      </c>
    </row>
    <row r="42">
      <c r="A42" s="8" t="inlineStr"/>
      <c r="B42" s="8" t="inlineStr">
        <is>
          <t>Chi phí xây dựng sau thuế</t>
        </is>
      </c>
      <c r="C42" s="8" t="inlineStr"/>
      <c r="D42" s="8" t="inlineStr">
        <is>
          <t>Gxdtt + GTGT</t>
        </is>
      </c>
      <c r="E42" s="8" t="inlineStr"/>
      <c r="F42" s="8" t="inlineStr"/>
      <c r="G42" s="8" t="inlineStr"/>
      <c r="H42" s="8" t="n">
        <v>3217645370.397511</v>
      </c>
      <c r="I42" s="8" t="inlineStr">
        <is>
          <t>Gxdst</t>
        </is>
      </c>
    </row>
    <row r="43">
      <c r="A43" s="8" t="inlineStr">
        <is>
          <t>V</t>
        </is>
      </c>
      <c r="B43" s="8" t="inlineStr">
        <is>
          <t>Chi phí nhà tạm để ở và điều hành thi công</t>
        </is>
      </c>
      <c r="C43" s="8" t="inlineStr"/>
      <c r="D43" s="8" t="inlineStr">
        <is>
          <t>Gxdtt x 0,9% x (1+10%)</t>
        </is>
      </c>
      <c r="E43" s="8" t="n">
        <v>0.008999999999999999</v>
      </c>
      <c r="F43" s="8" t="inlineStr"/>
      <c r="G43" s="8" t="n">
        <v>0.008999999999999999</v>
      </c>
      <c r="H43" s="8" t="n">
        <v>28958808.3335776</v>
      </c>
      <c r="I43" s="8" t="inlineStr">
        <is>
          <t>LT</t>
        </is>
      </c>
    </row>
    <row r="44">
      <c r="A44" s="8" t="inlineStr"/>
      <c r="B44" s="8" t="inlineStr">
        <is>
          <t>TỔNG CỘNG</t>
        </is>
      </c>
      <c r="C44" s="8" t="inlineStr"/>
      <c r="D44" s="8" t="inlineStr"/>
      <c r="E44" s="8" t="inlineStr"/>
      <c r="F44" s="8" t="inlineStr"/>
      <c r="G44" s="8" t="inlineStr"/>
      <c r="H44" s="8" t="n">
        <v>3246604179</v>
      </c>
      <c r="I44" s="8" t="inlineStr">
        <is>
          <t>Gxd</t>
        </is>
      </c>
    </row>
    <row r="45">
      <c r="A45" s="8" t="inlineStr"/>
      <c r="B45" s="8" t="inlineStr">
        <is>
          <t>LÀM TRÒN</t>
        </is>
      </c>
      <c r="C45" s="8" t="inlineStr"/>
      <c r="D45" s="8" t="inlineStr"/>
      <c r="E45" s="8" t="inlineStr"/>
      <c r="F45" s="8" t="inlineStr"/>
      <c r="G45" s="8" t="inlineStr"/>
      <c r="H45" s="8" t="n">
        <v>3246604000</v>
      </c>
      <c r="I45" s="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64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44" customWidth="1" min="3" max="3"/>
    <col width="38" customWidth="1" min="4" max="4"/>
    <col width="12" customWidth="1" min="5" max="5"/>
    <col width="13" customWidth="1" min="6" max="6"/>
    <col width="21" customWidth="1" min="7" max="7"/>
    <col width="21" customWidth="1" min="8" max="8"/>
    <col width="20" customWidth="1" min="9" max="9"/>
    <col width="21" customWidth="1" min="10" max="10"/>
    <col width="21" customWidth="1" min="11" max="11"/>
    <col width="20" customWidth="1" min="12" max="12"/>
    <col width="21" customWidth="1" min="13" max="13"/>
    <col width="12" customWidth="1" min="14" max="14"/>
  </cols>
  <sheetData>
    <row r="1">
      <c r="A1" s="8" t="inlineStr">
        <is>
          <t>GIÁ XÂY DỰNG TỔNG HỢP HẠNG MỤC CÔNG TRÌNH</t>
        </is>
      </c>
      <c r="B1" s="8" t="inlineStr"/>
      <c r="C1" s="8" t="inlineStr"/>
      <c r="E1" s="8" t="inlineStr"/>
      <c r="F1" s="8" t="inlineStr"/>
      <c r="G1" s="8" t="inlineStr"/>
      <c r="H1" s="8" t="inlineStr"/>
      <c r="I1" s="8" t="inlineStr"/>
      <c r="J1" s="8" t="inlineStr"/>
      <c r="K1" s="8" t="inlineStr"/>
      <c r="L1" s="8" t="inlineStr"/>
      <c r="M1" s="8" t="inlineStr"/>
      <c r="N1" s="8" t="inlineStr"/>
    </row>
    <row r="2">
      <c r="A2" s="8" t="inlineStr">
        <is>
          <t>DỰ ÁN: XÂY DỰNG NHÀ Ở CHO LỰC LƯỢNG VŨ TRANG CÔNG AN NHÂN DÂN 
TẠI Ô ĐẤT NO1 THUỘC LÔ ĐẤT D12 KHU ĐÔ THỊ MỚI CẦU GIẤY, PHƯỜNG CẦU GIẤY, THÀNH PHỐ HÀ NỘI</t>
        </is>
      </c>
      <c r="B2" s="8" t="inlineStr"/>
      <c r="C2" s="8" t="inlineStr"/>
      <c r="E2" s="8" t="inlineStr"/>
      <c r="F2" s="8" t="inlineStr"/>
      <c r="G2" s="8" t="inlineStr"/>
      <c r="H2" s="8" t="inlineStr"/>
      <c r="I2" s="8" t="inlineStr"/>
      <c r="J2" s="8" t="inlineStr"/>
      <c r="K2" s="8" t="inlineStr"/>
      <c r="L2" s="8" t="inlineStr"/>
      <c r="M2" s="8" t="inlineStr"/>
      <c r="N2" s="8" t="inlineStr"/>
    </row>
    <row r="3">
      <c r="A3" s="8" t="inlineStr">
        <is>
          <t>HẠNG MỤC: ĐIỀU HÒA KHÔNG KHÍ - LẮP ĐẶT THIẾT BỊ</t>
        </is>
      </c>
      <c r="B3" s="8" t="inlineStr"/>
      <c r="C3" s="8" t="inlineStr"/>
      <c r="E3" s="8" t="inlineStr"/>
      <c r="F3" s="8" t="inlineStr"/>
      <c r="G3" s="8" t="inlineStr"/>
      <c r="H3" s="8" t="inlineStr"/>
      <c r="I3" s="8" t="inlineStr"/>
      <c r="J3" s="8" t="inlineStr"/>
      <c r="K3" s="8" t="inlineStr"/>
      <c r="L3" s="8" t="inlineStr"/>
      <c r="M3" s="8" t="inlineStr"/>
      <c r="N3" s="8" t="inlineStr"/>
    </row>
    <row r="4">
      <c r="A4" s="8" t="inlineStr">
        <is>
          <t>STT</t>
        </is>
      </c>
      <c r="B4" s="8" t="inlineStr">
        <is>
          <t>Mã số</t>
        </is>
      </c>
      <c r="C4" s="8" t="inlineStr">
        <is>
          <t>Tên công tác</t>
        </is>
      </c>
      <c r="D4" s="10" t="inlineStr">
        <is>
          <t>LINK TRA CỨU TT 38/2026/TT-BXD</t>
        </is>
      </c>
      <c r="E4" s="8" t="inlineStr">
        <is>
          <t>Đơn vị</t>
        </is>
      </c>
      <c r="F4" s="8" t="inlineStr">
        <is>
          <t>Khối lượng</t>
        </is>
      </c>
      <c r="G4" s="8" t="inlineStr">
        <is>
          <t>Đơn giá (đ)</t>
        </is>
      </c>
      <c r="H4" s="8" t="inlineStr"/>
      <c r="I4" s="8" t="inlineStr"/>
      <c r="J4" s="8" t="inlineStr">
        <is>
          <t>Thành tiền (đ)</t>
        </is>
      </c>
      <c r="K4" s="8" t="inlineStr"/>
      <c r="L4" s="8" t="inlineStr"/>
      <c r="M4" s="8" t="inlineStr">
        <is>
          <t>Tổng cộng
(đ)</t>
        </is>
      </c>
      <c r="N4" s="8" t="inlineStr"/>
    </row>
    <row r="5">
      <c r="A5" s="8" t="inlineStr"/>
      <c r="B5" s="8" t="inlineStr"/>
      <c r="C5" s="8" t="inlineStr"/>
      <c r="E5" s="8" t="inlineStr"/>
      <c r="F5" s="8" t="inlineStr"/>
      <c r="G5" s="8" t="inlineStr">
        <is>
          <t>Vật liệu</t>
        </is>
      </c>
      <c r="H5" s="8" t="inlineStr">
        <is>
          <t>Nhân công</t>
        </is>
      </c>
      <c r="I5" s="8" t="inlineStr">
        <is>
          <t>Máy T.C</t>
        </is>
      </c>
      <c r="J5" s="8" t="inlineStr">
        <is>
          <t>Vật liệu</t>
        </is>
      </c>
      <c r="K5" s="8" t="inlineStr">
        <is>
          <t>Nhân công</t>
        </is>
      </c>
      <c r="L5" s="8" t="inlineStr">
        <is>
          <t>Máy T.C</t>
        </is>
      </c>
      <c r="M5" s="8" t="inlineStr"/>
      <c r="N5" s="8" t="inlineStr"/>
    </row>
    <row r="6">
      <c r="A6" s="8" t="n">
        <v>1</v>
      </c>
      <c r="B6" s="11" t="inlineStr">
        <is>
          <t>MD.12002</t>
        </is>
      </c>
      <c r="C6" s="8" t="inlineStr">
        <is>
          <t>Dàn nóng điều hòa VRF, Multi</t>
        </is>
      </c>
      <c r="D6" s="12">
        <f>HYPERLINK("tt38://pl5/37", "👉 Phụ lục IV - Trang 37 (Khớp nhóm MD.1200)")</f>
        <v/>
      </c>
      <c r="E6" s="8" t="inlineStr">
        <is>
          <t>tấn</t>
        </is>
      </c>
      <c r="F6" s="8" t="n">
        <v>5.48</v>
      </c>
      <c r="G6" s="8" t="n">
        <v>518999.943</v>
      </c>
      <c r="H6" s="8" t="n">
        <v>16770760</v>
      </c>
      <c r="I6" s="8" t="n">
        <v>995693.7417000001</v>
      </c>
      <c r="J6" s="8" t="n">
        <v>2844119.68764</v>
      </c>
      <c r="K6" s="8" t="n">
        <v>91903764.8</v>
      </c>
      <c r="L6" s="8" t="n">
        <v>5456401.704516001</v>
      </c>
      <c r="M6" s="8" t="n">
        <v>100204286.192156</v>
      </c>
      <c r="N6" s="8" t="n">
        <v>1</v>
      </c>
    </row>
    <row r="7">
      <c r="A7" s="8" t="n">
        <v>2</v>
      </c>
      <c r="B7" s="11" t="inlineStr">
        <is>
          <t>BA.12130</t>
        </is>
      </c>
      <c r="C7" s="8" t="inlineStr">
        <is>
          <t>Dàn lạnh âm trần nối ống gió, CSL: 7.1 kW</t>
        </is>
      </c>
      <c r="D7" s="12">
        <f>HYPERLINK("tt38://pl3/6", "👉 Phụ lục III - Trang 6 (Khớp nhóm BA.121)")</f>
        <v/>
      </c>
      <c r="E7" s="8" t="inlineStr">
        <is>
          <t>máy</t>
        </is>
      </c>
      <c r="F7" s="8" t="n">
        <v>14</v>
      </c>
      <c r="G7" s="8" t="n">
        <v>525000</v>
      </c>
      <c r="H7" s="8" t="n">
        <v>559370</v>
      </c>
      <c r="I7" s="8" t="n">
        <v>5456.88</v>
      </c>
      <c r="J7" s="8" t="n">
        <v>7350000</v>
      </c>
      <c r="K7" s="8" t="n">
        <v>7831180</v>
      </c>
      <c r="L7" s="8" t="n">
        <v>76396.32000000001</v>
      </c>
      <c r="M7" s="8" t="n">
        <v>15257576.32</v>
      </c>
      <c r="N7" s="8" t="n">
        <v>1</v>
      </c>
    </row>
    <row r="8">
      <c r="A8" s="8" t="n">
        <v>3</v>
      </c>
      <c r="B8" s="11" t="inlineStr">
        <is>
          <t>BA.12130</t>
        </is>
      </c>
      <c r="C8" s="8" t="inlineStr">
        <is>
          <t>Dàn lạnh cassette, CSL: 9.0 kW</t>
        </is>
      </c>
      <c r="D8" s="12">
        <f>HYPERLINK("tt38://pl3/6", "👉 Phụ lục III - Trang 6 (Khớp nhóm BA.121)")</f>
        <v/>
      </c>
      <c r="E8" s="8" t="inlineStr">
        <is>
          <t>máy</t>
        </is>
      </c>
      <c r="F8" s="8" t="n">
        <v>14</v>
      </c>
      <c r="G8" s="8" t="n">
        <v>525000</v>
      </c>
      <c r="H8" s="8" t="n">
        <v>559370</v>
      </c>
      <c r="I8" s="8" t="n">
        <v>5456.88</v>
      </c>
      <c r="J8" s="8" t="n">
        <v>7350000</v>
      </c>
      <c r="K8" s="8" t="n">
        <v>7831180</v>
      </c>
      <c r="L8" s="8" t="n">
        <v>76396.32000000001</v>
      </c>
      <c r="M8" s="8" t="n">
        <v>15257576.32</v>
      </c>
      <c r="N8" s="8" t="n">
        <v>1</v>
      </c>
    </row>
    <row r="9">
      <c r="A9" s="8" t="n">
        <v>4</v>
      </c>
      <c r="B9" s="11" t="inlineStr">
        <is>
          <t>BA.12130</t>
        </is>
      </c>
      <c r="C9" s="8" t="inlineStr">
        <is>
          <t>Dàn lạnh cassette, CSL: 11.2 kW</t>
        </is>
      </c>
      <c r="D9" s="12">
        <f>HYPERLINK("tt38://pl3/6", "👉 Phụ lục III - Trang 6 (Khớp nhóm BA.121)")</f>
        <v/>
      </c>
      <c r="E9" s="8" t="inlineStr">
        <is>
          <t>máy</t>
        </is>
      </c>
      <c r="F9" s="8" t="n">
        <v>43</v>
      </c>
      <c r="G9" s="8" t="n">
        <v>525000</v>
      </c>
      <c r="H9" s="8" t="n">
        <v>559370</v>
      </c>
      <c r="I9" s="8" t="n">
        <v>5456.88</v>
      </c>
      <c r="J9" s="8" t="n">
        <v>22575000</v>
      </c>
      <c r="K9" s="8" t="n">
        <v>24052910</v>
      </c>
      <c r="L9" s="8" t="n">
        <v>234645.84</v>
      </c>
      <c r="M9" s="8" t="n">
        <v>46862555.84</v>
      </c>
      <c r="N9" s="8" t="n">
        <v>1</v>
      </c>
    </row>
    <row r="10">
      <c r="A10" s="8" t="n">
        <v>5</v>
      </c>
      <c r="B10" s="11" t="inlineStr">
        <is>
          <t>BA.12130</t>
        </is>
      </c>
      <c r="C10" s="8" t="inlineStr">
        <is>
          <t>Dàn lạnh cassette, CSL: 14.0 kW</t>
        </is>
      </c>
      <c r="D10" s="12">
        <f>HYPERLINK("tt38://pl3/6", "👉 Phụ lục III - Trang 6 (Khớp nhóm BA.121)")</f>
        <v/>
      </c>
      <c r="E10" s="8" t="inlineStr">
        <is>
          <t>máy</t>
        </is>
      </c>
      <c r="F10" s="8" t="n">
        <v>18</v>
      </c>
      <c r="G10" s="8" t="n">
        <v>525000</v>
      </c>
      <c r="H10" s="8" t="n">
        <v>559370</v>
      </c>
      <c r="I10" s="8" t="n">
        <v>5456.88</v>
      </c>
      <c r="J10" s="8" t="n">
        <v>9450000</v>
      </c>
      <c r="K10" s="8" t="n">
        <v>10068660</v>
      </c>
      <c r="L10" s="8" t="n">
        <v>98223.84</v>
      </c>
      <c r="M10" s="8" t="n">
        <v>19616883.84</v>
      </c>
      <c r="N10" s="8" t="n">
        <v>1</v>
      </c>
    </row>
    <row r="11">
      <c r="A11" s="8" t="n">
        <v>6</v>
      </c>
      <c r="B11" s="11" t="inlineStr">
        <is>
          <t>BA.12130</t>
        </is>
      </c>
      <c r="C11" s="8" t="inlineStr">
        <is>
          <t>Dàn lạnh âm trần nối ống gió CSL: 7.1 kW</t>
        </is>
      </c>
      <c r="D11" s="12">
        <f>HYPERLINK("tt38://pl3/6", "👉 Phụ lục III - Trang 6 (Khớp nhóm BA.121)")</f>
        <v/>
      </c>
      <c r="E11" s="8" t="inlineStr">
        <is>
          <t>máy</t>
        </is>
      </c>
      <c r="F11" s="8" t="n">
        <v>2</v>
      </c>
      <c r="G11" s="8" t="n">
        <v>525000</v>
      </c>
      <c r="H11" s="8" t="n">
        <v>559370</v>
      </c>
      <c r="I11" s="8" t="n">
        <v>5456.88</v>
      </c>
      <c r="J11" s="8" t="n">
        <v>1050000</v>
      </c>
      <c r="K11" s="8" t="n">
        <v>1118740</v>
      </c>
      <c r="L11" s="8" t="n">
        <v>10913.76</v>
      </c>
      <c r="M11" s="8" t="n">
        <v>2179653.76</v>
      </c>
      <c r="N11" s="8" t="n">
        <v>1</v>
      </c>
    </row>
    <row r="12">
      <c r="A12" s="8" t="n">
        <v>7</v>
      </c>
      <c r="B12" s="11" t="inlineStr">
        <is>
          <t>BA.12130</t>
        </is>
      </c>
      <c r="C12" s="8" t="inlineStr">
        <is>
          <t>Dàn lạnh cassette CSL: 7.1 kW</t>
        </is>
      </c>
      <c r="D12" s="12">
        <f>HYPERLINK("tt38://pl3/6", "👉 Phụ lục III - Trang 6 (Khớp nhóm BA.121)")</f>
        <v/>
      </c>
      <c r="E12" s="8" t="inlineStr">
        <is>
          <t>máy</t>
        </is>
      </c>
      <c r="F12" s="8" t="n">
        <v>36</v>
      </c>
      <c r="G12" s="8" t="n">
        <v>525000</v>
      </c>
      <c r="H12" s="8" t="n">
        <v>559370</v>
      </c>
      <c r="I12" s="8" t="n">
        <v>5456.88</v>
      </c>
      <c r="J12" s="8" t="n">
        <v>18900000</v>
      </c>
      <c r="K12" s="8" t="n">
        <v>20137320</v>
      </c>
      <c r="L12" s="8" t="n">
        <v>196447.68</v>
      </c>
      <c r="M12" s="8" t="n">
        <v>39233767.68</v>
      </c>
      <c r="N12" s="8" t="n">
        <v>1</v>
      </c>
    </row>
    <row r="13">
      <c r="A13" s="8" t="n">
        <v>8</v>
      </c>
      <c r="B13" s="11" t="inlineStr">
        <is>
          <t>BA.12130</t>
        </is>
      </c>
      <c r="C13" s="8" t="inlineStr">
        <is>
          <t>Dàn lạnh cassette CSL: 10.0 kW</t>
        </is>
      </c>
      <c r="D13" s="12">
        <f>HYPERLINK("tt38://pl3/6", "👉 Phụ lục III - Trang 6 (Khớp nhóm BA.121)")</f>
        <v/>
      </c>
      <c r="E13" s="8" t="inlineStr">
        <is>
          <t>máy</t>
        </is>
      </c>
      <c r="F13" s="8" t="n">
        <v>24</v>
      </c>
      <c r="G13" s="8" t="n">
        <v>525000</v>
      </c>
      <c r="H13" s="8" t="n">
        <v>559370</v>
      </c>
      <c r="I13" s="8" t="n">
        <v>5456.88</v>
      </c>
      <c r="J13" s="8" t="n">
        <v>12600000</v>
      </c>
      <c r="K13" s="8" t="n">
        <v>13424880</v>
      </c>
      <c r="L13" s="8" t="n">
        <v>130965.12</v>
      </c>
      <c r="M13" s="8" t="n">
        <v>26155845.12</v>
      </c>
      <c r="N13" s="8" t="n">
        <v>1</v>
      </c>
    </row>
    <row r="14">
      <c r="A14" s="8" t="n">
        <v>9</v>
      </c>
      <c r="B14" s="11" t="inlineStr">
        <is>
          <t>BA.12130</t>
        </is>
      </c>
      <c r="C14" s="8" t="inlineStr">
        <is>
          <t>Dàn lạnh cassette CSL: 12.5 kW</t>
        </is>
      </c>
      <c r="D14" s="12">
        <f>HYPERLINK("tt38://pl3/6", "👉 Phụ lục III - Trang 6 (Khớp nhóm BA.121)")</f>
        <v/>
      </c>
      <c r="E14" s="8" t="inlineStr">
        <is>
          <t>máy</t>
        </is>
      </c>
      <c r="F14" s="8" t="n">
        <v>30</v>
      </c>
      <c r="G14" s="8" t="n">
        <v>525000</v>
      </c>
      <c r="H14" s="8" t="n">
        <v>559370</v>
      </c>
      <c r="I14" s="8" t="n">
        <v>5456.88</v>
      </c>
      <c r="J14" s="8" t="n">
        <v>15750000</v>
      </c>
      <c r="K14" s="8" t="n">
        <v>16781100</v>
      </c>
      <c r="L14" s="8" t="n">
        <v>163706.4</v>
      </c>
      <c r="M14" s="8" t="n">
        <v>32694806.4</v>
      </c>
      <c r="N14" s="8" t="n">
        <v>1</v>
      </c>
    </row>
    <row r="15">
      <c r="A15" s="8" t="n">
        <v>10</v>
      </c>
      <c r="B15" s="11" t="inlineStr">
        <is>
          <t>BA.12110</t>
        </is>
      </c>
      <c r="C15" s="8" t="inlineStr">
        <is>
          <t>Dàn lạnh treo tường CSL: 2.5 kW</t>
        </is>
      </c>
      <c r="D15" s="12">
        <f>HYPERLINK("tt38://pl3/6", "👉 Phụ lục III - Trang 6 (Khớp nhóm BA.121)")</f>
        <v/>
      </c>
      <c r="E15" s="8" t="inlineStr">
        <is>
          <t>máy</t>
        </is>
      </c>
      <c r="F15" s="8" t="n">
        <v>1</v>
      </c>
      <c r="G15" s="8" t="n">
        <v>315000</v>
      </c>
      <c r="H15" s="8" t="n">
        <v>333060</v>
      </c>
      <c r="I15" s="8" t="n">
        <v>4547.4</v>
      </c>
      <c r="J15" s="8" t="n">
        <v>315000</v>
      </c>
      <c r="K15" s="8" t="n">
        <v>333060</v>
      </c>
      <c r="L15" s="8" t="n">
        <v>4547.4</v>
      </c>
      <c r="M15" s="8" t="n">
        <v>652607.4</v>
      </c>
      <c r="N15" s="8" t="n">
        <v>1</v>
      </c>
    </row>
    <row r="16">
      <c r="A16" s="8" t="n">
        <v>11</v>
      </c>
      <c r="B16" s="11" t="inlineStr">
        <is>
          <t>BA.12110</t>
        </is>
      </c>
      <c r="C16" s="8" t="inlineStr">
        <is>
          <t>Dàn lạnh treo tường CSL: 5.0 kW</t>
        </is>
      </c>
      <c r="D16" s="12">
        <f>HYPERLINK("tt38://pl3/6", "👉 Phụ lục III - Trang 6 (Khớp nhóm BA.121)")</f>
        <v/>
      </c>
      <c r="E16" s="8" t="inlineStr">
        <is>
          <t>máy</t>
        </is>
      </c>
      <c r="F16" s="8" t="n">
        <v>2</v>
      </c>
      <c r="G16" s="8" t="n">
        <v>315000</v>
      </c>
      <c r="H16" s="8" t="n">
        <v>333060</v>
      </c>
      <c r="I16" s="8" t="n">
        <v>4547.4</v>
      </c>
      <c r="J16" s="8" t="n">
        <v>630000</v>
      </c>
      <c r="K16" s="8" t="n">
        <v>666120</v>
      </c>
      <c r="L16" s="8" t="n">
        <v>9094.799999999999</v>
      </c>
      <c r="M16" s="8" t="n">
        <v>1305214.8</v>
      </c>
      <c r="N16" s="8" t="n">
        <v>1</v>
      </c>
    </row>
    <row r="17">
      <c r="A17" s="8" t="n">
        <v>12</v>
      </c>
      <c r="B17" s="11" t="inlineStr">
        <is>
          <t>BA.12110</t>
        </is>
      </c>
      <c r="C17" s="8" t="inlineStr">
        <is>
          <t>Dàn lạnh treo tường CSL: 7.1 kW</t>
        </is>
      </c>
      <c r="D17" s="12">
        <f>HYPERLINK("tt38://pl3/6", "👉 Phụ lục III - Trang 6 (Khớp nhóm BA.121)")</f>
        <v/>
      </c>
      <c r="E17" s="8" t="inlineStr">
        <is>
          <t>máy</t>
        </is>
      </c>
      <c r="F17" s="8" t="n">
        <v>2</v>
      </c>
      <c r="G17" s="8" t="n">
        <v>315000</v>
      </c>
      <c r="H17" s="8" t="n">
        <v>333060</v>
      </c>
      <c r="I17" s="8" t="n">
        <v>4547.4</v>
      </c>
      <c r="J17" s="8" t="n">
        <v>630000</v>
      </c>
      <c r="K17" s="8" t="n">
        <v>666120</v>
      </c>
      <c r="L17" s="8" t="n">
        <v>9094.799999999999</v>
      </c>
      <c r="M17" s="8" t="n">
        <v>1305214.8</v>
      </c>
      <c r="N17" s="8" t="n">
        <v>1</v>
      </c>
    </row>
    <row r="18">
      <c r="A18" s="8" t="inlineStr"/>
      <c r="B18" s="8" t="inlineStr"/>
      <c r="C18" s="8" t="inlineStr">
        <is>
          <t>TỔNG HẠNG MỤC</t>
        </is>
      </c>
      <c r="E18" s="8" t="inlineStr"/>
      <c r="F18" s="8" t="inlineStr"/>
      <c r="G18" s="8" t="inlineStr"/>
      <c r="H18" s="8" t="inlineStr"/>
      <c r="I18" s="8" t="inlineStr"/>
      <c r="J18" s="8" t="n">
        <v>99444119.68764</v>
      </c>
      <c r="K18" s="8" t="n">
        <v>194815034.8</v>
      </c>
      <c r="L18" s="8" t="n">
        <v>6466833.984516001</v>
      </c>
      <c r="M18" s="8" t="n">
        <v>300725988.472156</v>
      </c>
      <c r="N18" s="8" t="inlineStr"/>
    </row>
    <row r="19">
      <c r="A19" s="8" t="inlineStr">
        <is>
          <t>GIÁ XÂY DỰNG TỔNG HỢP HẠNG MỤC CÔNG TRÌNH</t>
        </is>
      </c>
      <c r="B19" s="8" t="inlineStr"/>
      <c r="C19" s="8" t="inlineStr"/>
      <c r="E19" s="8" t="inlineStr"/>
      <c r="F19" s="8" t="inlineStr"/>
      <c r="G19" s="8" t="inlineStr"/>
      <c r="H19" s="8" t="inlineStr"/>
      <c r="I19" s="8" t="inlineStr"/>
      <c r="J19" s="8" t="inlineStr"/>
      <c r="K19" s="8" t="inlineStr"/>
      <c r="L19" s="8" t="inlineStr"/>
      <c r="M19" s="8" t="inlineStr"/>
      <c r="N19" s="8" t="inlineStr"/>
    </row>
    <row r="20">
      <c r="A20" s="8" t="inlineStr">
        <is>
          <t>DỰ ÁN: XÂY DỰNG NHÀ Ở CHO LỰC LƯỢNG VŨ TRANG CÔNG AN NHÂN DÂN 
TẠI Ô ĐẤT NO1 THUỘC LÔ ĐẤT D12 KHU ĐÔ THỊ MỚI CẦU GIẤY, PHƯỜNG CẦU GIẤY, THÀNH PHỐ HÀ NỘI</t>
        </is>
      </c>
      <c r="B20" s="8" t="inlineStr"/>
      <c r="C20" s="8" t="inlineStr"/>
      <c r="E20" s="8" t="inlineStr"/>
      <c r="F20" s="8" t="inlineStr"/>
      <c r="G20" s="8" t="inlineStr"/>
      <c r="H20" s="8" t="inlineStr"/>
      <c r="I20" s="8" t="inlineStr"/>
      <c r="J20" s="8" t="inlineStr"/>
      <c r="K20" s="8" t="inlineStr"/>
      <c r="L20" s="8" t="inlineStr"/>
      <c r="M20" s="8" t="inlineStr"/>
      <c r="N20" s="8" t="inlineStr"/>
    </row>
    <row r="21">
      <c r="A21" s="8" t="inlineStr">
        <is>
          <t>HẠNG MỤC: ĐIỀU HÒA KHÔNG KHÍ - VẬT TƯ XÂY LẮP</t>
        </is>
      </c>
      <c r="B21" s="8" t="inlineStr"/>
      <c r="C21" s="8" t="inlineStr"/>
      <c r="E21" s="8" t="inlineStr"/>
      <c r="F21" s="8" t="inlineStr"/>
      <c r="G21" s="8" t="inlineStr"/>
      <c r="H21" s="8" t="inlineStr"/>
      <c r="I21" s="8" t="inlineStr"/>
      <c r="J21" s="8" t="inlineStr"/>
      <c r="K21" s="8" t="inlineStr"/>
      <c r="L21" s="8" t="inlineStr"/>
      <c r="M21" s="8" t="inlineStr"/>
      <c r="N21" s="8" t="inlineStr"/>
    </row>
    <row r="22">
      <c r="A22" s="8" t="inlineStr">
        <is>
          <t>STT</t>
        </is>
      </c>
      <c r="B22" s="8" t="inlineStr">
        <is>
          <t>Mã số</t>
        </is>
      </c>
      <c r="C22" s="8" t="inlineStr">
        <is>
          <t>Tên công tác</t>
        </is>
      </c>
      <c r="E22" s="8" t="inlineStr">
        <is>
          <t>Đơn vị</t>
        </is>
      </c>
      <c r="F22" s="8" t="inlineStr">
        <is>
          <t>Khối lượng</t>
        </is>
      </c>
      <c r="G22" s="8" t="inlineStr">
        <is>
          <t>Đơn giá (đ)</t>
        </is>
      </c>
      <c r="H22" s="8" t="n">
        <v>0</v>
      </c>
      <c r="I22" s="8" t="n">
        <v>0</v>
      </c>
      <c r="J22" s="8" t="inlineStr">
        <is>
          <t>Thành tiền (đ)</t>
        </is>
      </c>
      <c r="K22" s="8" t="n">
        <v>0</v>
      </c>
      <c r="L22" s="8" t="n">
        <v>0</v>
      </c>
      <c r="M22" s="8" t="inlineStr">
        <is>
          <t>Tổng cộng
(đ)</t>
        </is>
      </c>
      <c r="N22" s="8" t="inlineStr"/>
    </row>
    <row r="23">
      <c r="A23" s="8" t="n">
        <v>0</v>
      </c>
      <c r="B23" s="8" t="n">
        <v>0</v>
      </c>
      <c r="C23" s="8" t="n">
        <v>0</v>
      </c>
      <c r="E23" s="8" t="n">
        <v>0</v>
      </c>
      <c r="F23" s="8" t="n">
        <v>0</v>
      </c>
      <c r="G23" s="8" t="inlineStr">
        <is>
          <t>Vật liệu</t>
        </is>
      </c>
      <c r="H23" s="8" t="inlineStr">
        <is>
          <t>Nhân công</t>
        </is>
      </c>
      <c r="I23" s="8" t="inlineStr">
        <is>
          <t>Máy T.C</t>
        </is>
      </c>
      <c r="J23" s="8" t="inlineStr">
        <is>
          <t>Vật liệu</t>
        </is>
      </c>
      <c r="K23" s="8" t="inlineStr">
        <is>
          <t>Nhân công</t>
        </is>
      </c>
      <c r="L23" s="8" t="inlineStr">
        <is>
          <t>Máy T.C</t>
        </is>
      </c>
      <c r="M23" s="8" t="n">
        <v>0</v>
      </c>
      <c r="N23" s="8" t="inlineStr"/>
    </row>
    <row r="24">
      <c r="A24" s="8" t="inlineStr"/>
      <c r="B24" s="8" t="inlineStr">
        <is>
          <t>*</t>
        </is>
      </c>
      <c r="C24" s="8" t="inlineStr">
        <is>
          <t>Ống đồng</t>
        </is>
      </c>
      <c r="E24" s="8" t="n">
        <v>0</v>
      </c>
      <c r="F24" s="8" t="n">
        <v>0</v>
      </c>
      <c r="G24" s="8" t="inlineStr"/>
      <c r="H24" s="8" t="inlineStr"/>
      <c r="I24" s="8" t="inlineStr"/>
      <c r="J24" s="8" t="inlineStr"/>
      <c r="K24" s="8" t="inlineStr"/>
      <c r="L24" s="8" t="inlineStr"/>
      <c r="M24" s="8" t="inlineStr"/>
      <c r="N24" s="8" t="inlineStr"/>
    </row>
    <row r="25">
      <c r="A25" s="8" t="n">
        <v>1</v>
      </c>
      <c r="B25" s="11" t="inlineStr">
        <is>
          <t>BB.51001</t>
        </is>
      </c>
      <c r="C25" s="8" t="inlineStr">
        <is>
          <t>Ống đồng_D6.4_0.81mm</t>
        </is>
      </c>
      <c r="D25" s="12">
        <f>HYPERLINK("tt38://pl3/100", "👉 Phụ lục III - Trang 100 (Khớp nhóm BB.5100)")</f>
        <v/>
      </c>
      <c r="E25" s="8" t="inlineStr">
        <is>
          <t>100m</t>
        </is>
      </c>
      <c r="F25" s="8" t="n">
        <v>0.8</v>
      </c>
      <c r="G25" s="8" t="n">
        <v>5082383.0054818</v>
      </c>
      <c r="H25" s="8" t="n">
        <v>5764500</v>
      </c>
      <c r="I25" s="8" t="n">
        <v>0</v>
      </c>
      <c r="J25" s="8" t="n">
        <v>4065906.40438544</v>
      </c>
      <c r="K25" s="8" t="n">
        <v>4611600</v>
      </c>
      <c r="L25" s="8" t="n">
        <v>0</v>
      </c>
      <c r="M25" s="8" t="n">
        <v>8677506.40438544</v>
      </c>
      <c r="N25" s="8" t="inlineStr"/>
    </row>
    <row r="26">
      <c r="A26" s="8" t="n">
        <v>2</v>
      </c>
      <c r="B26" s="11" t="inlineStr">
        <is>
          <t>BB.51002</t>
        </is>
      </c>
      <c r="C26" s="8" t="inlineStr">
        <is>
          <t>Ống đồng_D9.5_0.81mm</t>
        </is>
      </c>
      <c r="D26" s="12">
        <f>HYPERLINK("tt38://pl3/100", "👉 Phụ lục III - Trang 100 (Khớp nhóm BB.5100)")</f>
        <v/>
      </c>
      <c r="E26" s="8" t="inlineStr">
        <is>
          <t>100m</t>
        </is>
      </c>
      <c r="F26" s="8" t="n">
        <v>23.4</v>
      </c>
      <c r="G26" s="8" t="n">
        <v>7982732.617442399</v>
      </c>
      <c r="H26" s="8" t="n">
        <v>6789300</v>
      </c>
      <c r="I26" s="8" t="n">
        <v>0</v>
      </c>
      <c r="J26" s="8" t="n">
        <v>186795943.2481521</v>
      </c>
      <c r="K26" s="8" t="n">
        <v>158869620</v>
      </c>
      <c r="L26" s="8" t="n">
        <v>0</v>
      </c>
      <c r="M26" s="8" t="n">
        <v>345665563.2481521</v>
      </c>
      <c r="N26" s="8" t="inlineStr"/>
    </row>
    <row r="27">
      <c r="A27" s="8" t="n">
        <v>3</v>
      </c>
      <c r="B27" s="11" t="inlineStr">
        <is>
          <t>BB.51003</t>
        </is>
      </c>
      <c r="C27" s="8" t="inlineStr">
        <is>
          <t>Ống đồng_D12.7_0.81mm</t>
        </is>
      </c>
      <c r="D27" s="12">
        <f>HYPERLINK("tt38://pl3/100", "👉 Phụ lục III - Trang 100 (Khớp nhóm BB.5100)")</f>
        <v/>
      </c>
      <c r="E27" s="8" t="inlineStr">
        <is>
          <t>100m</t>
        </is>
      </c>
      <c r="F27" s="8" t="n">
        <v>0.5</v>
      </c>
      <c r="G27" s="8" t="n">
        <v>10883055.226703</v>
      </c>
      <c r="H27" s="8" t="n">
        <v>7147979.999999999</v>
      </c>
      <c r="I27" s="8" t="n">
        <v>0</v>
      </c>
      <c r="J27" s="8" t="n">
        <v>5441527.6133515</v>
      </c>
      <c r="K27" s="8" t="n">
        <v>3573990</v>
      </c>
      <c r="L27" s="8" t="n">
        <v>0</v>
      </c>
      <c r="M27" s="8" t="n">
        <v>9015517.6133515</v>
      </c>
      <c r="N27" s="8" t="inlineStr"/>
    </row>
    <row r="28">
      <c r="A28" s="8" t="n">
        <v>4</v>
      </c>
      <c r="B28" s="11" t="inlineStr">
        <is>
          <t>BB.51004</t>
        </is>
      </c>
      <c r="C28" s="8" t="inlineStr">
        <is>
          <t>Ống đồng_D15.9_0.99mm</t>
        </is>
      </c>
      <c r="D28" s="12">
        <f>HYPERLINK("tt38://pl3/100", "👉 Phụ lục III - Trang 100 (Khớp nhóm BB.5100)")</f>
        <v/>
      </c>
      <c r="E28" s="8" t="inlineStr">
        <is>
          <t>100m</t>
        </is>
      </c>
      <c r="F28" s="8" t="n">
        <v>23.3</v>
      </c>
      <c r="G28" s="8" t="n">
        <v>16807230.1909636</v>
      </c>
      <c r="H28" s="8" t="n">
        <v>7852530</v>
      </c>
      <c r="I28" s="8" t="n">
        <v>0</v>
      </c>
      <c r="J28" s="8" t="n">
        <v>391608463.4494519</v>
      </c>
      <c r="K28" s="8" t="n">
        <v>182963949</v>
      </c>
      <c r="L28" s="8" t="n">
        <v>0</v>
      </c>
      <c r="M28" s="8" t="n">
        <v>574572412.4494519</v>
      </c>
      <c r="N28" s="8" t="inlineStr"/>
    </row>
    <row r="29">
      <c r="A29" s="8" t="n">
        <v>5</v>
      </c>
      <c r="B29" s="11" t="inlineStr">
        <is>
          <t>BB.51005</t>
        </is>
      </c>
      <c r="C29" s="8" t="inlineStr">
        <is>
          <t>Ống đồng_D19.1_0.99mm</t>
        </is>
      </c>
      <c r="D29" s="12">
        <f>HYPERLINK("tt38://pl3/100", "👉 Phụ lục III - Trang 100 (Khớp nhóm BB.5100)")</f>
        <v/>
      </c>
      <c r="E29" s="8" t="inlineStr">
        <is>
          <t>100m</t>
        </is>
      </c>
      <c r="F29" s="8" t="n">
        <v>4</v>
      </c>
      <c r="G29" s="8" t="n">
        <v>20369250.3573636</v>
      </c>
      <c r="H29" s="8" t="n">
        <v>9475130</v>
      </c>
      <c r="I29" s="8" t="n">
        <v>0</v>
      </c>
      <c r="J29" s="8" t="n">
        <v>81477001.4294544</v>
      </c>
      <c r="K29" s="8" t="n">
        <v>37900520</v>
      </c>
      <c r="L29" s="8" t="n">
        <v>0</v>
      </c>
      <c r="M29" s="8" t="n">
        <v>119377521.4294544</v>
      </c>
      <c r="N29" s="8" t="inlineStr"/>
    </row>
    <row r="30">
      <c r="A30" s="8" t="n">
        <v>6</v>
      </c>
      <c r="B30" s="11" t="inlineStr">
        <is>
          <t>BB.51006</t>
        </is>
      </c>
      <c r="C30" s="8" t="inlineStr">
        <is>
          <t>Ống đồng_D22.2_1.14mm</t>
        </is>
      </c>
      <c r="D30" s="12">
        <f>HYPERLINK("tt38://pl3/100", "👉 Phụ lục III - Trang 100 (Khớp nhóm BB.5100)")</f>
        <v/>
      </c>
      <c r="E30" s="8" t="inlineStr">
        <is>
          <t>100m</t>
        </is>
      </c>
      <c r="F30" s="8" t="n">
        <v>0.8</v>
      </c>
      <c r="G30" s="8" t="n">
        <v>27399625.9306242</v>
      </c>
      <c r="H30" s="8" t="n">
        <v>9850890</v>
      </c>
      <c r="I30" s="8" t="n">
        <v>0</v>
      </c>
      <c r="J30" s="8" t="n">
        <v>21919700.74449936</v>
      </c>
      <c r="K30" s="8" t="n">
        <v>7880712</v>
      </c>
      <c r="L30" s="8" t="n">
        <v>0</v>
      </c>
      <c r="M30" s="8" t="n">
        <v>29800412.74449936</v>
      </c>
      <c r="N30" s="8" t="inlineStr"/>
    </row>
    <row r="31">
      <c r="A31" s="8" t="n">
        <v>7</v>
      </c>
      <c r="B31" s="11" t="inlineStr">
        <is>
          <t>BB.51008</t>
        </is>
      </c>
      <c r="C31" s="8" t="inlineStr">
        <is>
          <t>Ống đồng_D28.6_1.27mm</t>
        </is>
      </c>
      <c r="D31" s="12">
        <f>HYPERLINK("tt38://pl3/100", "👉 Phụ lục III - Trang 100 (Khớp nhóm BB.5100)")</f>
        <v/>
      </c>
      <c r="E31" s="8" t="inlineStr">
        <is>
          <t>100m</t>
        </is>
      </c>
      <c r="F31" s="8" t="n">
        <v>1.6</v>
      </c>
      <c r="G31" s="8" t="n">
        <v>39525486.213406</v>
      </c>
      <c r="H31" s="8" t="n">
        <v>10320590</v>
      </c>
      <c r="I31" s="8" t="n">
        <v>0</v>
      </c>
      <c r="J31" s="8" t="n">
        <v>63240777.94144961</v>
      </c>
      <c r="K31" s="8" t="n">
        <v>16512944</v>
      </c>
      <c r="L31" s="8" t="n">
        <v>0</v>
      </c>
      <c r="M31" s="8" t="n">
        <v>79753721.94144961</v>
      </c>
      <c r="N31" s="8" t="inlineStr"/>
    </row>
    <row r="32">
      <c r="A32" s="8" t="n">
        <v>8</v>
      </c>
      <c r="B32" s="11" t="inlineStr">
        <is>
          <t>BB.51010</t>
        </is>
      </c>
      <c r="C32" s="8" t="inlineStr">
        <is>
          <t>Ống đồng_D34.9_1.40mm</t>
        </is>
      </c>
      <c r="D32" s="12">
        <f>HYPERLINK("tt38://pl3/100", "👉 Phụ lục III - Trang 100 (Khớp nhóm BB.510)")</f>
        <v/>
      </c>
      <c r="E32" s="8" t="inlineStr">
        <is>
          <t>100m</t>
        </is>
      </c>
      <c r="F32" s="8" t="n">
        <v>1.6</v>
      </c>
      <c r="G32" s="8" t="n">
        <v>53498375.5746272</v>
      </c>
      <c r="H32" s="8" t="n">
        <v>10747590</v>
      </c>
      <c r="I32" s="8" t="n">
        <v>0</v>
      </c>
      <c r="J32" s="8" t="n">
        <v>85597400.91940352</v>
      </c>
      <c r="K32" s="8" t="n">
        <v>17196144</v>
      </c>
      <c r="L32" s="8" t="n">
        <v>0</v>
      </c>
      <c r="M32" s="8" t="n">
        <v>102793544.9194035</v>
      </c>
      <c r="N32" s="8" t="inlineStr"/>
    </row>
    <row r="33">
      <c r="A33" s="8" t="n">
        <v>9</v>
      </c>
      <c r="B33" s="11" t="inlineStr">
        <is>
          <t>BB.51012</t>
        </is>
      </c>
      <c r="C33" s="8" t="inlineStr">
        <is>
          <t>Ống đồng_D41.3_1.53mm</t>
        </is>
      </c>
      <c r="D33" s="12">
        <f>HYPERLINK("tt38://pl3/100", "👉 Phụ lục III - Trang 100 (Khớp nhóm BB.510)")</f>
        <v/>
      </c>
      <c r="E33" s="8" t="inlineStr">
        <is>
          <t>100m</t>
        </is>
      </c>
      <c r="F33" s="8" t="n">
        <v>2.4</v>
      </c>
      <c r="G33" s="8" t="n">
        <v>68855447.73428781</v>
      </c>
      <c r="H33" s="8" t="n">
        <v>11622940</v>
      </c>
      <c r="I33" s="8" t="n">
        <v>0</v>
      </c>
      <c r="J33" s="8" t="n">
        <v>165253074.5622908</v>
      </c>
      <c r="K33" s="8" t="n">
        <v>27895056</v>
      </c>
      <c r="L33" s="8" t="n">
        <v>0</v>
      </c>
      <c r="M33" s="8" t="n">
        <v>193148130.5622908</v>
      </c>
      <c r="N33" s="8" t="inlineStr"/>
    </row>
    <row r="34">
      <c r="A34" s="8" t="n">
        <v>10</v>
      </c>
      <c r="B34" s="11" t="inlineStr">
        <is>
          <t>BC.14101</t>
        </is>
      </c>
      <c r="C34" s="8" t="inlineStr">
        <is>
          <t>Bảo ôn ống đồng D6.4 dày 19mm</t>
        </is>
      </c>
      <c r="D34" s="12">
        <f>HYPERLINK("tt38://pl3/212", "👉 Phụ lục III - Trang 212 (Khớp nhóm BC.1410)")</f>
        <v/>
      </c>
      <c r="E34" s="8" t="inlineStr">
        <is>
          <t>100m</t>
        </is>
      </c>
      <c r="F34" s="8" t="n">
        <v>0.8</v>
      </c>
      <c r="G34" s="8" t="n">
        <v>1889588.94</v>
      </c>
      <c r="H34" s="8" t="n">
        <v>1942850</v>
      </c>
      <c r="I34" s="8" t="n">
        <v>0</v>
      </c>
      <c r="J34" s="8" t="n">
        <v>1511671.152</v>
      </c>
      <c r="K34" s="8" t="n">
        <v>1554280</v>
      </c>
      <c r="L34" s="8" t="n">
        <v>0</v>
      </c>
      <c r="M34" s="8" t="n">
        <v>3065951.152</v>
      </c>
      <c r="N34" s="8" t="inlineStr"/>
    </row>
    <row r="35">
      <c r="A35" s="8" t="n">
        <v>11</v>
      </c>
      <c r="B35" s="11" t="inlineStr">
        <is>
          <t>BC.14102</t>
        </is>
      </c>
      <c r="C35" s="8" t="inlineStr">
        <is>
          <t>Bảo ôn ống đồng D9.5 dày 19mm</t>
        </is>
      </c>
      <c r="D35" s="12">
        <f>HYPERLINK("tt38://pl3/212", "👉 Phụ lục III - Trang 212 (Khớp nhóm BC.1410)")</f>
        <v/>
      </c>
      <c r="E35" s="8" t="inlineStr">
        <is>
          <t>100m</t>
        </is>
      </c>
      <c r="F35" s="8" t="n">
        <v>23.4</v>
      </c>
      <c r="G35" s="8" t="n">
        <v>2038403.82</v>
      </c>
      <c r="H35" s="8" t="n">
        <v>2036790</v>
      </c>
      <c r="I35" s="8" t="n">
        <v>0</v>
      </c>
      <c r="J35" s="8" t="n">
        <v>47698649.388</v>
      </c>
      <c r="K35" s="8" t="n">
        <v>47660885.99999999</v>
      </c>
      <c r="L35" s="8" t="n">
        <v>0</v>
      </c>
      <c r="M35" s="8" t="n">
        <v>95359535.38799998</v>
      </c>
      <c r="N35" s="8" t="inlineStr"/>
    </row>
    <row r="36">
      <c r="A36" s="8" t="n">
        <v>12</v>
      </c>
      <c r="B36" s="11" t="inlineStr">
        <is>
          <t>BC.14103</t>
        </is>
      </c>
      <c r="C36" s="8" t="inlineStr">
        <is>
          <t>Bảo ôn ống đồng D12.7 dày 19mm</t>
        </is>
      </c>
      <c r="D36" s="12">
        <f>HYPERLINK("tt38://pl3/212", "👉 Phụ lục III - Trang 212 (Khớp nhóm BC.1410)")</f>
        <v/>
      </c>
      <c r="E36" s="8" t="inlineStr">
        <is>
          <t>100m</t>
        </is>
      </c>
      <c r="F36" s="8" t="n">
        <v>0.5</v>
      </c>
      <c r="G36" s="8" t="n">
        <v>2349984.975</v>
      </c>
      <c r="H36" s="8" t="n">
        <v>2143540</v>
      </c>
      <c r="I36" s="8" t="n">
        <v>0</v>
      </c>
      <c r="J36" s="8" t="n">
        <v>1174992.4875</v>
      </c>
      <c r="K36" s="8" t="n">
        <v>1071770</v>
      </c>
      <c r="L36" s="8" t="n">
        <v>0</v>
      </c>
      <c r="M36" s="8" t="n">
        <v>2246762.4875</v>
      </c>
      <c r="N36" s="8" t="inlineStr"/>
    </row>
    <row r="37">
      <c r="A37" s="8" t="n">
        <v>13</v>
      </c>
      <c r="B37" s="11" t="inlineStr">
        <is>
          <t>BC.14104</t>
        </is>
      </c>
      <c r="C37" s="8" t="inlineStr">
        <is>
          <t>Bảo ôn ống đồng D15.9 dày 19mm</t>
        </is>
      </c>
      <c r="D37" s="12">
        <f>HYPERLINK("tt38://pl3/212", "👉 Phụ lục III - Trang 212 (Khớp nhóm BC.1410)")</f>
        <v/>
      </c>
      <c r="E37" s="8" t="inlineStr">
        <is>
          <t>100m</t>
        </is>
      </c>
      <c r="F37" s="8" t="n">
        <v>23.3</v>
      </c>
      <c r="G37" s="8" t="n">
        <v>2601260.1</v>
      </c>
      <c r="H37" s="8" t="n">
        <v>2280180</v>
      </c>
      <c r="I37" s="8" t="n">
        <v>0</v>
      </c>
      <c r="J37" s="8" t="n">
        <v>60609360.33000001</v>
      </c>
      <c r="K37" s="8" t="n">
        <v>53128194</v>
      </c>
      <c r="L37" s="8" t="n">
        <v>0</v>
      </c>
      <c r="M37" s="8" t="n">
        <v>113737554.33</v>
      </c>
      <c r="N37" s="8" t="inlineStr"/>
    </row>
    <row r="38">
      <c r="A38" s="8" t="n">
        <v>14</v>
      </c>
      <c r="B38" s="11" t="inlineStr">
        <is>
          <t>BC.14105</t>
        </is>
      </c>
      <c r="C38" s="8" t="inlineStr">
        <is>
          <t>Bảo ôn ống đồng D19.1 dày 19mm</t>
        </is>
      </c>
      <c r="D38" s="12">
        <f>HYPERLINK("tt38://pl3/212", "👉 Phụ lục III - Trang 212 (Khớp nhóm BC.1410)")</f>
        <v/>
      </c>
      <c r="E38" s="8" t="inlineStr">
        <is>
          <t>100m</t>
        </is>
      </c>
      <c r="F38" s="8" t="n">
        <v>4</v>
      </c>
      <c r="G38" s="8" t="n">
        <v>2902790.25</v>
      </c>
      <c r="H38" s="8" t="n">
        <v>2365580</v>
      </c>
      <c r="I38" s="8" t="n">
        <v>0</v>
      </c>
      <c r="J38" s="8" t="n">
        <v>11611161</v>
      </c>
      <c r="K38" s="8" t="n">
        <v>9462320</v>
      </c>
      <c r="L38" s="8" t="n">
        <v>0</v>
      </c>
      <c r="M38" s="8" t="n">
        <v>21073481</v>
      </c>
      <c r="N38" s="8" t="inlineStr"/>
    </row>
    <row r="39">
      <c r="A39" s="8" t="n">
        <v>15</v>
      </c>
      <c r="B39" s="11" t="inlineStr">
        <is>
          <t>BC.14106</t>
        </is>
      </c>
      <c r="C39" s="8" t="inlineStr">
        <is>
          <t>Bảo ôn ống đồng D22.2 dày 19mm</t>
        </is>
      </c>
      <c r="D39" s="12">
        <f>HYPERLINK("tt38://pl3/212", "👉 Phụ lục III - Trang 212 (Khớp nhóm BC.1410)")</f>
        <v/>
      </c>
      <c r="E39" s="8" t="inlineStr">
        <is>
          <t>100m</t>
        </is>
      </c>
      <c r="F39" s="8" t="n">
        <v>0.8</v>
      </c>
      <c r="G39" s="8" t="n">
        <v>3152115.18</v>
      </c>
      <c r="H39" s="8" t="n">
        <v>2493680</v>
      </c>
      <c r="I39" s="8" t="n">
        <v>0</v>
      </c>
      <c r="J39" s="8" t="n">
        <v>2521692.144</v>
      </c>
      <c r="K39" s="8" t="n">
        <v>1994944</v>
      </c>
      <c r="L39" s="8" t="n">
        <v>0</v>
      </c>
      <c r="M39" s="8" t="n">
        <v>4516636.144</v>
      </c>
      <c r="N39" s="8" t="inlineStr"/>
    </row>
    <row r="40">
      <c r="A40" s="8" t="n">
        <v>16</v>
      </c>
      <c r="B40" s="11" t="inlineStr">
        <is>
          <t>BC.14108</t>
        </is>
      </c>
      <c r="C40" s="8" t="inlineStr">
        <is>
          <t>Bảo ôn ống đồng D28.6 dày 19mm</t>
        </is>
      </c>
      <c r="D40" s="12">
        <f>HYPERLINK("tt38://pl3/212", "👉 Phụ lục III - Trang 212 (Khớp nhóm BC.1410)")</f>
        <v/>
      </c>
      <c r="E40" s="8" t="inlineStr">
        <is>
          <t>100m</t>
        </is>
      </c>
      <c r="F40" s="8" t="n">
        <v>1.6</v>
      </c>
      <c r="G40" s="8" t="n">
        <v>3855685.53</v>
      </c>
      <c r="H40" s="8" t="n">
        <v>2732800</v>
      </c>
      <c r="I40" s="8" t="n">
        <v>0</v>
      </c>
      <c r="J40" s="8" t="n">
        <v>6169096.848</v>
      </c>
      <c r="K40" s="8" t="n">
        <v>4372480</v>
      </c>
      <c r="L40" s="8" t="n">
        <v>0</v>
      </c>
      <c r="M40" s="8" t="n">
        <v>10541576.848</v>
      </c>
      <c r="N40" s="8" t="inlineStr"/>
    </row>
    <row r="41">
      <c r="A41" s="8" t="n">
        <v>17</v>
      </c>
      <c r="B41" s="11" t="inlineStr">
        <is>
          <t>BC.14110</t>
        </is>
      </c>
      <c r="C41" s="8" t="inlineStr">
        <is>
          <t>Bảo ôn ống đồng D34.9 dày 19mm</t>
        </is>
      </c>
      <c r="D41" s="12">
        <f>HYPERLINK("tt38://pl3/212", "👉 Phụ lục III - Trang 212 (Khớp nhóm BC.141)")</f>
        <v/>
      </c>
      <c r="E41" s="8" t="inlineStr">
        <is>
          <t>100m</t>
        </is>
      </c>
      <c r="F41" s="8" t="n">
        <v>1.6</v>
      </c>
      <c r="G41" s="8" t="n">
        <v>4858835.835</v>
      </c>
      <c r="H41" s="8" t="n">
        <v>2822470</v>
      </c>
      <c r="I41" s="8" t="n">
        <v>0</v>
      </c>
      <c r="J41" s="8" t="n">
        <v>7774137.336</v>
      </c>
      <c r="K41" s="8" t="n">
        <v>4515952</v>
      </c>
      <c r="L41" s="8" t="n">
        <v>0</v>
      </c>
      <c r="M41" s="8" t="n">
        <v>12290089.336</v>
      </c>
      <c r="N41" s="8" t="inlineStr"/>
    </row>
    <row r="42">
      <c r="A42" s="8" t="n">
        <v>18</v>
      </c>
      <c r="B42" s="11" t="inlineStr">
        <is>
          <t>BC.14112</t>
        </is>
      </c>
      <c r="C42" s="8" t="inlineStr">
        <is>
          <t>Bảo ôn ống đồng D41.3 dày 19mm</t>
        </is>
      </c>
      <c r="D42" s="12">
        <f>HYPERLINK("tt38://pl3/212", "👉 Phụ lục III - Trang 212 (Khớp nhóm BC.141)")</f>
        <v/>
      </c>
      <c r="E42" s="8" t="inlineStr">
        <is>
          <t>100m</t>
        </is>
      </c>
      <c r="F42" s="8" t="n">
        <v>2.4</v>
      </c>
      <c r="G42" s="8" t="n">
        <v>5612661.21</v>
      </c>
      <c r="H42" s="8" t="n">
        <v>2971920</v>
      </c>
      <c r="I42" s="8" t="n">
        <v>0</v>
      </c>
      <c r="J42" s="8" t="n">
        <v>13470386.904</v>
      </c>
      <c r="K42" s="8" t="n">
        <v>7132608</v>
      </c>
      <c r="L42" s="8" t="n">
        <v>0</v>
      </c>
      <c r="M42" s="8" t="n">
        <v>20602994.904</v>
      </c>
      <c r="N42" s="8" t="inlineStr"/>
    </row>
    <row r="43">
      <c r="A43" s="8" t="inlineStr"/>
      <c r="B43" s="8" t="inlineStr"/>
      <c r="C43" s="8" t="inlineStr">
        <is>
          <t>TỔNG CỘNG: Ống đồng</t>
        </is>
      </c>
      <c r="E43" s="8" t="inlineStr"/>
      <c r="F43" s="8" t="inlineStr"/>
      <c r="G43" s="8" t="inlineStr"/>
      <c r="H43" s="8" t="inlineStr"/>
      <c r="I43" s="8" t="inlineStr"/>
      <c r="J43" s="8" t="n">
        <v>1157940943.901939</v>
      </c>
      <c r="K43" s="8" t="n">
        <v>588297969</v>
      </c>
      <c r="L43" s="8" t="n">
        <v>0</v>
      </c>
      <c r="M43" s="8" t="n">
        <v>1746238912.901939</v>
      </c>
      <c r="N43" s="8" t="n">
        <v>1</v>
      </c>
    </row>
    <row r="44">
      <c r="A44" s="8" t="inlineStr"/>
      <c r="B44" s="8" t="inlineStr">
        <is>
          <t>*</t>
        </is>
      </c>
      <c r="C44" s="8" t="inlineStr">
        <is>
          <t>Ống nước ngưng</t>
        </is>
      </c>
      <c r="E44" s="8" t="n">
        <v>0</v>
      </c>
      <c r="F44" s="8" t="n">
        <v>0</v>
      </c>
      <c r="G44" s="8" t="inlineStr"/>
      <c r="H44" s="8" t="inlineStr"/>
      <c r="I44" s="8" t="inlineStr"/>
      <c r="J44" s="8" t="inlineStr"/>
      <c r="K44" s="8" t="inlineStr"/>
      <c r="L44" s="8" t="inlineStr"/>
      <c r="M44" s="8" t="inlineStr"/>
      <c r="N44" s="8" t="inlineStr"/>
    </row>
    <row r="45">
      <c r="A45" s="8" t="n">
        <v>19</v>
      </c>
      <c r="B45" s="11" t="inlineStr">
        <is>
          <t>BB.41101</t>
        </is>
      </c>
      <c r="C45" s="8" t="inlineStr">
        <is>
          <t>Ống uPVC_D21</t>
        </is>
      </c>
      <c r="D45" s="12">
        <f>HYPERLINK("tt38://pl3/71", "👉 Phụ lục III - Trang 71 (Khớp nhóm BB.4110)")</f>
        <v/>
      </c>
      <c r="E45" s="8" t="inlineStr">
        <is>
          <t>100m</t>
        </is>
      </c>
      <c r="F45" s="8" t="n">
        <v>0.6</v>
      </c>
      <c r="G45" s="8" t="n">
        <v>851525.144</v>
      </c>
      <c r="H45" s="8" t="n">
        <v>1063230</v>
      </c>
      <c r="I45" s="8" t="n">
        <v>0</v>
      </c>
      <c r="J45" s="8" t="n">
        <v>510915.0864</v>
      </c>
      <c r="K45" s="8" t="n">
        <v>637938</v>
      </c>
      <c r="L45" s="8" t="n">
        <v>0</v>
      </c>
      <c r="M45" s="8" t="n">
        <v>1148853.0864</v>
      </c>
      <c r="N45" s="8" t="inlineStr"/>
    </row>
    <row r="46">
      <c r="A46" s="8" t="n">
        <v>20</v>
      </c>
      <c r="B46" s="11" t="inlineStr">
        <is>
          <t>BB.41102</t>
        </is>
      </c>
      <c r="C46" s="8" t="inlineStr">
        <is>
          <t>Ống uPVC_D27</t>
        </is>
      </c>
      <c r="D46" s="12">
        <f>HYPERLINK("tt38://pl3/71", "👉 Phụ lục III - Trang 71 (Khớp nhóm BB.4110)")</f>
        <v/>
      </c>
      <c r="E46" s="8" t="inlineStr">
        <is>
          <t>100m</t>
        </is>
      </c>
      <c r="F46" s="8" t="n">
        <v>17.6</v>
      </c>
      <c r="G46" s="8" t="n">
        <v>1165756.564</v>
      </c>
      <c r="H46" s="8" t="n">
        <v>1246840</v>
      </c>
      <c r="I46" s="8" t="n">
        <v>0</v>
      </c>
      <c r="J46" s="8" t="n">
        <v>20517315.5264</v>
      </c>
      <c r="K46" s="8" t="n">
        <v>21944384</v>
      </c>
      <c r="L46" s="8" t="n">
        <v>0</v>
      </c>
      <c r="M46" s="8" t="n">
        <v>42461699.5264</v>
      </c>
      <c r="N46" s="8" t="inlineStr"/>
    </row>
    <row r="47">
      <c r="A47" s="8" t="n">
        <v>21</v>
      </c>
      <c r="B47" s="11" t="inlineStr">
        <is>
          <t>BB.41103</t>
        </is>
      </c>
      <c r="C47" s="8" t="inlineStr">
        <is>
          <t>Ống uPVC_D34</t>
        </is>
      </c>
      <c r="D47" s="12">
        <f>HYPERLINK("tt38://pl3/71", "👉 Phụ lục III - Trang 71 (Khớp nhóm BB.4110)")</f>
        <v/>
      </c>
      <c r="E47" s="8" t="inlineStr">
        <is>
          <t>100m</t>
        </is>
      </c>
      <c r="F47" s="8" t="n">
        <v>3</v>
      </c>
      <c r="G47" s="8" t="n">
        <v>1469542.9396</v>
      </c>
      <c r="H47" s="8" t="n">
        <v>1498770</v>
      </c>
      <c r="I47" s="8" t="n">
        <v>0</v>
      </c>
      <c r="J47" s="8" t="n">
        <v>4408628.8188</v>
      </c>
      <c r="K47" s="8" t="n">
        <v>4496310</v>
      </c>
      <c r="L47" s="8" t="n">
        <v>0</v>
      </c>
      <c r="M47" s="8" t="n">
        <v>8904938.818799999</v>
      </c>
      <c r="N47" s="8" t="inlineStr"/>
    </row>
    <row r="48">
      <c r="A48" s="8" t="n">
        <v>22</v>
      </c>
      <c r="B48" s="11" t="inlineStr">
        <is>
          <t>BB.41104</t>
        </is>
      </c>
      <c r="C48" s="8" t="inlineStr">
        <is>
          <t>Ống uPVC_D42</t>
        </is>
      </c>
      <c r="D48" s="12">
        <f>HYPERLINK("tt38://pl3/71", "👉 Phụ lục III - Trang 71 (Khớp nhóm BB.4110)")</f>
        <v/>
      </c>
      <c r="E48" s="8" t="inlineStr">
        <is>
          <t>100m</t>
        </is>
      </c>
      <c r="F48" s="8" t="n">
        <v>3</v>
      </c>
      <c r="G48" s="8" t="n">
        <v>2288858.863</v>
      </c>
      <c r="H48" s="8" t="n">
        <v>1870260</v>
      </c>
      <c r="I48" s="8" t="n">
        <v>0</v>
      </c>
      <c r="J48" s="8" t="n">
        <v>6866576.589</v>
      </c>
      <c r="K48" s="8" t="n">
        <v>5610780</v>
      </c>
      <c r="L48" s="8" t="n">
        <v>0</v>
      </c>
      <c r="M48" s="8" t="n">
        <v>12477356.589</v>
      </c>
      <c r="N48" s="8" t="inlineStr"/>
    </row>
    <row r="49">
      <c r="A49" s="8" t="n">
        <v>23</v>
      </c>
      <c r="B49" s="11" t="inlineStr">
        <is>
          <t>BB.41105</t>
        </is>
      </c>
      <c r="C49" s="8" t="inlineStr">
        <is>
          <t>Ống uPVC_D48</t>
        </is>
      </c>
      <c r="D49" s="12">
        <f>HYPERLINK("tt38://pl3/71", "👉 Phụ lục III - Trang 71 (Khớp nhóm BB.4110)")</f>
        <v/>
      </c>
      <c r="E49" s="8" t="inlineStr">
        <is>
          <t>100m</t>
        </is>
      </c>
      <c r="F49" s="8" t="n">
        <v>2.5</v>
      </c>
      <c r="G49" s="8" t="n">
        <v>2765496.522</v>
      </c>
      <c r="H49" s="8" t="n">
        <v>2339960</v>
      </c>
      <c r="I49" s="8" t="n">
        <v>0</v>
      </c>
      <c r="J49" s="8" t="n">
        <v>6913741.305</v>
      </c>
      <c r="K49" s="8" t="n">
        <v>5849900</v>
      </c>
      <c r="L49" s="8" t="n">
        <v>0</v>
      </c>
      <c r="M49" s="8" t="n">
        <v>12763641.305</v>
      </c>
      <c r="N49" s="8" t="inlineStr"/>
    </row>
    <row r="50">
      <c r="A50" s="8" t="n">
        <v>24</v>
      </c>
      <c r="B50" s="11" t="inlineStr">
        <is>
          <t>BC.13102</t>
        </is>
      </c>
      <c r="C50" s="8" t="inlineStr">
        <is>
          <t>Bảo ôn ống uPVC D21 dày 13mm</t>
        </is>
      </c>
      <c r="D50" s="12">
        <f>HYPERLINK("tt38://pl3/204", "👉 Phụ lục III - Trang 204 (Khớp nhóm BC.1310)")</f>
        <v/>
      </c>
      <c r="E50" s="8" t="inlineStr">
        <is>
          <t>100m</t>
        </is>
      </c>
      <c r="F50" s="8" t="n">
        <v>0.6</v>
      </c>
      <c r="G50" s="8" t="n">
        <v>1627726.1</v>
      </c>
      <c r="H50" s="8" t="n">
        <v>3407460</v>
      </c>
      <c r="I50" s="8" t="n">
        <v>0</v>
      </c>
      <c r="J50" s="8" t="n">
        <v>976635.66</v>
      </c>
      <c r="K50" s="8" t="n">
        <v>2044476</v>
      </c>
      <c r="L50" s="8" t="n">
        <v>0</v>
      </c>
      <c r="M50" s="8" t="n">
        <v>3021111.66</v>
      </c>
      <c r="N50" s="8" t="inlineStr"/>
    </row>
    <row r="51">
      <c r="A51" s="8" t="n">
        <v>25</v>
      </c>
      <c r="B51" s="11" t="inlineStr">
        <is>
          <t>BC.13103</t>
        </is>
      </c>
      <c r="C51" s="8" t="inlineStr">
        <is>
          <t>Bảo ôn ống uPVC D27 dày 13mm</t>
        </is>
      </c>
      <c r="D51" s="12">
        <f>HYPERLINK("tt38://pl3/204", "👉 Phụ lục III - Trang 204 (Khớp nhóm BC.1310)")</f>
        <v/>
      </c>
      <c r="E51" s="8" t="inlineStr">
        <is>
          <t>100m</t>
        </is>
      </c>
      <c r="F51" s="8" t="n">
        <v>17.6</v>
      </c>
      <c r="G51" s="8" t="n">
        <v>1971469.5</v>
      </c>
      <c r="H51" s="8" t="n">
        <v>3655120</v>
      </c>
      <c r="I51" s="8" t="n">
        <v>0</v>
      </c>
      <c r="J51" s="8" t="n">
        <v>34697863.2</v>
      </c>
      <c r="K51" s="8" t="n">
        <v>64330112.00000001</v>
      </c>
      <c r="L51" s="8" t="n">
        <v>0</v>
      </c>
      <c r="M51" s="8" t="n">
        <v>99027975.20000002</v>
      </c>
      <c r="N51" s="8" t="inlineStr"/>
    </row>
    <row r="52">
      <c r="A52" s="8" t="n">
        <v>26</v>
      </c>
      <c r="B52" s="11" t="inlineStr">
        <is>
          <t>BC.13104</t>
        </is>
      </c>
      <c r="C52" s="8" t="inlineStr">
        <is>
          <t>Bảo ôn ống uPVC D34 dày 13mm</t>
        </is>
      </c>
      <c r="D52" s="12">
        <f>HYPERLINK("tt38://pl3/204", "👉 Phụ lục III - Trang 204 (Khớp nhóm BC.1310)")</f>
        <v/>
      </c>
      <c r="E52" s="8" t="inlineStr">
        <is>
          <t>100m</t>
        </is>
      </c>
      <c r="F52" s="8" t="n">
        <v>3</v>
      </c>
      <c r="G52" s="8" t="n">
        <v>2315212.9</v>
      </c>
      <c r="H52" s="8" t="n">
        <v>3885700</v>
      </c>
      <c r="I52" s="8" t="n">
        <v>0</v>
      </c>
      <c r="J52" s="8" t="n">
        <v>6945638.699999999</v>
      </c>
      <c r="K52" s="8" t="n">
        <v>11657100</v>
      </c>
      <c r="L52" s="8" t="n">
        <v>0</v>
      </c>
      <c r="M52" s="8" t="n">
        <v>18602738.7</v>
      </c>
      <c r="N52" s="8" t="inlineStr"/>
    </row>
    <row r="53">
      <c r="A53" s="8" t="n">
        <v>27</v>
      </c>
      <c r="B53" s="11" t="inlineStr">
        <is>
          <t>BC.13105</t>
        </is>
      </c>
      <c r="C53" s="8" t="inlineStr">
        <is>
          <t>Bảo ôn ống uPVC D42 dày 13mm</t>
        </is>
      </c>
      <c r="D53" s="12">
        <f>HYPERLINK("tt38://pl3/204", "👉 Phụ lục III - Trang 204 (Khớp nhóm BC.1310)")</f>
        <v/>
      </c>
      <c r="E53" s="8" t="inlineStr">
        <is>
          <t>100m</t>
        </is>
      </c>
      <c r="F53" s="8" t="n">
        <v>3</v>
      </c>
      <c r="G53" s="8" t="n">
        <v>2952149.2</v>
      </c>
      <c r="H53" s="8" t="n">
        <v>4270000</v>
      </c>
      <c r="I53" s="8" t="n">
        <v>0</v>
      </c>
      <c r="J53" s="8" t="n">
        <v>8856447.600000001</v>
      </c>
      <c r="K53" s="8" t="n">
        <v>12810000</v>
      </c>
      <c r="L53" s="8" t="n">
        <v>0</v>
      </c>
      <c r="M53" s="8" t="n">
        <v>21666447.6</v>
      </c>
      <c r="N53" s="8" t="inlineStr"/>
    </row>
    <row r="54">
      <c r="A54" s="8" t="n">
        <v>28</v>
      </c>
      <c r="B54" s="11" t="inlineStr">
        <is>
          <t>BC.13106</t>
        </is>
      </c>
      <c r="C54" s="8" t="inlineStr">
        <is>
          <t>Bảo ôn ống uPVC D48 dày 13mm</t>
        </is>
      </c>
      <c r="D54" s="12">
        <f>HYPERLINK("tt38://pl3/204", "👉 Phụ lục III - Trang 204 (Khớp nhóm BC.1310)")</f>
        <v/>
      </c>
      <c r="E54" s="8" t="inlineStr">
        <is>
          <t>100m</t>
        </is>
      </c>
      <c r="F54" s="8" t="n">
        <v>2.5</v>
      </c>
      <c r="G54" s="8" t="n">
        <v>3245342.1</v>
      </c>
      <c r="H54" s="8" t="n">
        <v>4526200</v>
      </c>
      <c r="I54" s="8" t="n">
        <v>0</v>
      </c>
      <c r="J54" s="8" t="n">
        <v>8113355.25</v>
      </c>
      <c r="K54" s="8" t="n">
        <v>11315500</v>
      </c>
      <c r="L54" s="8" t="n">
        <v>0</v>
      </c>
      <c r="M54" s="8" t="n">
        <v>19428855.25</v>
      </c>
      <c r="N54" s="8" t="inlineStr"/>
    </row>
    <row r="55">
      <c r="A55" s="8" t="inlineStr"/>
      <c r="B55" s="8" t="inlineStr"/>
      <c r="C55" s="8" t="inlineStr">
        <is>
          <t>TỔNG CỘNG: Ống nước ngưng</t>
        </is>
      </c>
      <c r="E55" s="8" t="inlineStr"/>
      <c r="F55" s="8" t="inlineStr"/>
      <c r="G55" s="8" t="inlineStr"/>
      <c r="H55" s="8" t="inlineStr"/>
      <c r="I55" s="8" t="inlineStr"/>
      <c r="J55" s="8" t="n">
        <v>98807117.73559999</v>
      </c>
      <c r="K55" s="8" t="n">
        <v>140696500</v>
      </c>
      <c r="L55" s="8" t="n">
        <v>0</v>
      </c>
      <c r="M55" s="8" t="n">
        <v>239503617.7356</v>
      </c>
      <c r="N55" s="8" t="n">
        <v>1</v>
      </c>
    </row>
    <row r="56">
      <c r="A56" s="8" t="inlineStr"/>
      <c r="B56" s="8" t="inlineStr">
        <is>
          <t>*</t>
        </is>
      </c>
      <c r="C56" s="8" t="inlineStr">
        <is>
          <t>Dây điện</t>
        </is>
      </c>
      <c r="E56" s="8" t="n">
        <v>0</v>
      </c>
      <c r="F56" s="8" t="n">
        <v>0</v>
      </c>
      <c r="G56" s="8" t="inlineStr"/>
      <c r="H56" s="8" t="inlineStr"/>
      <c r="I56" s="8" t="inlineStr"/>
      <c r="J56" s="8" t="inlineStr"/>
      <c r="K56" s="8" t="inlineStr"/>
      <c r="L56" s="8" t="inlineStr"/>
      <c r="M56" s="8" t="inlineStr"/>
      <c r="N56" s="8" t="inlineStr"/>
    </row>
    <row r="57">
      <c r="A57" s="8" t="n">
        <v>29</v>
      </c>
      <c r="B57" s="11" t="inlineStr">
        <is>
          <t>BA.16201</t>
        </is>
      </c>
      <c r="C57" s="8" t="inlineStr">
        <is>
          <t>Dây điện_Cu/PVC_2x(1x0.75)mm2</t>
        </is>
      </c>
      <c r="D57" s="12">
        <f>HYPERLINK("tt38://pl3/14", "👉 Phụ lục III - Trang 14 (Khớp nhóm BA.1620)")</f>
        <v/>
      </c>
      <c r="E57" s="8" t="inlineStr">
        <is>
          <t>m</t>
        </is>
      </c>
      <c r="F57" s="8" t="n">
        <v>1300</v>
      </c>
      <c r="G57" s="8" t="n">
        <v>9006.9174</v>
      </c>
      <c r="H57" s="8" t="n">
        <v>9821</v>
      </c>
      <c r="I57" s="8" t="n">
        <v>0</v>
      </c>
      <c r="J57" s="8" t="n">
        <v>11708992.62</v>
      </c>
      <c r="K57" s="8" t="n">
        <v>12767300</v>
      </c>
      <c r="L57" s="8" t="n">
        <v>0</v>
      </c>
      <c r="M57" s="8" t="n">
        <v>24476292.62</v>
      </c>
      <c r="N57" s="8" t="inlineStr"/>
    </row>
    <row r="58">
      <c r="A58" s="8" t="n">
        <v>30</v>
      </c>
      <c r="B58" s="11" t="inlineStr">
        <is>
          <t>BA.16202</t>
        </is>
      </c>
      <c r="C58" s="8" t="inlineStr">
        <is>
          <t>Dây điện_Cu/PVC_2x(1x1.5)mm2</t>
        </is>
      </c>
      <c r="D58" s="12">
        <f>HYPERLINK("tt38://pl3/14", "👉 Phụ lục III - Trang 14 (Khớp nhóm BA.1620)")</f>
        <v/>
      </c>
      <c r="E58" s="8" t="inlineStr">
        <is>
          <t>m</t>
        </is>
      </c>
      <c r="F58" s="8" t="n">
        <v>4660</v>
      </c>
      <c r="G58" s="8" t="n">
        <v>15661.7165</v>
      </c>
      <c r="H58" s="8" t="n">
        <v>11956</v>
      </c>
      <c r="I58" s="8" t="n">
        <v>0</v>
      </c>
      <c r="J58" s="8" t="n">
        <v>72983598.89</v>
      </c>
      <c r="K58" s="8" t="n">
        <v>55714960</v>
      </c>
      <c r="L58" s="8" t="n">
        <v>0</v>
      </c>
      <c r="M58" s="8" t="n">
        <v>128698558.89</v>
      </c>
      <c r="N58" s="8" t="inlineStr"/>
    </row>
    <row r="59">
      <c r="A59" s="8" t="n">
        <v>31</v>
      </c>
      <c r="B59" s="11" t="inlineStr">
        <is>
          <t>BA.16202</t>
        </is>
      </c>
      <c r="C59" s="8" t="inlineStr">
        <is>
          <t>Dây điện_Cu/PVC_2x(1x2.5)mm2</t>
        </is>
      </c>
      <c r="D59" s="12">
        <f>HYPERLINK("tt38://pl3/14", "👉 Phụ lục III - Trang 14 (Khớp nhóm BA.1620)")</f>
        <v/>
      </c>
      <c r="E59" s="8" t="inlineStr">
        <is>
          <t>m</t>
        </is>
      </c>
      <c r="F59" s="8" t="n">
        <v>4660</v>
      </c>
      <c r="G59" s="8" t="n">
        <v>25582.0173</v>
      </c>
      <c r="H59" s="8" t="n">
        <v>11956</v>
      </c>
      <c r="I59" s="8" t="n">
        <v>0</v>
      </c>
      <c r="J59" s="8" t="n">
        <v>119212200.618</v>
      </c>
      <c r="K59" s="8" t="n">
        <v>55714960</v>
      </c>
      <c r="L59" s="8" t="n">
        <v>0</v>
      </c>
      <c r="M59" s="8" t="n">
        <v>174927160.618</v>
      </c>
      <c r="N59" s="8" t="inlineStr"/>
    </row>
    <row r="60">
      <c r="A60" s="8" t="n">
        <v>32</v>
      </c>
      <c r="B60" s="11" t="inlineStr">
        <is>
          <t>BA.16202</t>
        </is>
      </c>
      <c r="C60" s="8" t="inlineStr">
        <is>
          <t>Dây điện_Cu/PVC_2x(1x4.0)mm2</t>
        </is>
      </c>
      <c r="D60" s="12">
        <f>HYPERLINK("tt38://pl3/14", "👉 Phụ lục III - Trang 14 (Khớp nhóm BA.1620)")</f>
        <v/>
      </c>
      <c r="E60" s="8" t="inlineStr">
        <is>
          <t>m</t>
        </is>
      </c>
      <c r="F60" s="8" t="n">
        <v>4000</v>
      </c>
      <c r="G60" s="8" t="n">
        <v>40875.4676</v>
      </c>
      <c r="H60" s="8" t="n">
        <v>11956</v>
      </c>
      <c r="I60" s="8" t="n">
        <v>0</v>
      </c>
      <c r="J60" s="8" t="n">
        <v>163501870.4</v>
      </c>
      <c r="K60" s="8" t="n">
        <v>47824000</v>
      </c>
      <c r="L60" s="8" t="n">
        <v>0</v>
      </c>
      <c r="M60" s="8" t="n">
        <v>211325870.4</v>
      </c>
      <c r="N60" s="8" t="inlineStr"/>
    </row>
    <row r="61">
      <c r="A61" s="8" t="inlineStr"/>
      <c r="B61" s="8" t="inlineStr"/>
      <c r="C61" s="8" t="inlineStr">
        <is>
          <t>TỔNG CỘNG: Dây điện</t>
        </is>
      </c>
      <c r="E61" s="8" t="inlineStr"/>
      <c r="F61" s="8" t="inlineStr"/>
      <c r="G61" s="8" t="inlineStr"/>
      <c r="H61" s="8" t="inlineStr"/>
      <c r="I61" s="8" t="inlineStr"/>
      <c r="J61" s="8" t="n">
        <v>367406662.528</v>
      </c>
      <c r="K61" s="8" t="n">
        <v>172021220</v>
      </c>
      <c r="L61" s="8" t="n">
        <v>0</v>
      </c>
      <c r="M61" s="8" t="n">
        <v>539427882.528</v>
      </c>
      <c r="N61" s="8" t="n">
        <v>1</v>
      </c>
    </row>
    <row r="62">
      <c r="A62" s="8" t="inlineStr"/>
      <c r="B62" s="8" t="inlineStr"/>
      <c r="C62" s="8" t="inlineStr">
        <is>
          <t>TỔNG HẠNG MỤC</t>
        </is>
      </c>
      <c r="E62" s="8" t="inlineStr"/>
      <c r="F62" s="8" t="inlineStr"/>
      <c r="G62" s="8" t="inlineStr"/>
      <c r="H62" s="8" t="inlineStr"/>
      <c r="I62" s="8" t="inlineStr"/>
      <c r="J62" s="8" t="n">
        <v>1624154724.165539</v>
      </c>
      <c r="K62" s="8" t="n">
        <v>901015689</v>
      </c>
      <c r="L62" s="8" t="n">
        <v>0</v>
      </c>
      <c r="M62" s="8" t="n">
        <v>2525170413.165539</v>
      </c>
      <c r="N62" s="8" t="inlineStr"/>
    </row>
    <row r="63">
      <c r="A63" s="8" t="inlineStr"/>
      <c r="B63" s="8" t="inlineStr"/>
      <c r="C63" s="8" t="inlineStr">
        <is>
          <t>TỔNG CÔNG TRÌNH</t>
        </is>
      </c>
      <c r="E63" s="8" t="inlineStr"/>
      <c r="F63" s="8" t="inlineStr"/>
      <c r="G63" s="8" t="inlineStr"/>
      <c r="H63" s="8" t="inlineStr"/>
      <c r="I63" s="8" t="inlineStr"/>
      <c r="J63" s="8" t="n">
        <v>1723598844</v>
      </c>
      <c r="K63" s="8" t="n">
        <v>1095830724</v>
      </c>
      <c r="L63" s="8" t="n">
        <v>6466834</v>
      </c>
      <c r="M63" s="8" t="n">
        <v>2825896402</v>
      </c>
      <c r="N63" s="8" t="inlineStr"/>
    </row>
    <row r="64">
      <c r="A64" s="8" t="inlineStr"/>
      <c r="B64" s="8" t="inlineStr"/>
      <c r="C64" s="8" t="inlineStr">
        <is>
          <t>LÀM TRÒN</t>
        </is>
      </c>
      <c r="E64" s="8" t="inlineStr"/>
      <c r="F64" s="8" t="inlineStr"/>
      <c r="G64" s="8" t="inlineStr"/>
      <c r="H64" s="8" t="inlineStr"/>
      <c r="I64" s="8" t="inlineStr"/>
      <c r="J64" s="8" t="n">
        <v>1723599000</v>
      </c>
      <c r="K64" s="8" t="n">
        <v>1095831000</v>
      </c>
      <c r="L64" s="8" t="n">
        <v>6467000</v>
      </c>
      <c r="M64" s="8" t="n">
        <v>2825896000</v>
      </c>
      <c r="N64" s="8" t="inlineStr"/>
    </row>
  </sheetData>
  <hyperlinks>
    <hyperlink xmlns:r="http://schemas.openxmlformats.org/officeDocument/2006/relationships" ref="B6" r:id="rId1"/>
    <hyperlink xmlns:r="http://schemas.openxmlformats.org/officeDocument/2006/relationships" ref="D6" r:id="rId2"/>
    <hyperlink xmlns:r="http://schemas.openxmlformats.org/officeDocument/2006/relationships" ref="B7" r:id="rId3"/>
    <hyperlink xmlns:r="http://schemas.openxmlformats.org/officeDocument/2006/relationships" ref="D7" r:id="rId4"/>
    <hyperlink xmlns:r="http://schemas.openxmlformats.org/officeDocument/2006/relationships" ref="B8" r:id="rId5"/>
    <hyperlink xmlns:r="http://schemas.openxmlformats.org/officeDocument/2006/relationships" ref="D8" r:id="rId6"/>
    <hyperlink xmlns:r="http://schemas.openxmlformats.org/officeDocument/2006/relationships" ref="B9" r:id="rId7"/>
    <hyperlink xmlns:r="http://schemas.openxmlformats.org/officeDocument/2006/relationships" ref="D9" r:id="rId8"/>
    <hyperlink xmlns:r="http://schemas.openxmlformats.org/officeDocument/2006/relationships" ref="B10" r:id="rId9"/>
    <hyperlink xmlns:r="http://schemas.openxmlformats.org/officeDocument/2006/relationships" ref="D10" r:id="rId10"/>
    <hyperlink xmlns:r="http://schemas.openxmlformats.org/officeDocument/2006/relationships" ref="B11" r:id="rId11"/>
    <hyperlink xmlns:r="http://schemas.openxmlformats.org/officeDocument/2006/relationships" ref="D11" r:id="rId12"/>
    <hyperlink xmlns:r="http://schemas.openxmlformats.org/officeDocument/2006/relationships" ref="B12" r:id="rId13"/>
    <hyperlink xmlns:r="http://schemas.openxmlformats.org/officeDocument/2006/relationships" ref="D12" r:id="rId14"/>
    <hyperlink xmlns:r="http://schemas.openxmlformats.org/officeDocument/2006/relationships" ref="B13" r:id="rId15"/>
    <hyperlink xmlns:r="http://schemas.openxmlformats.org/officeDocument/2006/relationships" ref="D13" r:id="rId16"/>
    <hyperlink xmlns:r="http://schemas.openxmlformats.org/officeDocument/2006/relationships" ref="B14" r:id="rId17"/>
    <hyperlink xmlns:r="http://schemas.openxmlformats.org/officeDocument/2006/relationships" ref="D14" r:id="rId18"/>
    <hyperlink xmlns:r="http://schemas.openxmlformats.org/officeDocument/2006/relationships" ref="B15" r:id="rId19"/>
    <hyperlink xmlns:r="http://schemas.openxmlformats.org/officeDocument/2006/relationships" ref="D15" r:id="rId20"/>
    <hyperlink xmlns:r="http://schemas.openxmlformats.org/officeDocument/2006/relationships" ref="B16" r:id="rId21"/>
    <hyperlink xmlns:r="http://schemas.openxmlformats.org/officeDocument/2006/relationships" ref="D16" r:id="rId22"/>
    <hyperlink xmlns:r="http://schemas.openxmlformats.org/officeDocument/2006/relationships" ref="B17" r:id="rId23"/>
    <hyperlink xmlns:r="http://schemas.openxmlformats.org/officeDocument/2006/relationships" ref="D17" r:id="rId24"/>
    <hyperlink xmlns:r="http://schemas.openxmlformats.org/officeDocument/2006/relationships" ref="B25" r:id="rId25"/>
    <hyperlink xmlns:r="http://schemas.openxmlformats.org/officeDocument/2006/relationships" ref="D25" r:id="rId26"/>
    <hyperlink xmlns:r="http://schemas.openxmlformats.org/officeDocument/2006/relationships" ref="B26" r:id="rId27"/>
    <hyperlink xmlns:r="http://schemas.openxmlformats.org/officeDocument/2006/relationships" ref="D26" r:id="rId28"/>
    <hyperlink xmlns:r="http://schemas.openxmlformats.org/officeDocument/2006/relationships" ref="B27" r:id="rId29"/>
    <hyperlink xmlns:r="http://schemas.openxmlformats.org/officeDocument/2006/relationships" ref="D27" r:id="rId30"/>
    <hyperlink xmlns:r="http://schemas.openxmlformats.org/officeDocument/2006/relationships" ref="B28" r:id="rId31"/>
    <hyperlink xmlns:r="http://schemas.openxmlformats.org/officeDocument/2006/relationships" ref="D28" r:id="rId32"/>
    <hyperlink xmlns:r="http://schemas.openxmlformats.org/officeDocument/2006/relationships" ref="B29" r:id="rId33"/>
    <hyperlink xmlns:r="http://schemas.openxmlformats.org/officeDocument/2006/relationships" ref="D29" r:id="rId34"/>
    <hyperlink xmlns:r="http://schemas.openxmlformats.org/officeDocument/2006/relationships" ref="B30" r:id="rId35"/>
    <hyperlink xmlns:r="http://schemas.openxmlformats.org/officeDocument/2006/relationships" ref="D30" r:id="rId36"/>
    <hyperlink xmlns:r="http://schemas.openxmlformats.org/officeDocument/2006/relationships" ref="B31" r:id="rId37"/>
    <hyperlink xmlns:r="http://schemas.openxmlformats.org/officeDocument/2006/relationships" ref="D31" r:id="rId38"/>
    <hyperlink xmlns:r="http://schemas.openxmlformats.org/officeDocument/2006/relationships" ref="B32" r:id="rId39"/>
    <hyperlink xmlns:r="http://schemas.openxmlformats.org/officeDocument/2006/relationships" ref="D32" r:id="rId40"/>
    <hyperlink xmlns:r="http://schemas.openxmlformats.org/officeDocument/2006/relationships" ref="B33" r:id="rId41"/>
    <hyperlink xmlns:r="http://schemas.openxmlformats.org/officeDocument/2006/relationships" ref="D33" r:id="rId42"/>
    <hyperlink xmlns:r="http://schemas.openxmlformats.org/officeDocument/2006/relationships" ref="B34" r:id="rId43"/>
    <hyperlink xmlns:r="http://schemas.openxmlformats.org/officeDocument/2006/relationships" ref="D34" r:id="rId44"/>
    <hyperlink xmlns:r="http://schemas.openxmlformats.org/officeDocument/2006/relationships" ref="B35" r:id="rId45"/>
    <hyperlink xmlns:r="http://schemas.openxmlformats.org/officeDocument/2006/relationships" ref="D35" r:id="rId46"/>
    <hyperlink xmlns:r="http://schemas.openxmlformats.org/officeDocument/2006/relationships" ref="B36" r:id="rId47"/>
    <hyperlink xmlns:r="http://schemas.openxmlformats.org/officeDocument/2006/relationships" ref="D36" r:id="rId48"/>
    <hyperlink xmlns:r="http://schemas.openxmlformats.org/officeDocument/2006/relationships" ref="B37" r:id="rId49"/>
    <hyperlink xmlns:r="http://schemas.openxmlformats.org/officeDocument/2006/relationships" ref="D37" r:id="rId50"/>
    <hyperlink xmlns:r="http://schemas.openxmlformats.org/officeDocument/2006/relationships" ref="B38" r:id="rId51"/>
    <hyperlink xmlns:r="http://schemas.openxmlformats.org/officeDocument/2006/relationships" ref="D38" r:id="rId52"/>
    <hyperlink xmlns:r="http://schemas.openxmlformats.org/officeDocument/2006/relationships" ref="B39" r:id="rId53"/>
    <hyperlink xmlns:r="http://schemas.openxmlformats.org/officeDocument/2006/relationships" ref="D39" r:id="rId54"/>
    <hyperlink xmlns:r="http://schemas.openxmlformats.org/officeDocument/2006/relationships" ref="B40" r:id="rId55"/>
    <hyperlink xmlns:r="http://schemas.openxmlformats.org/officeDocument/2006/relationships" ref="D40" r:id="rId56"/>
    <hyperlink xmlns:r="http://schemas.openxmlformats.org/officeDocument/2006/relationships" ref="B41" r:id="rId57"/>
    <hyperlink xmlns:r="http://schemas.openxmlformats.org/officeDocument/2006/relationships" ref="D41" r:id="rId58"/>
    <hyperlink xmlns:r="http://schemas.openxmlformats.org/officeDocument/2006/relationships" ref="B42" r:id="rId59"/>
    <hyperlink xmlns:r="http://schemas.openxmlformats.org/officeDocument/2006/relationships" ref="D42" r:id="rId60"/>
    <hyperlink xmlns:r="http://schemas.openxmlformats.org/officeDocument/2006/relationships" ref="B45" r:id="rId61"/>
    <hyperlink xmlns:r="http://schemas.openxmlformats.org/officeDocument/2006/relationships" ref="D45" r:id="rId62"/>
    <hyperlink xmlns:r="http://schemas.openxmlformats.org/officeDocument/2006/relationships" ref="B46" r:id="rId63"/>
    <hyperlink xmlns:r="http://schemas.openxmlformats.org/officeDocument/2006/relationships" ref="D46" r:id="rId64"/>
    <hyperlink xmlns:r="http://schemas.openxmlformats.org/officeDocument/2006/relationships" ref="B47" r:id="rId65"/>
    <hyperlink xmlns:r="http://schemas.openxmlformats.org/officeDocument/2006/relationships" ref="D47" r:id="rId66"/>
    <hyperlink xmlns:r="http://schemas.openxmlformats.org/officeDocument/2006/relationships" ref="B48" r:id="rId67"/>
    <hyperlink xmlns:r="http://schemas.openxmlformats.org/officeDocument/2006/relationships" ref="D48" r:id="rId68"/>
    <hyperlink xmlns:r="http://schemas.openxmlformats.org/officeDocument/2006/relationships" ref="B49" r:id="rId69"/>
    <hyperlink xmlns:r="http://schemas.openxmlformats.org/officeDocument/2006/relationships" ref="D49" r:id="rId70"/>
    <hyperlink xmlns:r="http://schemas.openxmlformats.org/officeDocument/2006/relationships" ref="B50" r:id="rId71"/>
    <hyperlink xmlns:r="http://schemas.openxmlformats.org/officeDocument/2006/relationships" ref="D50" r:id="rId72"/>
    <hyperlink xmlns:r="http://schemas.openxmlformats.org/officeDocument/2006/relationships" ref="B51" r:id="rId73"/>
    <hyperlink xmlns:r="http://schemas.openxmlformats.org/officeDocument/2006/relationships" ref="D51" r:id="rId74"/>
    <hyperlink xmlns:r="http://schemas.openxmlformats.org/officeDocument/2006/relationships" ref="B52" r:id="rId75"/>
    <hyperlink xmlns:r="http://schemas.openxmlformats.org/officeDocument/2006/relationships" ref="D52" r:id="rId76"/>
    <hyperlink xmlns:r="http://schemas.openxmlformats.org/officeDocument/2006/relationships" ref="B53" r:id="rId77"/>
    <hyperlink xmlns:r="http://schemas.openxmlformats.org/officeDocument/2006/relationships" ref="D53" r:id="rId78"/>
    <hyperlink xmlns:r="http://schemas.openxmlformats.org/officeDocument/2006/relationships" ref="B54" r:id="rId79"/>
    <hyperlink xmlns:r="http://schemas.openxmlformats.org/officeDocument/2006/relationships" ref="D54" r:id="rId80"/>
    <hyperlink xmlns:r="http://schemas.openxmlformats.org/officeDocument/2006/relationships" ref="B57" r:id="rId81"/>
    <hyperlink xmlns:r="http://schemas.openxmlformats.org/officeDocument/2006/relationships" ref="D57" r:id="rId82"/>
    <hyperlink xmlns:r="http://schemas.openxmlformats.org/officeDocument/2006/relationships" ref="B58" r:id="rId83"/>
    <hyperlink xmlns:r="http://schemas.openxmlformats.org/officeDocument/2006/relationships" ref="D58" r:id="rId84"/>
    <hyperlink xmlns:r="http://schemas.openxmlformats.org/officeDocument/2006/relationships" ref="B59" r:id="rId85"/>
    <hyperlink xmlns:r="http://schemas.openxmlformats.org/officeDocument/2006/relationships" ref="D59" r:id="rId86"/>
    <hyperlink xmlns:r="http://schemas.openxmlformats.org/officeDocument/2006/relationships" ref="B60" r:id="rId87"/>
    <hyperlink xmlns:r="http://schemas.openxmlformats.org/officeDocument/2006/relationships" ref="D60" r:id="rId88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80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36" customWidth="1" min="3" max="3"/>
    <col width="38" customWidth="1" min="4" max="4"/>
    <col width="12" customWidth="1" min="5" max="5"/>
    <col width="22" customWidth="1" min="6" max="6"/>
    <col width="15" customWidth="1" min="7" max="7"/>
    <col width="18" customWidth="1" min="8" max="8"/>
    <col width="15" customWidth="1" min="9" max="9"/>
    <col width="21" customWidth="1" min="10" max="10"/>
    <col width="12" customWidth="1" min="11" max="11"/>
    <col width="21" customWidth="1" min="12" max="12"/>
    <col width="21" customWidth="1" min="13" max="13"/>
    <col width="30" customWidth="1" min="14" max="14"/>
    <col width="18" customWidth="1" min="15" max="15"/>
    <col width="15" customWidth="1" min="16" max="16"/>
    <col width="21" customWidth="1" min="17" max="17"/>
    <col width="18" customWidth="1" min="18" max="18"/>
    <col width="21" customWidth="1" min="19" max="19"/>
    <col width="50" customWidth="1" min="20" max="20"/>
    <col width="21" customWidth="1" min="21" max="21"/>
    <col width="12" customWidth="1" min="22" max="22"/>
  </cols>
  <sheetData>
    <row r="1">
      <c r="A1" s="8" t="inlineStr">
        <is>
          <t>BẢNG TỔNG HỢP VẬT TƯ VÀ CHÊNH LỆCH GIÁ</t>
        </is>
      </c>
      <c r="B1" s="8" t="inlineStr"/>
      <c r="C1" s="8" t="inlineStr"/>
      <c r="E1" s="8" t="inlineStr"/>
      <c r="F1" s="8" t="inlineStr"/>
      <c r="G1" s="8" t="inlineStr"/>
      <c r="H1" s="8" t="inlineStr"/>
      <c r="I1" s="8" t="inlineStr"/>
      <c r="J1" s="8" t="inlineStr"/>
      <c r="K1" s="8" t="inlineStr"/>
      <c r="L1" s="8" t="inlineStr"/>
      <c r="M1" s="8" t="inlineStr"/>
      <c r="N1" s="8" t="inlineStr"/>
      <c r="O1" s="8" t="inlineStr"/>
      <c r="P1" s="8" t="inlineStr"/>
      <c r="Q1" s="8" t="inlineStr"/>
      <c r="R1" s="8" t="inlineStr"/>
      <c r="S1" s="8" t="inlineStr"/>
      <c r="T1" s="8" t="inlineStr"/>
      <c r="U1" s="8" t="inlineStr"/>
      <c r="V1" s="8" t="inlineStr"/>
    </row>
    <row r="2">
      <c r="A2" s="8" t="inlineStr">
        <is>
          <t>DỰ ÁN: XÂY DỰNG NHÀ Ở CHO LỰC LƯỢNG VŨ TRANG CÔNG AN NHÂN DÂN 
TẠI Ô ĐẤT NO1 THUỘC LÔ ĐẤT D12 KHU ĐÔ THỊ MỚI CẦU GIẤY, PHƯỜNG CẦU GIẤY, THÀNH PHỐ HÀ NỘI</t>
        </is>
      </c>
      <c r="B2" s="8" t="inlineStr"/>
      <c r="C2" s="8" t="inlineStr"/>
      <c r="E2" s="8" t="inlineStr"/>
      <c r="F2" s="8" t="inlineStr"/>
      <c r="G2" s="8" t="inlineStr"/>
      <c r="H2" s="8" t="inlineStr"/>
      <c r="I2" s="8" t="inlineStr"/>
      <c r="J2" s="8" t="inlineStr"/>
      <c r="K2" s="8" t="inlineStr"/>
      <c r="L2" s="8" t="inlineStr"/>
      <c r="M2" s="8" t="inlineStr"/>
      <c r="N2" s="8" t="inlineStr"/>
      <c r="O2" s="8" t="inlineStr"/>
      <c r="P2" s="8" t="inlineStr"/>
      <c r="Q2" s="8" t="inlineStr"/>
      <c r="R2" s="8" t="inlineStr"/>
      <c r="S2" s="8" t="inlineStr"/>
      <c r="T2" s="8" t="inlineStr"/>
      <c r="U2" s="8" t="inlineStr"/>
      <c r="V2" s="8" t="inlineStr"/>
    </row>
    <row r="3">
      <c r="A3" s="8" t="inlineStr">
        <is>
          <t>HẠNG MỤC: ĐIỀU HÒA KHÔNG KHÍ - LẮP ĐẶT THIẾT BỊ</t>
        </is>
      </c>
      <c r="B3" s="8" t="inlineStr"/>
      <c r="C3" s="8" t="inlineStr"/>
      <c r="E3" s="8" t="inlineStr"/>
      <c r="F3" s="8" t="inlineStr"/>
      <c r="G3" s="8" t="inlineStr"/>
      <c r="H3" s="8" t="inlineStr"/>
      <c r="I3" s="8" t="inlineStr"/>
      <c r="J3" s="8" t="inlineStr"/>
      <c r="K3" s="8" t="inlineStr"/>
      <c r="L3" s="8" t="inlineStr"/>
      <c r="M3" s="8" t="inlineStr"/>
      <c r="N3" s="8" t="inlineStr"/>
      <c r="O3" s="8" t="inlineStr"/>
      <c r="P3" s="8" t="inlineStr"/>
      <c r="Q3" s="8" t="inlineStr"/>
      <c r="R3" s="8" t="inlineStr"/>
      <c r="S3" s="8" t="inlineStr"/>
      <c r="T3" s="8" t="inlineStr"/>
      <c r="U3" s="8" t="inlineStr"/>
      <c r="V3" s="8" t="inlineStr"/>
    </row>
    <row r="4">
      <c r="A4" s="8" t="inlineStr">
        <is>
          <t>STT</t>
        </is>
      </c>
      <c r="B4" s="8" t="inlineStr">
        <is>
          <t>Mã số</t>
        </is>
      </c>
      <c r="C4" s="8" t="inlineStr">
        <is>
          <t>Tên vật tư</t>
        </is>
      </c>
      <c r="D4" s="10" t="inlineStr">
        <is>
          <t>LINK TRA CỨU TT 38/2026/TT-BXD</t>
        </is>
      </c>
      <c r="E4" s="8" t="inlineStr">
        <is>
          <t>Đơn vị</t>
        </is>
      </c>
      <c r="F4" s="8" t="inlineStr">
        <is>
          <t>Khối lượng</t>
        </is>
      </c>
      <c r="G4" s="8" t="inlineStr">
        <is>
          <t>Giá gốc
(đ)</t>
        </is>
      </c>
      <c r="H4" s="8" t="inlineStr">
        <is>
          <t>Thành tiền
(đ)</t>
        </is>
      </c>
      <c r="I4" s="8" t="inlineStr">
        <is>
          <t>Giá T.B
(đ)</t>
        </is>
      </c>
      <c r="J4" s="8" t="inlineStr">
        <is>
          <t>Thành tiền
(đ)</t>
        </is>
      </c>
      <c r="K4" s="8" t="inlineStr">
        <is>
          <t>Hệ số</t>
        </is>
      </c>
      <c r="L4" s="8" t="inlineStr">
        <is>
          <t>Giá T.B x H.S
(đ)</t>
        </is>
      </c>
      <c r="M4" s="8" t="inlineStr">
        <is>
          <t>Thành tiền
(đ)</t>
        </is>
      </c>
      <c r="N4" s="8" t="inlineStr">
        <is>
          <t>Cước V.C
Bù NL, lương
(đ)</t>
        </is>
      </c>
      <c r="O4" s="8" t="inlineStr">
        <is>
          <t>Thành tiền
(đ)</t>
        </is>
      </c>
      <c r="P4" s="8" t="inlineStr">
        <is>
          <t>Giá H.T
(đ)</t>
        </is>
      </c>
      <c r="Q4" s="8" t="inlineStr">
        <is>
          <t>Thành tiền
(đ)</t>
        </is>
      </c>
      <c r="R4" s="8" t="inlineStr">
        <is>
          <t>Chênh lệch
(đ)</t>
        </is>
      </c>
      <c r="S4" s="8" t="inlineStr">
        <is>
          <t>Tổng chênh
(đ)</t>
        </is>
      </c>
      <c r="T4" s="8" t="inlineStr">
        <is>
          <t>Ghi chú, Nguồn gốc xuất xứ</t>
        </is>
      </c>
      <c r="U4" s="8" t="inlineStr">
        <is>
          <t>Cước ôtô
Cước sông</t>
        </is>
      </c>
      <c r="V4" s="8" t="inlineStr">
        <is>
          <t>Cước bộ</t>
        </is>
      </c>
    </row>
    <row r="5">
      <c r="A5" s="8" t="inlineStr">
        <is>
          <t>I</t>
        </is>
      </c>
      <c r="B5" s="8" t="inlineStr"/>
      <c r="C5" s="8" t="inlineStr">
        <is>
          <t>VẬT LIỆU</t>
        </is>
      </c>
      <c r="E5" s="8" t="inlineStr"/>
      <c r="F5" s="8" t="inlineStr"/>
      <c r="G5" s="8" t="inlineStr"/>
      <c r="H5" s="8" t="inlineStr"/>
      <c r="I5" s="8" t="inlineStr"/>
      <c r="J5" s="8" t="inlineStr"/>
      <c r="K5" s="8" t="inlineStr"/>
      <c r="L5" s="8" t="inlineStr"/>
      <c r="M5" s="8" t="inlineStr"/>
      <c r="N5" s="8" t="inlineStr"/>
      <c r="O5" s="8" t="inlineStr"/>
      <c r="P5" s="8" t="inlineStr"/>
      <c r="Q5" s="8" t="inlineStr"/>
      <c r="R5" s="8" t="inlineStr"/>
      <c r="S5" s="8" t="inlineStr"/>
      <c r="T5" s="8" t="inlineStr"/>
      <c r="U5" s="8" t="inlineStr"/>
      <c r="V5" s="8" t="inlineStr"/>
    </row>
    <row r="6">
      <c r="A6" s="8" t="n">
        <v>1</v>
      </c>
      <c r="B6" s="8" t="inlineStr">
        <is>
          <t>A33.0002</t>
        </is>
      </c>
      <c r="C6" s="8" t="inlineStr">
        <is>
          <t>Dầu các loại</t>
        </is>
      </c>
      <c r="E6" s="8" t="inlineStr">
        <is>
          <t>kg</t>
        </is>
      </c>
      <c r="F6" s="8" t="n">
        <v>11.4532</v>
      </c>
      <c r="G6" s="8" t="n">
        <v>0</v>
      </c>
      <c r="H6" s="8" t="n">
        <v>0</v>
      </c>
      <c r="I6" s="8" t="n">
        <v>100000</v>
      </c>
      <c r="J6" s="8" t="n">
        <v>1145320</v>
      </c>
      <c r="K6" s="8" t="n">
        <v>1</v>
      </c>
      <c r="L6" s="8" t="n">
        <v>100000</v>
      </c>
      <c r="M6" s="8" t="n">
        <v>1145320</v>
      </c>
      <c r="N6" s="8" t="n">
        <v>0</v>
      </c>
      <c r="O6" s="8" t="n">
        <v>0</v>
      </c>
      <c r="P6" s="8" t="n">
        <v>100000</v>
      </c>
      <c r="Q6" s="8" t="n">
        <v>1145320</v>
      </c>
      <c r="R6" s="8" t="n">
        <v>100000</v>
      </c>
      <c r="S6" s="8" t="n">
        <v>1145320</v>
      </c>
      <c r="T6" s="8" t="inlineStr">
        <is>
          <t>Giá gốc</t>
        </is>
      </c>
      <c r="U6" s="8" t="n">
        <v>0</v>
      </c>
      <c r="V6" s="8" t="n">
        <v>0</v>
      </c>
    </row>
    <row r="7">
      <c r="A7" s="8" t="n">
        <v>2</v>
      </c>
      <c r="B7" s="8" t="inlineStr">
        <is>
          <t>A33.0107</t>
        </is>
      </c>
      <c r="C7" s="8" t="inlineStr">
        <is>
          <t>Đá mài, cắt</t>
        </is>
      </c>
      <c r="E7" s="8" t="inlineStr">
        <is>
          <t>viên</t>
        </is>
      </c>
      <c r="F7" s="8" t="n">
        <v>4.8772</v>
      </c>
      <c r="G7" s="8" t="n">
        <v>0</v>
      </c>
      <c r="H7" s="8" t="n">
        <v>0</v>
      </c>
      <c r="I7" s="8" t="n">
        <v>20000</v>
      </c>
      <c r="J7" s="8" t="n">
        <v>97544</v>
      </c>
      <c r="K7" s="8" t="n">
        <v>1</v>
      </c>
      <c r="L7" s="8" t="n">
        <v>20000</v>
      </c>
      <c r="M7" s="8" t="n">
        <v>97544</v>
      </c>
      <c r="N7" s="8" t="n">
        <v>0</v>
      </c>
      <c r="O7" s="8" t="n">
        <v>0</v>
      </c>
      <c r="P7" s="8" t="n">
        <v>20000</v>
      </c>
      <c r="Q7" s="8" t="n">
        <v>97544</v>
      </c>
      <c r="R7" s="8" t="n">
        <v>20000</v>
      </c>
      <c r="S7" s="8" t="n">
        <v>97544</v>
      </c>
      <c r="T7" s="8" t="inlineStr">
        <is>
          <t>Giá gốc</t>
        </is>
      </c>
      <c r="U7" s="8" t="n">
        <v>0</v>
      </c>
      <c r="V7" s="8" t="n">
        <v>0</v>
      </c>
    </row>
    <row r="8">
      <c r="A8" s="8" t="n">
        <v>3</v>
      </c>
      <c r="B8" s="8" t="inlineStr">
        <is>
          <t>A33.0008</t>
        </is>
      </c>
      <c r="C8" s="8" t="inlineStr">
        <is>
          <t>Đồng lá</t>
        </is>
      </c>
      <c r="E8" s="8" t="inlineStr">
        <is>
          <t>kg</t>
        </is>
      </c>
      <c r="F8" s="8" t="n">
        <v>0.3014</v>
      </c>
      <c r="G8" s="8" t="n">
        <v>0</v>
      </c>
      <c r="H8" s="8" t="n">
        <v>0</v>
      </c>
      <c r="I8" s="8" t="n">
        <v>350000</v>
      </c>
      <c r="J8" s="8" t="n">
        <v>105490</v>
      </c>
      <c r="K8" s="8" t="n">
        <v>1</v>
      </c>
      <c r="L8" s="8" t="n">
        <v>350000</v>
      </c>
      <c r="M8" s="8" t="n">
        <v>105490</v>
      </c>
      <c r="N8" s="8" t="n">
        <v>0</v>
      </c>
      <c r="O8" s="8" t="n">
        <v>0</v>
      </c>
      <c r="P8" s="8" t="n">
        <v>350000</v>
      </c>
      <c r="Q8" s="8" t="n">
        <v>105490</v>
      </c>
      <c r="R8" s="8" t="n">
        <v>350000</v>
      </c>
      <c r="S8" s="8" t="n">
        <v>105490</v>
      </c>
      <c r="T8" s="8" t="inlineStr">
        <is>
          <t>Giá gốc</t>
        </is>
      </c>
      <c r="U8" s="8" t="n">
        <v>0</v>
      </c>
      <c r="V8" s="8" t="n">
        <v>0</v>
      </c>
    </row>
    <row r="9">
      <c r="A9" s="8" t="n">
        <v>4</v>
      </c>
      <c r="B9" s="8" t="inlineStr">
        <is>
          <t>A33.0007</t>
        </is>
      </c>
      <c r="C9" s="8" t="inlineStr">
        <is>
          <t>Gỗ nhóm 4</t>
        </is>
      </c>
      <c r="E9" s="8" t="inlineStr">
        <is>
          <t>m3</t>
        </is>
      </c>
      <c r="F9" s="8" t="n">
        <v>0.07672000000000001</v>
      </c>
      <c r="G9" s="8" t="n">
        <v>0</v>
      </c>
      <c r="H9" s="8" t="n">
        <v>0</v>
      </c>
      <c r="I9" s="8" t="n">
        <v>2000000</v>
      </c>
      <c r="J9" s="8" t="n">
        <v>153440</v>
      </c>
      <c r="K9" s="8" t="n">
        <v>1</v>
      </c>
      <c r="L9" s="8" t="n">
        <v>2000000</v>
      </c>
      <c r="M9" s="8" t="n">
        <v>153440</v>
      </c>
      <c r="N9" s="8" t="n">
        <v>0</v>
      </c>
      <c r="O9" s="8" t="n">
        <v>0</v>
      </c>
      <c r="P9" s="8" t="n">
        <v>2000000</v>
      </c>
      <c r="Q9" s="8" t="n">
        <v>153440</v>
      </c>
      <c r="R9" s="8" t="n">
        <v>2000000</v>
      </c>
      <c r="S9" s="8" t="n">
        <v>153440</v>
      </c>
      <c r="T9" s="8" t="inlineStr">
        <is>
          <t>Giá gốc</t>
        </is>
      </c>
      <c r="U9" s="8" t="n">
        <v>0</v>
      </c>
      <c r="V9" s="8" t="n">
        <v>0</v>
      </c>
    </row>
    <row r="10">
      <c r="A10" s="8" t="n">
        <v>5</v>
      </c>
      <c r="B10" s="8" t="inlineStr">
        <is>
          <t>A33.0009</t>
        </is>
      </c>
      <c r="C10" s="8" t="inlineStr">
        <is>
          <t>Giá đỡ máy âm trần</t>
        </is>
      </c>
      <c r="E10" s="8" t="inlineStr">
        <is>
          <t>cái</t>
        </is>
      </c>
      <c r="F10" s="8" t="n">
        <v>16</v>
      </c>
      <c r="G10" s="8" t="n">
        <v>0</v>
      </c>
      <c r="H10" s="8" t="n">
        <v>0</v>
      </c>
      <c r="I10" s="8" t="n">
        <v>500000</v>
      </c>
      <c r="J10" s="8" t="n">
        <v>8000000</v>
      </c>
      <c r="K10" s="8" t="n">
        <v>1</v>
      </c>
      <c r="L10" s="8" t="n">
        <v>500000</v>
      </c>
      <c r="M10" s="8" t="n">
        <v>8000000</v>
      </c>
      <c r="N10" s="8" t="n">
        <v>0</v>
      </c>
      <c r="O10" s="8" t="n">
        <v>0</v>
      </c>
      <c r="P10" s="8" t="n">
        <v>500000</v>
      </c>
      <c r="Q10" s="8" t="n">
        <v>8000000</v>
      </c>
      <c r="R10" s="8" t="n">
        <v>500000</v>
      </c>
      <c r="S10" s="8" t="n">
        <v>8000000</v>
      </c>
      <c r="T10" s="8" t="inlineStr">
        <is>
          <t>Tạm tính</t>
        </is>
      </c>
      <c r="U10" s="8" t="n">
        <v>0</v>
      </c>
      <c r="V10" s="8" t="n">
        <v>0</v>
      </c>
    </row>
    <row r="11">
      <c r="A11" s="8" t="n">
        <v>6</v>
      </c>
      <c r="B11" s="8" t="inlineStr">
        <is>
          <t>A33.0009</t>
        </is>
      </c>
      <c r="C11" s="8" t="inlineStr">
        <is>
          <t>Giá đỡ máy cassettle</t>
        </is>
      </c>
      <c r="E11" s="8" t="inlineStr">
        <is>
          <t>cái</t>
        </is>
      </c>
      <c r="F11" s="8" t="n">
        <v>165</v>
      </c>
      <c r="G11" s="8" t="n">
        <v>0</v>
      </c>
      <c r="H11" s="8" t="n">
        <v>0</v>
      </c>
      <c r="I11" s="8" t="n">
        <v>500000</v>
      </c>
      <c r="J11" s="8" t="n">
        <v>82500000</v>
      </c>
      <c r="K11" s="8" t="n">
        <v>1</v>
      </c>
      <c r="L11" s="8" t="n">
        <v>500000</v>
      </c>
      <c r="M11" s="8" t="n">
        <v>82500000</v>
      </c>
      <c r="N11" s="8" t="n">
        <v>0</v>
      </c>
      <c r="O11" s="8" t="n">
        <v>0</v>
      </c>
      <c r="P11" s="8" t="n">
        <v>500000</v>
      </c>
      <c r="Q11" s="8" t="n">
        <v>82500000</v>
      </c>
      <c r="R11" s="8" t="n">
        <v>500000</v>
      </c>
      <c r="S11" s="8" t="n">
        <v>82500000</v>
      </c>
      <c r="T11" s="8" t="inlineStr">
        <is>
          <t>Tạm tính</t>
        </is>
      </c>
      <c r="U11" s="8" t="n">
        <v>0</v>
      </c>
      <c r="V11" s="8" t="n">
        <v>0</v>
      </c>
    </row>
    <row r="12">
      <c r="A12" s="8" t="n">
        <v>7</v>
      </c>
      <c r="B12" s="8" t="inlineStr">
        <is>
          <t>A33.0009</t>
        </is>
      </c>
      <c r="C12" s="8" t="inlineStr">
        <is>
          <t>Giá đỡ máy treo tường</t>
        </is>
      </c>
      <c r="E12" s="8" t="inlineStr">
        <is>
          <t>cái</t>
        </is>
      </c>
      <c r="F12" s="8" t="n">
        <v>5</v>
      </c>
      <c r="G12" s="8" t="n">
        <v>0</v>
      </c>
      <c r="H12" s="8" t="n">
        <v>0</v>
      </c>
      <c r="I12" s="8" t="n">
        <v>300000</v>
      </c>
      <c r="J12" s="8" t="n">
        <v>1500000</v>
      </c>
      <c r="K12" s="8" t="n">
        <v>1</v>
      </c>
      <c r="L12" s="8" t="n">
        <v>300000</v>
      </c>
      <c r="M12" s="8" t="n">
        <v>1500000</v>
      </c>
      <c r="N12" s="8" t="n">
        <v>0</v>
      </c>
      <c r="O12" s="8" t="n">
        <v>0</v>
      </c>
      <c r="P12" s="8" t="n">
        <v>300000</v>
      </c>
      <c r="Q12" s="8" t="n">
        <v>1500000</v>
      </c>
      <c r="R12" s="8" t="n">
        <v>300000</v>
      </c>
      <c r="S12" s="8" t="n">
        <v>1500000</v>
      </c>
      <c r="T12" s="8" t="inlineStr">
        <is>
          <t>Tạm tính</t>
        </is>
      </c>
      <c r="U12" s="8" t="n">
        <v>0</v>
      </c>
      <c r="V12" s="8" t="n">
        <v>0</v>
      </c>
    </row>
    <row r="13">
      <c r="A13" s="8" t="n">
        <v>8</v>
      </c>
      <c r="B13" s="8" t="inlineStr">
        <is>
          <t>A33.0005</t>
        </is>
      </c>
      <c r="C13" s="8" t="inlineStr">
        <is>
          <t>Khí gas</t>
        </is>
      </c>
      <c r="E13" s="8" t="inlineStr">
        <is>
          <t>kg</t>
        </is>
      </c>
      <c r="F13" s="8" t="n">
        <v>1.2056</v>
      </c>
      <c r="G13" s="8" t="n">
        <v>0</v>
      </c>
      <c r="H13" s="8" t="n">
        <v>0</v>
      </c>
      <c r="I13" s="8" t="n">
        <v>37803</v>
      </c>
      <c r="J13" s="8" t="n">
        <v>45575.2968</v>
      </c>
      <c r="K13" s="8" t="n">
        <v>1</v>
      </c>
      <c r="L13" s="8" t="n">
        <v>37803</v>
      </c>
      <c r="M13" s="8" t="n">
        <v>45575.2968</v>
      </c>
      <c r="N13" s="8" t="n">
        <v>0</v>
      </c>
      <c r="O13" s="8" t="n">
        <v>0</v>
      </c>
      <c r="P13" s="8" t="n">
        <v>37803</v>
      </c>
      <c r="Q13" s="8" t="n">
        <v>45575.2968</v>
      </c>
      <c r="R13" s="8" t="n">
        <v>37803</v>
      </c>
      <c r="S13" s="8" t="n">
        <v>45575.2968</v>
      </c>
      <c r="T13" s="8" t="inlineStr">
        <is>
          <t>Giá gốc</t>
        </is>
      </c>
      <c r="U13" s="8" t="n">
        <v>0</v>
      </c>
      <c r="V13" s="8" t="n">
        <v>0</v>
      </c>
    </row>
    <row r="14">
      <c r="A14" s="8" t="n">
        <v>9</v>
      </c>
      <c r="B14" s="8" t="inlineStr">
        <is>
          <t>A33.0001</t>
        </is>
      </c>
      <c r="C14" s="8" t="inlineStr">
        <is>
          <t>Mỡ các loại</t>
        </is>
      </c>
      <c r="E14" s="8" t="inlineStr">
        <is>
          <t>kg</t>
        </is>
      </c>
      <c r="F14" s="8" t="n">
        <v>9.918800000000001</v>
      </c>
      <c r="G14" s="8" t="n">
        <v>0</v>
      </c>
      <c r="H14" s="8" t="n">
        <v>0</v>
      </c>
      <c r="I14" s="8" t="n">
        <v>90000</v>
      </c>
      <c r="J14" s="8" t="n">
        <v>892692.0000000001</v>
      </c>
      <c r="K14" s="8" t="n">
        <v>1</v>
      </c>
      <c r="L14" s="8" t="n">
        <v>90000</v>
      </c>
      <c r="M14" s="8" t="n">
        <v>892692.0000000001</v>
      </c>
      <c r="N14" s="8" t="n">
        <v>0</v>
      </c>
      <c r="O14" s="8" t="n">
        <v>0</v>
      </c>
      <c r="P14" s="8" t="n">
        <v>90000</v>
      </c>
      <c r="Q14" s="8" t="n">
        <v>892692.0000000001</v>
      </c>
      <c r="R14" s="8" t="n">
        <v>90000</v>
      </c>
      <c r="S14" s="8" t="n">
        <v>892692.0000000001</v>
      </c>
      <c r="T14" s="8" t="inlineStr">
        <is>
          <t>Giá gốc</t>
        </is>
      </c>
      <c r="U14" s="8" t="n">
        <v>0</v>
      </c>
      <c r="V14" s="8" t="n">
        <v>0</v>
      </c>
    </row>
    <row r="15">
      <c r="A15" s="8" t="n">
        <v>10</v>
      </c>
      <c r="B15" s="8" t="inlineStr">
        <is>
          <t>A33.0006</t>
        </is>
      </c>
      <c r="C15" s="8" t="inlineStr">
        <is>
          <t>Ô xy</t>
        </is>
      </c>
      <c r="E15" s="8" t="inlineStr">
        <is>
          <t>chai</t>
        </is>
      </c>
      <c r="F15" s="8" t="n">
        <v>0.6028</v>
      </c>
      <c r="G15" s="8" t="n">
        <v>0</v>
      </c>
      <c r="H15" s="8" t="n">
        <v>0</v>
      </c>
      <c r="I15" s="8" t="n">
        <v>30000</v>
      </c>
      <c r="J15" s="8" t="n">
        <v>18084</v>
      </c>
      <c r="K15" s="8" t="n">
        <v>1</v>
      </c>
      <c r="L15" s="8" t="n">
        <v>30000</v>
      </c>
      <c r="M15" s="8" t="n">
        <v>18084</v>
      </c>
      <c r="N15" s="8" t="n">
        <v>0</v>
      </c>
      <c r="O15" s="8" t="n">
        <v>0</v>
      </c>
      <c r="P15" s="8" t="n">
        <v>30000</v>
      </c>
      <c r="Q15" s="8" t="n">
        <v>18084</v>
      </c>
      <c r="R15" s="8" t="n">
        <v>30000</v>
      </c>
      <c r="S15" s="8" t="n">
        <v>18084</v>
      </c>
      <c r="T15" s="8" t="inlineStr">
        <is>
          <t>Giá gốc</t>
        </is>
      </c>
      <c r="U15" s="8" t="n">
        <v>0</v>
      </c>
      <c r="V15" s="8" t="n">
        <v>0</v>
      </c>
    </row>
    <row r="16">
      <c r="A16" s="8" t="n">
        <v>11</v>
      </c>
      <c r="B16" s="8" t="inlineStr">
        <is>
          <t>A33.0108</t>
        </is>
      </c>
      <c r="C16" s="8" t="inlineStr">
        <is>
          <t>Que hàn các loại</t>
        </is>
      </c>
      <c r="E16" s="8" t="inlineStr">
        <is>
          <t>kg</t>
        </is>
      </c>
      <c r="F16" s="8" t="n">
        <v>1.1508</v>
      </c>
      <c r="G16" s="8" t="n">
        <v>0</v>
      </c>
      <c r="H16" s="8" t="n">
        <v>0</v>
      </c>
      <c r="I16" s="8" t="n">
        <v>19800</v>
      </c>
      <c r="J16" s="8" t="n">
        <v>22785.84</v>
      </c>
      <c r="K16" s="8" t="n">
        <v>1</v>
      </c>
      <c r="L16" s="8" t="n">
        <v>19800</v>
      </c>
      <c r="M16" s="8" t="n">
        <v>22785.84</v>
      </c>
      <c r="N16" s="8" t="n">
        <v>0</v>
      </c>
      <c r="O16" s="8" t="n">
        <v>0</v>
      </c>
      <c r="P16" s="8" t="n">
        <v>19800</v>
      </c>
      <c r="Q16" s="8" t="n">
        <v>22785.84</v>
      </c>
      <c r="R16" s="8" t="n">
        <v>19800</v>
      </c>
      <c r="S16" s="8" t="n">
        <v>22785.84</v>
      </c>
      <c r="T16" s="8" t="inlineStr">
        <is>
          <t>Giá gốc</t>
        </is>
      </c>
      <c r="U16" s="8" t="n">
        <v>0</v>
      </c>
      <c r="V16" s="8" t="n">
        <v>0</v>
      </c>
    </row>
    <row r="17">
      <c r="A17" s="8" t="n">
        <v>12</v>
      </c>
      <c r="B17" s="8" t="inlineStr">
        <is>
          <t>A33.0003</t>
        </is>
      </c>
      <c r="C17" s="8" t="inlineStr">
        <is>
          <t>Thép tấm</t>
        </is>
      </c>
      <c r="E17" s="8" t="inlineStr">
        <is>
          <t>kg</t>
        </is>
      </c>
      <c r="F17" s="8" t="n">
        <v>15.2344</v>
      </c>
      <c r="G17" s="8" t="n">
        <v>0</v>
      </c>
      <c r="H17" s="8" t="n">
        <v>0</v>
      </c>
      <c r="I17" s="8" t="n">
        <v>14950</v>
      </c>
      <c r="J17" s="8" t="n">
        <v>227754.28</v>
      </c>
      <c r="K17" s="8" t="n">
        <v>1</v>
      </c>
      <c r="L17" s="8" t="n">
        <v>14950</v>
      </c>
      <c r="M17" s="8" t="n">
        <v>227754.28</v>
      </c>
      <c r="N17" s="8" t="n">
        <v>0</v>
      </c>
      <c r="O17" s="8" t="n">
        <v>0</v>
      </c>
      <c r="P17" s="8" t="n">
        <v>14950</v>
      </c>
      <c r="Q17" s="8" t="n">
        <v>227754.28</v>
      </c>
      <c r="R17" s="8" t="n">
        <v>14950</v>
      </c>
      <c r="S17" s="8" t="n">
        <v>227754.28</v>
      </c>
      <c r="T17" s="8" t="inlineStr">
        <is>
          <t>CBG HN Q1.2026 - Thái Nguyên</t>
        </is>
      </c>
      <c r="U17" s="8" t="n">
        <v>0</v>
      </c>
      <c r="V17" s="8" t="n">
        <v>0</v>
      </c>
    </row>
    <row r="18">
      <c r="A18" s="8" t="n">
        <v>13</v>
      </c>
      <c r="B18" s="8" t="inlineStr">
        <is>
          <t>Z999</t>
        </is>
      </c>
      <c r="C18" s="8" t="inlineStr">
        <is>
          <t>Vật liệu khác</t>
        </is>
      </c>
      <c r="E18" s="8" t="inlineStr">
        <is>
          <t>%</t>
        </is>
      </c>
      <c r="F18" s="8" t="inlineStr"/>
      <c r="G18" s="8" t="inlineStr"/>
      <c r="H18" s="8" t="n">
        <v>0</v>
      </c>
      <c r="I18" s="8" t="inlineStr"/>
      <c r="J18" s="8" t="inlineStr"/>
      <c r="K18" s="8" t="inlineStr"/>
      <c r="L18" s="8" t="inlineStr"/>
      <c r="M18" s="8" t="inlineStr"/>
      <c r="N18" s="8" t="inlineStr"/>
      <c r="O18" s="8" t="inlineStr"/>
      <c r="P18" s="8" t="inlineStr"/>
      <c r="Q18" s="8" t="n">
        <v>4735434.27084</v>
      </c>
      <c r="R18" s="8" t="inlineStr"/>
      <c r="S18" s="8" t="n">
        <v>4735434.27084</v>
      </c>
      <c r="T18" s="8" t="inlineStr"/>
      <c r="U18" s="8" t="inlineStr"/>
      <c r="V18" s="8" t="inlineStr"/>
    </row>
    <row r="19">
      <c r="A19" s="8" t="inlineStr"/>
      <c r="B19" s="8" t="inlineStr"/>
      <c r="C19" s="8" t="inlineStr">
        <is>
          <t>TỔNG VẬT LIỆU</t>
        </is>
      </c>
      <c r="E19" s="8" t="inlineStr"/>
      <c r="F19" s="8" t="inlineStr"/>
      <c r="G19" s="8" t="inlineStr"/>
      <c r="H19" s="8" t="n">
        <v>0</v>
      </c>
      <c r="I19" s="8" t="inlineStr"/>
      <c r="J19" s="8" t="n">
        <v>94708685.41680001</v>
      </c>
      <c r="K19" s="8" t="inlineStr"/>
      <c r="L19" s="8" t="inlineStr"/>
      <c r="M19" s="8" t="n">
        <v>94708685.41680001</v>
      </c>
      <c r="N19" s="8" t="inlineStr"/>
      <c r="O19" s="8" t="n">
        <v>0</v>
      </c>
      <c r="P19" s="8" t="inlineStr"/>
      <c r="Q19" s="8" t="n">
        <v>99444119.68764001</v>
      </c>
      <c r="R19" s="8" t="inlineStr"/>
      <c r="S19" s="8" t="n">
        <v>99444119.68764001</v>
      </c>
      <c r="T19" s="8" t="inlineStr"/>
      <c r="U19" s="8" t="inlineStr"/>
      <c r="V19" s="8" t="inlineStr"/>
    </row>
    <row r="20">
      <c r="A20" s="8" t="inlineStr">
        <is>
          <t>II</t>
        </is>
      </c>
      <c r="B20" s="8" t="inlineStr"/>
      <c r="C20" s="8" t="inlineStr">
        <is>
          <t>NHÂN CÔNG</t>
        </is>
      </c>
      <c r="E20" s="8" t="inlineStr"/>
      <c r="F20" s="8" t="inlineStr"/>
      <c r="G20" s="8" t="inlineStr"/>
      <c r="H20" s="8" t="inlineStr"/>
      <c r="I20" s="8" t="inlineStr"/>
      <c r="J20" s="8" t="inlineStr"/>
      <c r="K20" s="8" t="inlineStr"/>
      <c r="L20" s="8" t="inlineStr"/>
      <c r="M20" s="8" t="inlineStr"/>
      <c r="N20" s="8" t="inlineStr"/>
      <c r="O20" s="8" t="inlineStr"/>
      <c r="P20" s="8" t="inlineStr"/>
      <c r="Q20" s="8" t="inlineStr"/>
      <c r="R20" s="8" t="inlineStr"/>
      <c r="S20" s="8" t="inlineStr"/>
      <c r="T20" s="8" t="inlineStr"/>
      <c r="U20" s="8" t="inlineStr"/>
      <c r="V20" s="8" t="inlineStr"/>
    </row>
    <row r="21">
      <c r="A21" s="8" t="n">
        <v>1</v>
      </c>
      <c r="B21" s="8" t="inlineStr">
        <is>
          <t>N3</t>
        </is>
      </c>
      <c r="C21" s="8" t="inlineStr">
        <is>
          <t>Nhân công nhóm 3</t>
        </is>
      </c>
      <c r="E21" s="8" t="inlineStr">
        <is>
          <t>công</t>
        </is>
      </c>
      <c r="F21" s="8" t="n">
        <v>241.01</v>
      </c>
      <c r="G21" s="8" t="n">
        <v>0</v>
      </c>
      <c r="H21" s="8" t="n">
        <v>0</v>
      </c>
      <c r="I21" s="8" t="n">
        <v>427000</v>
      </c>
      <c r="J21" s="8" t="n">
        <v>102911270</v>
      </c>
      <c r="K21" s="8" t="n">
        <v>1</v>
      </c>
      <c r="L21" s="8" t="n">
        <v>427000</v>
      </c>
      <c r="M21" s="8" t="n">
        <v>102911270</v>
      </c>
      <c r="N21" s="8" t="inlineStr"/>
      <c r="O21" s="8" t="inlineStr"/>
      <c r="P21" s="8" t="n">
        <v>427000</v>
      </c>
      <c r="Q21" s="8" t="n">
        <v>102911270</v>
      </c>
      <c r="R21" s="8" t="n">
        <v>427000</v>
      </c>
      <c r="S21" s="8" t="n">
        <v>102911270</v>
      </c>
      <c r="T21" s="8" t="inlineStr">
        <is>
          <t>Được tính toán, rồi Link từ sheet Nhân công sang</t>
        </is>
      </c>
      <c r="U21" s="8" t="inlineStr"/>
      <c r="V21" s="8" t="inlineStr"/>
    </row>
    <row r="22">
      <c r="A22" s="8" t="n">
        <v>2</v>
      </c>
      <c r="B22" s="8" t="inlineStr">
        <is>
          <t>N4</t>
        </is>
      </c>
      <c r="C22" s="8" t="inlineStr">
        <is>
          <t>Nhân công nhóm 4</t>
        </is>
      </c>
      <c r="E22" s="8" t="inlineStr">
        <is>
          <t>công</t>
        </is>
      </c>
      <c r="F22" s="8" t="n">
        <v>202.4312</v>
      </c>
      <c r="G22" s="8" t="n">
        <v>0</v>
      </c>
      <c r="H22" s="8" t="n">
        <v>0</v>
      </c>
      <c r="I22" s="8" t="n">
        <v>454000</v>
      </c>
      <c r="J22" s="8" t="n">
        <v>91903764.8</v>
      </c>
      <c r="K22" s="8" t="n">
        <v>1</v>
      </c>
      <c r="L22" s="8" t="n">
        <v>454000</v>
      </c>
      <c r="M22" s="8" t="n">
        <v>91903764.8</v>
      </c>
      <c r="N22" s="8" t="inlineStr"/>
      <c r="O22" s="8" t="inlineStr"/>
      <c r="P22" s="8" t="n">
        <v>454000</v>
      </c>
      <c r="Q22" s="8" t="n">
        <v>91903764.8</v>
      </c>
      <c r="R22" s="8" t="n">
        <v>454000</v>
      </c>
      <c r="S22" s="8" t="n">
        <v>91903764.8</v>
      </c>
      <c r="T22" s="8" t="inlineStr">
        <is>
          <t>Được tính toán, rồi Link từ sheet Nhân công sang</t>
        </is>
      </c>
      <c r="U22" s="8" t="inlineStr"/>
      <c r="V22" s="8" t="inlineStr"/>
    </row>
    <row r="23">
      <c r="A23" s="8" t="inlineStr"/>
      <c r="B23" s="8" t="inlineStr"/>
      <c r="C23" s="8" t="inlineStr">
        <is>
          <t>TỔNG NHÂN CÔNG</t>
        </is>
      </c>
      <c r="E23" s="8" t="inlineStr"/>
      <c r="F23" s="8" t="inlineStr"/>
      <c r="G23" s="8" t="inlineStr"/>
      <c r="H23" s="8" t="n">
        <v>0</v>
      </c>
      <c r="I23" s="8" t="inlineStr"/>
      <c r="J23" s="8" t="n">
        <v>194815034.8</v>
      </c>
      <c r="K23" s="8" t="inlineStr"/>
      <c r="L23" s="8" t="inlineStr"/>
      <c r="M23" s="8" t="n">
        <v>194815034.8</v>
      </c>
      <c r="N23" s="8" t="inlineStr"/>
      <c r="O23" s="8" t="n">
        <v>0</v>
      </c>
      <c r="P23" s="8" t="inlineStr"/>
      <c r="Q23" s="8" t="n">
        <v>194815034.8</v>
      </c>
      <c r="R23" s="8" t="inlineStr"/>
      <c r="S23" s="8" t="n">
        <v>194815034.8</v>
      </c>
      <c r="T23" s="8" t="inlineStr"/>
      <c r="U23" s="8" t="inlineStr"/>
      <c r="V23" s="8" t="inlineStr"/>
    </row>
    <row r="24">
      <c r="A24" s="8" t="inlineStr">
        <is>
          <t>III</t>
        </is>
      </c>
      <c r="B24" s="8" t="inlineStr"/>
      <c r="C24" s="8" t="inlineStr">
        <is>
          <t>MÁY THI CÔNG</t>
        </is>
      </c>
      <c r="E24" s="8" t="inlineStr"/>
      <c r="F24" s="8" t="inlineStr"/>
      <c r="G24" s="8" t="inlineStr"/>
      <c r="H24" s="8" t="inlineStr"/>
      <c r="I24" s="8" t="inlineStr"/>
      <c r="J24" s="8" t="inlineStr"/>
      <c r="K24" s="8" t="inlineStr"/>
      <c r="L24" s="8" t="inlineStr"/>
      <c r="M24" s="8" t="inlineStr"/>
      <c r="N24" s="8" t="inlineStr"/>
      <c r="O24" s="8" t="inlineStr"/>
      <c r="P24" s="8" t="inlineStr"/>
      <c r="Q24" s="8" t="inlineStr"/>
      <c r="R24" s="8" t="inlineStr"/>
      <c r="S24" s="8" t="inlineStr"/>
      <c r="T24" s="8" t="inlineStr"/>
      <c r="U24" s="8" t="inlineStr"/>
      <c r="V24" s="8" t="inlineStr"/>
    </row>
    <row r="25">
      <c r="A25" s="8" t="n">
        <v>1</v>
      </c>
      <c r="B25" s="8" t="inlineStr">
        <is>
          <t>M102.0301</t>
        </is>
      </c>
      <c r="C25" s="8" t="inlineStr">
        <is>
          <t>Cần cẩu bánh xích 5T</t>
        </is>
      </c>
      <c r="E25" s="8" t="inlineStr">
        <is>
          <t>ca</t>
        </is>
      </c>
      <c r="F25" s="8" t="n">
        <v>1.72072</v>
      </c>
      <c r="G25" s="8" t="n">
        <v>0</v>
      </c>
      <c r="H25" s="8" t="n">
        <v>0</v>
      </c>
      <c r="I25" s="8" t="n">
        <v>2451003</v>
      </c>
      <c r="J25" s="8" t="n">
        <v>4217489.882160001</v>
      </c>
      <c r="K25" s="8" t="n">
        <v>1</v>
      </c>
      <c r="L25" s="8" t="n">
        <v>2451003</v>
      </c>
      <c r="M25" s="8" t="n">
        <v>4217489.882160001</v>
      </c>
      <c r="N25" s="8" t="inlineStr"/>
      <c r="O25" s="8" t="n">
        <v>0</v>
      </c>
      <c r="P25" s="8" t="n">
        <v>2451003</v>
      </c>
      <c r="Q25" s="8" t="n">
        <v>4217489.882160001</v>
      </c>
      <c r="R25" s="8" t="n">
        <v>2451003</v>
      </c>
      <c r="S25" s="8" t="n">
        <v>4217489.882160001</v>
      </c>
      <c r="T25" s="8" t="inlineStr">
        <is>
          <t>Được tính toán, rồi Link từ sheet Máy sang</t>
        </is>
      </c>
      <c r="U25" s="8" t="inlineStr"/>
      <c r="V25" s="8" t="inlineStr"/>
    </row>
    <row r="26">
      <c r="A26" s="8" t="n">
        <v>2</v>
      </c>
      <c r="B26" s="8" t="inlineStr">
        <is>
          <t>M112.3901</t>
        </is>
      </c>
      <c r="C26" s="8" t="inlineStr">
        <is>
          <t>Máy hàn điện 50 kW</t>
        </is>
      </c>
      <c r="E26" s="8" t="inlineStr">
        <is>
          <t>ca</t>
        </is>
      </c>
      <c r="F26" s="8" t="n">
        <v>0.48772</v>
      </c>
      <c r="G26" s="8" t="n">
        <v>0</v>
      </c>
      <c r="H26" s="8" t="n">
        <v>0</v>
      </c>
      <c r="I26" s="8" t="n">
        <v>719617</v>
      </c>
      <c r="J26" s="8" t="n">
        <v>350971.60324</v>
      </c>
      <c r="K26" s="8" t="n">
        <v>1</v>
      </c>
      <c r="L26" s="8" t="n">
        <v>719617</v>
      </c>
      <c r="M26" s="8" t="n">
        <v>350971.60324</v>
      </c>
      <c r="N26" s="8" t="inlineStr"/>
      <c r="O26" s="8" t="n">
        <v>0</v>
      </c>
      <c r="P26" s="8" t="n">
        <v>719617</v>
      </c>
      <c r="Q26" s="8" t="n">
        <v>350971.60324</v>
      </c>
      <c r="R26" s="8" t="n">
        <v>719617</v>
      </c>
      <c r="S26" s="8" t="n">
        <v>350971.60324</v>
      </c>
      <c r="T26" s="8" t="inlineStr">
        <is>
          <t>Được tính toán, rồi Link từ sheet Máy sang</t>
        </is>
      </c>
      <c r="U26" s="8" t="inlineStr"/>
      <c r="V26" s="8" t="inlineStr"/>
    </row>
    <row r="27">
      <c r="A27" s="8" t="n">
        <v>3</v>
      </c>
      <c r="B27" s="8" t="inlineStr">
        <is>
          <t>M112.4101</t>
        </is>
      </c>
      <c r="C27" s="8" t="inlineStr">
        <is>
          <t>Máy hàn hơi 1000 l/h</t>
        </is>
      </c>
      <c r="E27" s="8" t="inlineStr">
        <is>
          <t>ca</t>
        </is>
      </c>
      <c r="F27" s="8" t="n">
        <v>1.4796</v>
      </c>
      <c r="G27" s="8" t="n">
        <v>0</v>
      </c>
      <c r="H27" s="8" t="n">
        <v>0</v>
      </c>
      <c r="I27" s="8" t="n">
        <v>463545</v>
      </c>
      <c r="J27" s="8" t="n">
        <v>685861.1820000001</v>
      </c>
      <c r="K27" s="8" t="n">
        <v>1</v>
      </c>
      <c r="L27" s="8" t="n">
        <v>463545</v>
      </c>
      <c r="M27" s="8" t="n">
        <v>685861.1820000001</v>
      </c>
      <c r="N27" s="8" t="inlineStr"/>
      <c r="O27" s="8" t="n">
        <v>0</v>
      </c>
      <c r="P27" s="8" t="n">
        <v>463545</v>
      </c>
      <c r="Q27" s="8" t="n">
        <v>685861.1820000001</v>
      </c>
      <c r="R27" s="8" t="n">
        <v>463545</v>
      </c>
      <c r="S27" s="8" t="n">
        <v>685861.1820000001</v>
      </c>
      <c r="T27" s="8" t="inlineStr">
        <is>
          <t>Được tính toán, rồi Link từ sheet Máy sang</t>
        </is>
      </c>
      <c r="U27" s="8" t="inlineStr"/>
      <c r="V27" s="8" t="inlineStr"/>
    </row>
    <row r="28">
      <c r="A28" s="8" t="n">
        <v>4</v>
      </c>
      <c r="B28" s="8" t="inlineStr">
        <is>
          <t>M112.1701</t>
        </is>
      </c>
      <c r="C28" s="8" t="inlineStr">
        <is>
          <t>Máy khoan bê tông cầm tay 0,62 kW</t>
        </is>
      </c>
      <c r="E28" s="8" t="inlineStr">
        <is>
          <t>ca</t>
        </is>
      </c>
      <c r="F28" s="8" t="n">
        <v>66.65999999999998</v>
      </c>
      <c r="G28" s="8" t="n">
        <v>0</v>
      </c>
      <c r="H28" s="8" t="n">
        <v>0</v>
      </c>
      <c r="I28" s="8" t="n">
        <v>15158</v>
      </c>
      <c r="J28" s="8" t="n">
        <v>1010432.28</v>
      </c>
      <c r="K28" s="8" t="n">
        <v>1</v>
      </c>
      <c r="L28" s="8" t="n">
        <v>15158</v>
      </c>
      <c r="M28" s="8" t="n">
        <v>1010432.28</v>
      </c>
      <c r="N28" s="8" t="inlineStr"/>
      <c r="O28" s="8" t="n">
        <v>0</v>
      </c>
      <c r="P28" s="8" t="n">
        <v>15158</v>
      </c>
      <c r="Q28" s="8" t="n">
        <v>1010432.28</v>
      </c>
      <c r="R28" s="8" t="n">
        <v>15158</v>
      </c>
      <c r="S28" s="8" t="n">
        <v>1010432.28</v>
      </c>
      <c r="T28" s="8" t="inlineStr">
        <is>
          <t>Được tính toán, rồi Link từ sheet Máy sang</t>
        </is>
      </c>
      <c r="U28" s="8" t="inlineStr"/>
      <c r="V28" s="8" t="inlineStr"/>
    </row>
    <row r="29">
      <c r="A29" s="8" t="n">
        <v>5</v>
      </c>
      <c r="B29" s="8" t="inlineStr">
        <is>
          <t>M112.3703</t>
        </is>
      </c>
      <c r="C29" s="8" t="inlineStr">
        <is>
          <t>Máy mài 2,7 kW</t>
        </is>
      </c>
      <c r="E29" s="8" t="inlineStr">
        <is>
          <t>ca</t>
        </is>
      </c>
      <c r="F29" s="8" t="n">
        <v>4.8772</v>
      </c>
      <c r="G29" s="8" t="n">
        <v>0</v>
      </c>
      <c r="H29" s="8" t="n">
        <v>0</v>
      </c>
      <c r="I29" s="8" t="n">
        <v>19497</v>
      </c>
      <c r="J29" s="8" t="n">
        <v>95090.7684</v>
      </c>
      <c r="K29" s="8" t="n">
        <v>1</v>
      </c>
      <c r="L29" s="8" t="n">
        <v>19497</v>
      </c>
      <c r="M29" s="8" t="n">
        <v>95090.7684</v>
      </c>
      <c r="N29" s="8" t="inlineStr"/>
      <c r="O29" s="8" t="n">
        <v>0</v>
      </c>
      <c r="P29" s="8" t="n">
        <v>19497</v>
      </c>
      <c r="Q29" s="8" t="n">
        <v>95090.7684</v>
      </c>
      <c r="R29" s="8" t="n">
        <v>19497</v>
      </c>
      <c r="S29" s="8" t="n">
        <v>95090.7684</v>
      </c>
      <c r="T29" s="8" t="inlineStr">
        <is>
          <t>Được tính toán, rồi Link từ sheet Máy sang</t>
        </is>
      </c>
      <c r="U29" s="8" t="inlineStr"/>
      <c r="V29" s="8" t="inlineStr"/>
    </row>
    <row r="30">
      <c r="A30" s="8" t="n">
        <v>6</v>
      </c>
      <c r="B30" s="8" t="inlineStr">
        <is>
          <t>M999</t>
        </is>
      </c>
      <c r="C30" s="8" t="inlineStr">
        <is>
          <t>Máy khác</t>
        </is>
      </c>
      <c r="E30" s="8" t="inlineStr">
        <is>
          <t>%</t>
        </is>
      </c>
      <c r="F30" s="8" t="inlineStr"/>
      <c r="G30" s="8" t="inlineStr"/>
      <c r="H30" s="8" t="n">
        <v>0</v>
      </c>
      <c r="I30" s="8" t="inlineStr"/>
      <c r="J30" s="8" t="inlineStr"/>
      <c r="K30" s="8" t="inlineStr"/>
      <c r="L30" s="8" t="inlineStr"/>
      <c r="M30" s="8" t="inlineStr"/>
      <c r="N30" s="8" t="inlineStr"/>
      <c r="O30" s="8" t="inlineStr"/>
      <c r="P30" s="8" t="inlineStr"/>
      <c r="Q30" s="8" t="n">
        <v>106988.268716</v>
      </c>
      <c r="R30" s="8" t="inlineStr"/>
      <c r="S30" s="8" t="n">
        <v>106988.268716</v>
      </c>
      <c r="T30" s="8" t="inlineStr"/>
      <c r="U30" s="8" t="inlineStr"/>
      <c r="V30" s="8" t="inlineStr"/>
    </row>
    <row r="31">
      <c r="A31" s="8" t="inlineStr"/>
      <c r="B31" s="8" t="inlineStr"/>
      <c r="C31" s="8" t="inlineStr">
        <is>
          <t>TỔNG MÁY THI CÔNG</t>
        </is>
      </c>
      <c r="E31" s="8" t="inlineStr"/>
      <c r="F31" s="8" t="inlineStr"/>
      <c r="G31" s="8" t="inlineStr"/>
      <c r="H31" s="8" t="n">
        <v>0</v>
      </c>
      <c r="I31" s="8" t="inlineStr"/>
      <c r="J31" s="8" t="n">
        <v>6359845.7158</v>
      </c>
      <c r="K31" s="8" t="inlineStr"/>
      <c r="L31" s="8" t="inlineStr"/>
      <c r="M31" s="8" t="n">
        <v>6359845.7158</v>
      </c>
      <c r="N31" s="8" t="inlineStr"/>
      <c r="O31" s="8" t="n">
        <v>0</v>
      </c>
      <c r="P31" s="8" t="inlineStr"/>
      <c r="Q31" s="8" t="n">
        <v>6466833.984516</v>
      </c>
      <c r="R31" s="8" t="inlineStr"/>
      <c r="S31" s="8" t="n">
        <v>6466833.984516</v>
      </c>
      <c r="T31" s="8" t="inlineStr"/>
      <c r="U31" s="8" t="inlineStr"/>
      <c r="V31" s="8" t="inlineStr"/>
    </row>
    <row r="32">
      <c r="A32" s="8" t="inlineStr">
        <is>
          <t>BẢNG TỔNG HỢP VẬT TƯ VÀ CHÊNH LỆCH GIÁ</t>
        </is>
      </c>
      <c r="B32" s="8" t="inlineStr"/>
      <c r="C32" s="8" t="inlineStr"/>
      <c r="E32" s="8" t="inlineStr"/>
      <c r="F32" s="8" t="inlineStr"/>
      <c r="G32" s="8" t="inlineStr"/>
      <c r="H32" s="8" t="inlineStr"/>
      <c r="I32" s="8" t="inlineStr"/>
      <c r="J32" s="8" t="inlineStr"/>
      <c r="K32" s="8" t="inlineStr"/>
      <c r="L32" s="8" t="inlineStr"/>
      <c r="M32" s="8" t="inlineStr"/>
      <c r="N32" s="8" t="inlineStr"/>
      <c r="O32" s="8" t="inlineStr"/>
      <c r="P32" s="8" t="inlineStr"/>
      <c r="Q32" s="8" t="inlineStr"/>
      <c r="R32" s="8" t="inlineStr"/>
      <c r="S32" s="8" t="inlineStr"/>
      <c r="T32" s="8" t="inlineStr"/>
      <c r="U32" s="8" t="inlineStr"/>
      <c r="V32" s="8" t="inlineStr"/>
    </row>
    <row r="33">
      <c r="A33" s="8" t="inlineStr">
        <is>
          <t>DỰ ÁN: XÂY DỰNG NHÀ Ở CHO LỰC LƯỢNG VŨ TRANG CÔNG AN NHÂN DÂN 
TẠI Ô ĐẤT NO1 THUỘC LÔ ĐẤT D12 KHU ĐÔ THỊ MỚI CẦU GIẤY, PHƯỜNG CẦU GIẤY, THÀNH PHỐ HÀ NỘI</t>
        </is>
      </c>
      <c r="B33" s="8" t="inlineStr"/>
      <c r="C33" s="8" t="inlineStr"/>
      <c r="E33" s="8" t="inlineStr"/>
      <c r="F33" s="8" t="inlineStr"/>
      <c r="G33" s="8" t="inlineStr"/>
      <c r="H33" s="8" t="inlineStr"/>
      <c r="I33" s="8" t="inlineStr"/>
      <c r="J33" s="8" t="inlineStr"/>
      <c r="K33" s="8" t="inlineStr"/>
      <c r="L33" s="8" t="inlineStr"/>
      <c r="M33" s="8" t="inlineStr"/>
      <c r="N33" s="8" t="inlineStr"/>
      <c r="O33" s="8" t="inlineStr"/>
      <c r="P33" s="8" t="inlineStr"/>
      <c r="Q33" s="8" t="inlineStr"/>
      <c r="R33" s="8" t="inlineStr"/>
      <c r="S33" s="8" t="inlineStr"/>
      <c r="T33" s="8" t="inlineStr"/>
      <c r="U33" s="8" t="inlineStr"/>
      <c r="V33" s="8" t="inlineStr"/>
    </row>
    <row r="34">
      <c r="A34" s="8" t="inlineStr">
        <is>
          <t>HẠNG MỤC: ĐIỀU HÒA KHÔNG KHÍ - VẬT TƯ XÂY LẮP</t>
        </is>
      </c>
      <c r="B34" s="8" t="inlineStr"/>
      <c r="C34" s="8" t="inlineStr"/>
      <c r="E34" s="8" t="inlineStr"/>
      <c r="F34" s="8" t="inlineStr"/>
      <c r="G34" s="8" t="inlineStr"/>
      <c r="H34" s="8" t="inlineStr"/>
      <c r="I34" s="8" t="inlineStr"/>
      <c r="J34" s="8" t="inlineStr"/>
      <c r="K34" s="8" t="inlineStr"/>
      <c r="L34" s="8" t="inlineStr"/>
      <c r="M34" s="8" t="inlineStr"/>
      <c r="N34" s="8" t="inlineStr"/>
      <c r="O34" s="8" t="inlineStr"/>
      <c r="P34" s="8" t="inlineStr"/>
      <c r="Q34" s="8" t="inlineStr"/>
      <c r="R34" s="8" t="inlineStr"/>
      <c r="S34" s="8" t="inlineStr"/>
      <c r="T34" s="8" t="inlineStr"/>
      <c r="U34" s="8" t="inlineStr"/>
      <c r="V34" s="8" t="inlineStr"/>
    </row>
    <row r="35">
      <c r="A35" s="8" t="inlineStr">
        <is>
          <t>STT</t>
        </is>
      </c>
      <c r="B35" s="8" t="inlineStr">
        <is>
          <t>Mã số</t>
        </is>
      </c>
      <c r="C35" s="8" t="inlineStr">
        <is>
          <t>Tên vật tư</t>
        </is>
      </c>
      <c r="E35" s="8" t="inlineStr">
        <is>
          <t>Đơn vị</t>
        </is>
      </c>
      <c r="F35" s="8" t="inlineStr">
        <is>
          <t>Khối lượng</t>
        </is>
      </c>
      <c r="G35" s="8" t="inlineStr">
        <is>
          <t>Giá gốc
(đ)</t>
        </is>
      </c>
      <c r="H35" s="8" t="inlineStr">
        <is>
          <t>Thành tiền
(đ)</t>
        </is>
      </c>
      <c r="I35" s="8" t="inlineStr">
        <is>
          <t>Giá T.B
(đ)</t>
        </is>
      </c>
      <c r="J35" s="8" t="inlineStr">
        <is>
          <t>Thành tiền
(đ)</t>
        </is>
      </c>
      <c r="K35" s="8" t="inlineStr">
        <is>
          <t>Hệ số</t>
        </is>
      </c>
      <c r="L35" s="8" t="inlineStr">
        <is>
          <t>Giá T.B x H.S
(đ)</t>
        </is>
      </c>
      <c r="M35" s="8" t="inlineStr">
        <is>
          <t>Thành tiền
(đ)</t>
        </is>
      </c>
      <c r="N35" s="8" t="inlineStr">
        <is>
          <t>Cước V.C
Bù NL, lương
(đ)</t>
        </is>
      </c>
      <c r="O35" s="8" t="inlineStr">
        <is>
          <t>Thành tiền
(đ)</t>
        </is>
      </c>
      <c r="P35" s="8" t="inlineStr">
        <is>
          <t>Giá H.T
(đ)</t>
        </is>
      </c>
      <c r="Q35" s="8" t="inlineStr">
        <is>
          <t>Thành tiền
(đ)</t>
        </is>
      </c>
      <c r="R35" s="8" t="inlineStr">
        <is>
          <t>Chênh lệch
(đ)</t>
        </is>
      </c>
      <c r="S35" s="8" t="inlineStr">
        <is>
          <t>Tổng chênh
(đ)</t>
        </is>
      </c>
      <c r="T35" s="8" t="inlineStr">
        <is>
          <t>Ghi chú, Nguồn gốc xuất xứ</t>
        </is>
      </c>
      <c r="U35" s="8" t="inlineStr"/>
      <c r="V35" s="8" t="inlineStr"/>
    </row>
    <row r="36">
      <c r="A36" s="8" t="inlineStr">
        <is>
          <t>I</t>
        </is>
      </c>
      <c r="B36" s="8" t="inlineStr"/>
      <c r="C36" s="8" t="inlineStr">
        <is>
          <t>VẬT LIỆU</t>
        </is>
      </c>
      <c r="E36" s="8" t="inlineStr"/>
      <c r="F36" s="8" t="inlineStr"/>
      <c r="G36" s="8" t="inlineStr"/>
      <c r="H36" s="8" t="inlineStr"/>
      <c r="I36" s="8" t="inlineStr"/>
      <c r="J36" s="8" t="inlineStr"/>
      <c r="K36" s="8" t="inlineStr"/>
      <c r="L36" s="8" t="inlineStr"/>
      <c r="M36" s="8" t="inlineStr"/>
      <c r="N36" s="8" t="inlineStr"/>
      <c r="O36" s="8" t="inlineStr"/>
      <c r="P36" s="8" t="inlineStr"/>
      <c r="Q36" s="8" t="inlineStr"/>
      <c r="R36" s="8" t="inlineStr"/>
      <c r="S36" s="8" t="inlineStr"/>
      <c r="T36" s="8" t="inlineStr"/>
      <c r="U36" s="8" t="inlineStr"/>
      <c r="V36" s="8" t="inlineStr"/>
    </row>
    <row r="37">
      <c r="A37" s="8" t="n">
        <v>1</v>
      </c>
      <c r="B37" s="8" t="inlineStr">
        <is>
          <t>A33.085203</t>
        </is>
      </c>
      <c r="C37" s="8" t="inlineStr">
        <is>
          <t>Bảo ôn ống đồng D12.7 dày 19mm</t>
        </is>
      </c>
      <c r="E37" s="8" t="inlineStr">
        <is>
          <t>m</t>
        </is>
      </c>
      <c r="F37" s="8" t="n">
        <v>50.25</v>
      </c>
      <c r="G37" s="8" t="n">
        <v>0</v>
      </c>
      <c r="H37" s="8" t="n">
        <v>0</v>
      </c>
      <c r="I37" s="8" t="n">
        <v>21000</v>
      </c>
      <c r="J37" s="8" t="n">
        <v>1055250</v>
      </c>
      <c r="K37" s="8" t="n">
        <v>1</v>
      </c>
      <c r="L37" s="8" t="n">
        <v>21000</v>
      </c>
      <c r="M37" s="8" t="n">
        <v>1055250</v>
      </c>
      <c r="N37" s="8" t="n">
        <v>0</v>
      </c>
      <c r="O37" s="8" t="n">
        <v>0</v>
      </c>
      <c r="P37" s="8" t="n">
        <v>21000</v>
      </c>
      <c r="Q37" s="8" t="n">
        <v>1055250</v>
      </c>
      <c r="R37" s="8" t="n">
        <v>21000</v>
      </c>
      <c r="S37" s="8" t="n">
        <v>1055250</v>
      </c>
      <c r="T37" s="8" t="inlineStr">
        <is>
          <t>Báo giá BKRE</t>
        </is>
      </c>
      <c r="U37" s="8" t="n">
        <v>0</v>
      </c>
      <c r="V37" s="8" t="n">
        <v>0</v>
      </c>
    </row>
    <row r="38">
      <c r="A38" s="8" t="n">
        <v>2</v>
      </c>
      <c r="B38" s="8" t="inlineStr">
        <is>
          <t>A33.085204</t>
        </is>
      </c>
      <c r="C38" s="8" t="inlineStr">
        <is>
          <t>Bảo ôn ống đồng D15.9 dày 19mm</t>
        </is>
      </c>
      <c r="E38" s="8" t="inlineStr">
        <is>
          <t>m</t>
        </is>
      </c>
      <c r="F38" s="8" t="n">
        <v>2341.65</v>
      </c>
      <c r="G38" s="8" t="n">
        <v>0</v>
      </c>
      <c r="H38" s="8" t="n">
        <v>0</v>
      </c>
      <c r="I38" s="8" t="n">
        <v>22900</v>
      </c>
      <c r="J38" s="8" t="n">
        <v>53623785</v>
      </c>
      <c r="K38" s="8" t="n">
        <v>1</v>
      </c>
      <c r="L38" s="8" t="n">
        <v>22900</v>
      </c>
      <c r="M38" s="8" t="n">
        <v>53623785</v>
      </c>
      <c r="N38" s="8" t="n">
        <v>0</v>
      </c>
      <c r="O38" s="8" t="n">
        <v>0</v>
      </c>
      <c r="P38" s="8" t="n">
        <v>22900</v>
      </c>
      <c r="Q38" s="8" t="n">
        <v>53623785</v>
      </c>
      <c r="R38" s="8" t="n">
        <v>22900</v>
      </c>
      <c r="S38" s="8" t="n">
        <v>53623785</v>
      </c>
      <c r="T38" s="8" t="inlineStr">
        <is>
          <t>Báo giá BKRE</t>
        </is>
      </c>
      <c r="U38" s="8" t="n">
        <v>0</v>
      </c>
      <c r="V38" s="8" t="n">
        <v>0</v>
      </c>
    </row>
    <row r="39">
      <c r="A39" s="8" t="n">
        <v>3</v>
      </c>
      <c r="B39" s="8" t="inlineStr">
        <is>
          <t>A33.085205</t>
        </is>
      </c>
      <c r="C39" s="8" t="inlineStr">
        <is>
          <t>Bảo ôn ống đồng D19.1 dày 19mm</t>
        </is>
      </c>
      <c r="E39" s="8" t="inlineStr">
        <is>
          <t>m</t>
        </is>
      </c>
      <c r="F39" s="8" t="n">
        <v>402</v>
      </c>
      <c r="G39" s="8" t="n">
        <v>0</v>
      </c>
      <c r="H39" s="8" t="n">
        <v>0</v>
      </c>
      <c r="I39" s="8" t="n">
        <v>25300</v>
      </c>
      <c r="J39" s="8" t="n">
        <v>10170600</v>
      </c>
      <c r="K39" s="8" t="n">
        <v>1</v>
      </c>
      <c r="L39" s="8" t="n">
        <v>25300</v>
      </c>
      <c r="M39" s="8" t="n">
        <v>10170600</v>
      </c>
      <c r="N39" s="8" t="n">
        <v>0</v>
      </c>
      <c r="O39" s="8" t="n">
        <v>0</v>
      </c>
      <c r="P39" s="8" t="n">
        <v>25300</v>
      </c>
      <c r="Q39" s="8" t="n">
        <v>10170600</v>
      </c>
      <c r="R39" s="8" t="n">
        <v>25300</v>
      </c>
      <c r="S39" s="8" t="n">
        <v>10170600</v>
      </c>
      <c r="T39" s="8" t="inlineStr">
        <is>
          <t>Báo giá BKRE</t>
        </is>
      </c>
      <c r="U39" s="8" t="n">
        <v>0</v>
      </c>
      <c r="V39" s="8" t="n">
        <v>0</v>
      </c>
    </row>
    <row r="40">
      <c r="A40" s="8" t="n">
        <v>4</v>
      </c>
      <c r="B40" s="8" t="inlineStr">
        <is>
          <t>A33.085206</t>
        </is>
      </c>
      <c r="C40" s="8" t="inlineStr">
        <is>
          <t>Bảo ôn ống đồng D22.2 dày 19mm</t>
        </is>
      </c>
      <c r="E40" s="8" t="inlineStr">
        <is>
          <t>m</t>
        </is>
      </c>
      <c r="F40" s="8" t="n">
        <v>80.40000000000001</v>
      </c>
      <c r="G40" s="8" t="n">
        <v>0</v>
      </c>
      <c r="H40" s="8" t="n">
        <v>0</v>
      </c>
      <c r="I40" s="8" t="n">
        <v>27200</v>
      </c>
      <c r="J40" s="8" t="n">
        <v>2186880</v>
      </c>
      <c r="K40" s="8" t="n">
        <v>1</v>
      </c>
      <c r="L40" s="8" t="n">
        <v>27200</v>
      </c>
      <c r="M40" s="8" t="n">
        <v>2186880</v>
      </c>
      <c r="N40" s="8" t="n">
        <v>0</v>
      </c>
      <c r="O40" s="8" t="n">
        <v>0</v>
      </c>
      <c r="P40" s="8" t="n">
        <v>27200</v>
      </c>
      <c r="Q40" s="8" t="n">
        <v>2186880</v>
      </c>
      <c r="R40" s="8" t="n">
        <v>27200</v>
      </c>
      <c r="S40" s="8" t="n">
        <v>2186880</v>
      </c>
      <c r="T40" s="8" t="inlineStr">
        <is>
          <t>Báo giá BKRE</t>
        </is>
      </c>
      <c r="U40" s="8" t="n">
        <v>0</v>
      </c>
      <c r="V40" s="8" t="n">
        <v>0</v>
      </c>
    </row>
    <row r="41">
      <c r="A41" s="8" t="n">
        <v>5</v>
      </c>
      <c r="B41" s="8" t="inlineStr">
        <is>
          <t>A33.085208</t>
        </is>
      </c>
      <c r="C41" s="8" t="inlineStr">
        <is>
          <t>Bảo ôn ống đồng D28.6 dày 19mm</t>
        </is>
      </c>
      <c r="E41" s="8" t="inlineStr">
        <is>
          <t>m</t>
        </is>
      </c>
      <c r="F41" s="8" t="n">
        <v>160.8</v>
      </c>
      <c r="G41" s="8" t="n">
        <v>0</v>
      </c>
      <c r="H41" s="8" t="n">
        <v>0</v>
      </c>
      <c r="I41" s="8" t="n">
        <v>33000</v>
      </c>
      <c r="J41" s="8" t="n">
        <v>5306400</v>
      </c>
      <c r="K41" s="8" t="n">
        <v>1</v>
      </c>
      <c r="L41" s="8" t="n">
        <v>33000</v>
      </c>
      <c r="M41" s="8" t="n">
        <v>5306400</v>
      </c>
      <c r="N41" s="8" t="n">
        <v>0</v>
      </c>
      <c r="O41" s="8" t="n">
        <v>0</v>
      </c>
      <c r="P41" s="8" t="n">
        <v>33000</v>
      </c>
      <c r="Q41" s="8" t="n">
        <v>5306400</v>
      </c>
      <c r="R41" s="8" t="n">
        <v>33000</v>
      </c>
      <c r="S41" s="8" t="n">
        <v>5306400</v>
      </c>
      <c r="T41" s="8" t="inlineStr">
        <is>
          <t>Báo giá BKRE</t>
        </is>
      </c>
      <c r="U41" s="8" t="n">
        <v>0</v>
      </c>
      <c r="V41" s="8" t="n">
        <v>0</v>
      </c>
    </row>
    <row r="42">
      <c r="A42" s="8" t="n">
        <v>6</v>
      </c>
      <c r="B42" s="8" t="inlineStr">
        <is>
          <t>A33.085210</t>
        </is>
      </c>
      <c r="C42" s="8" t="inlineStr">
        <is>
          <t>Bảo ôn ống đồng D34.9 dày 19mm</t>
        </is>
      </c>
      <c r="E42" s="8" t="inlineStr">
        <is>
          <t>m</t>
        </is>
      </c>
      <c r="F42" s="8" t="n">
        <v>160.8</v>
      </c>
      <c r="G42" s="8" t="n">
        <v>0</v>
      </c>
      <c r="H42" s="8" t="n">
        <v>0</v>
      </c>
      <c r="I42" s="8" t="n">
        <v>41800</v>
      </c>
      <c r="J42" s="8" t="n">
        <v>6721440.000000001</v>
      </c>
      <c r="K42" s="8" t="n">
        <v>1</v>
      </c>
      <c r="L42" s="8" t="n">
        <v>41800</v>
      </c>
      <c r="M42" s="8" t="n">
        <v>6721440.000000001</v>
      </c>
      <c r="N42" s="8" t="n">
        <v>0</v>
      </c>
      <c r="O42" s="8" t="n">
        <v>0</v>
      </c>
      <c r="P42" s="8" t="n">
        <v>41800</v>
      </c>
      <c r="Q42" s="8" t="n">
        <v>6721440.000000001</v>
      </c>
      <c r="R42" s="8" t="n">
        <v>41800</v>
      </c>
      <c r="S42" s="8" t="n">
        <v>6721440.000000001</v>
      </c>
      <c r="T42" s="8" t="inlineStr">
        <is>
          <t>Báo giá BKRE</t>
        </is>
      </c>
      <c r="U42" s="8" t="n">
        <v>0</v>
      </c>
      <c r="V42" s="8" t="n">
        <v>0</v>
      </c>
    </row>
    <row r="43">
      <c r="A43" s="8" t="n">
        <v>7</v>
      </c>
      <c r="B43" s="8" t="inlineStr">
        <is>
          <t>A33.085212</t>
        </is>
      </c>
      <c r="C43" s="8" t="inlineStr">
        <is>
          <t>Bảo ôn ống đồng D41.3 dày 19mm</t>
        </is>
      </c>
      <c r="E43" s="8" t="inlineStr">
        <is>
          <t>m</t>
        </is>
      </c>
      <c r="F43" s="8" t="n">
        <v>241.2</v>
      </c>
      <c r="G43" s="8" t="n">
        <v>0</v>
      </c>
      <c r="H43" s="8" t="n">
        <v>0</v>
      </c>
      <c r="I43" s="8" t="n">
        <v>48100</v>
      </c>
      <c r="J43" s="8" t="n">
        <v>11601720</v>
      </c>
      <c r="K43" s="8" t="n">
        <v>1</v>
      </c>
      <c r="L43" s="8" t="n">
        <v>48100</v>
      </c>
      <c r="M43" s="8" t="n">
        <v>11601720</v>
      </c>
      <c r="N43" s="8" t="n">
        <v>0</v>
      </c>
      <c r="O43" s="8" t="n">
        <v>0</v>
      </c>
      <c r="P43" s="8" t="n">
        <v>48100</v>
      </c>
      <c r="Q43" s="8" t="n">
        <v>11601720</v>
      </c>
      <c r="R43" s="8" t="n">
        <v>48100</v>
      </c>
      <c r="S43" s="8" t="n">
        <v>11601720</v>
      </c>
      <c r="T43" s="8" t="inlineStr">
        <is>
          <t>Báo giá BKRE</t>
        </is>
      </c>
      <c r="U43" s="8" t="n">
        <v>0</v>
      </c>
      <c r="V43" s="8" t="n">
        <v>0</v>
      </c>
    </row>
    <row r="44">
      <c r="A44" s="8" t="n">
        <v>8</v>
      </c>
      <c r="B44" s="8" t="inlineStr">
        <is>
          <t>A33.085201</t>
        </is>
      </c>
      <c r="C44" s="8" t="inlineStr">
        <is>
          <t>Bảo ôn ống đồng D6.4 dày 19mm</t>
        </is>
      </c>
      <c r="E44" s="8" t="inlineStr">
        <is>
          <t>m</t>
        </is>
      </c>
      <c r="F44" s="8" t="n">
        <v>80.40000000000001</v>
      </c>
      <c r="G44" s="8" t="n">
        <v>0</v>
      </c>
      <c r="H44" s="8" t="n">
        <v>0</v>
      </c>
      <c r="I44" s="8" t="n">
        <v>17600</v>
      </c>
      <c r="J44" s="8" t="n">
        <v>1415040</v>
      </c>
      <c r="K44" s="8" t="n">
        <v>1</v>
      </c>
      <c r="L44" s="8" t="n">
        <v>17600</v>
      </c>
      <c r="M44" s="8" t="n">
        <v>1415040</v>
      </c>
      <c r="N44" s="8" t="n">
        <v>0</v>
      </c>
      <c r="O44" s="8" t="n">
        <v>0</v>
      </c>
      <c r="P44" s="8" t="n">
        <v>17600</v>
      </c>
      <c r="Q44" s="8" t="n">
        <v>1415040</v>
      </c>
      <c r="R44" s="8" t="n">
        <v>17600</v>
      </c>
      <c r="S44" s="8" t="n">
        <v>1415040</v>
      </c>
      <c r="T44" s="8" t="inlineStr">
        <is>
          <t>Báo giá BKRE</t>
        </is>
      </c>
      <c r="U44" s="8" t="n">
        <v>0</v>
      </c>
      <c r="V44" s="8" t="n">
        <v>0</v>
      </c>
    </row>
    <row r="45">
      <c r="A45" s="8" t="n">
        <v>9</v>
      </c>
      <c r="B45" s="8" t="inlineStr">
        <is>
          <t>A33.085202</t>
        </is>
      </c>
      <c r="C45" s="8" t="inlineStr">
        <is>
          <t>Bảo ôn ống đồng D9.5 dày 19mm</t>
        </is>
      </c>
      <c r="E45" s="8" t="inlineStr">
        <is>
          <t>m</t>
        </is>
      </c>
      <c r="F45" s="8" t="n">
        <v>2351.7</v>
      </c>
      <c r="G45" s="8" t="n">
        <v>0</v>
      </c>
      <c r="H45" s="8" t="n">
        <v>0</v>
      </c>
      <c r="I45" s="8" t="n">
        <v>18500</v>
      </c>
      <c r="J45" s="8" t="n">
        <v>43506450</v>
      </c>
      <c r="K45" s="8" t="n">
        <v>1</v>
      </c>
      <c r="L45" s="8" t="n">
        <v>18500</v>
      </c>
      <c r="M45" s="8" t="n">
        <v>43506450</v>
      </c>
      <c r="N45" s="8" t="n">
        <v>0</v>
      </c>
      <c r="O45" s="8" t="n">
        <v>0</v>
      </c>
      <c r="P45" s="8" t="n">
        <v>18500</v>
      </c>
      <c r="Q45" s="8" t="n">
        <v>43506450</v>
      </c>
      <c r="R45" s="8" t="n">
        <v>18500</v>
      </c>
      <c r="S45" s="8" t="n">
        <v>43506450</v>
      </c>
      <c r="T45" s="8" t="inlineStr">
        <is>
          <t>Báo giá BKRE</t>
        </is>
      </c>
      <c r="U45" s="8" t="n">
        <v>0</v>
      </c>
      <c r="V45" s="8" t="n">
        <v>0</v>
      </c>
    </row>
    <row r="46">
      <c r="A46" s="8" t="n">
        <v>10</v>
      </c>
      <c r="B46" s="8" t="inlineStr">
        <is>
          <t>A33.1140</t>
        </is>
      </c>
      <c r="C46" s="8" t="inlineStr">
        <is>
          <t>Bảo ôn ống uPVC D21 dày 13mm</t>
        </is>
      </c>
      <c r="E46" s="8" t="inlineStr">
        <is>
          <t>m</t>
        </is>
      </c>
      <c r="F46" s="8" t="n">
        <v>60.59999999999999</v>
      </c>
      <c r="G46" s="8" t="n">
        <v>0</v>
      </c>
      <c r="H46" s="8" t="n">
        <v>0</v>
      </c>
      <c r="I46" s="8" t="n">
        <v>16100</v>
      </c>
      <c r="J46" s="8" t="n">
        <v>975659.9999999999</v>
      </c>
      <c r="K46" s="8" t="n">
        <v>1</v>
      </c>
      <c r="L46" s="8" t="n">
        <v>16100</v>
      </c>
      <c r="M46" s="8" t="n">
        <v>975659.9999999999</v>
      </c>
      <c r="N46" s="8" t="n">
        <v>0</v>
      </c>
      <c r="O46" s="8" t="n">
        <v>0</v>
      </c>
      <c r="P46" s="8" t="n">
        <v>16100</v>
      </c>
      <c r="Q46" s="8" t="n">
        <v>975659.9999999999</v>
      </c>
      <c r="R46" s="8" t="n">
        <v>16100</v>
      </c>
      <c r="S46" s="8" t="n">
        <v>975659.9999999999</v>
      </c>
      <c r="T46" s="8" t="inlineStr">
        <is>
          <t>Báo giá BKRE</t>
        </is>
      </c>
      <c r="U46" s="8" t="n">
        <v>0</v>
      </c>
      <c r="V46" s="8" t="n">
        <v>0</v>
      </c>
    </row>
    <row r="47">
      <c r="A47" s="8" t="n">
        <v>11</v>
      </c>
      <c r="B47" s="8" t="inlineStr">
        <is>
          <t>A33.1140</t>
        </is>
      </c>
      <c r="C47" s="8" t="inlineStr">
        <is>
          <t>Bảo ôn ống uPVC D27 dày 13mm</t>
        </is>
      </c>
      <c r="E47" s="8" t="inlineStr">
        <is>
          <t>m</t>
        </is>
      </c>
      <c r="F47" s="8" t="n">
        <v>1777.6</v>
      </c>
      <c r="G47" s="8" t="n">
        <v>0</v>
      </c>
      <c r="H47" s="8" t="n">
        <v>0</v>
      </c>
      <c r="I47" s="8" t="n">
        <v>19500</v>
      </c>
      <c r="J47" s="8" t="n">
        <v>34663200</v>
      </c>
      <c r="K47" s="8" t="n">
        <v>1</v>
      </c>
      <c r="L47" s="8" t="n">
        <v>19500</v>
      </c>
      <c r="M47" s="8" t="n">
        <v>34663200</v>
      </c>
      <c r="N47" s="8" t="n">
        <v>0</v>
      </c>
      <c r="O47" s="8" t="n">
        <v>0</v>
      </c>
      <c r="P47" s="8" t="n">
        <v>19500</v>
      </c>
      <c r="Q47" s="8" t="n">
        <v>34663200</v>
      </c>
      <c r="R47" s="8" t="n">
        <v>19500</v>
      </c>
      <c r="S47" s="8" t="n">
        <v>34663200</v>
      </c>
      <c r="T47" s="8" t="inlineStr">
        <is>
          <t>Báo giá BKRE</t>
        </is>
      </c>
      <c r="U47" s="8" t="n">
        <v>0</v>
      </c>
      <c r="V47" s="8" t="n">
        <v>0</v>
      </c>
    </row>
    <row r="48">
      <c r="A48" s="8" t="n">
        <v>12</v>
      </c>
      <c r="B48" s="8" t="inlineStr">
        <is>
          <t>A33.1140</t>
        </is>
      </c>
      <c r="C48" s="8" t="inlineStr">
        <is>
          <t>Bảo ôn ống uPVC D34 dày 13mm</t>
        </is>
      </c>
      <c r="E48" s="8" t="inlineStr">
        <is>
          <t>m</t>
        </is>
      </c>
      <c r="F48" s="8" t="n">
        <v>303</v>
      </c>
      <c r="G48" s="8" t="n">
        <v>0</v>
      </c>
      <c r="H48" s="8" t="n">
        <v>0</v>
      </c>
      <c r="I48" s="8" t="n">
        <v>22900</v>
      </c>
      <c r="J48" s="8" t="n">
        <v>6938700</v>
      </c>
      <c r="K48" s="8" t="n">
        <v>1</v>
      </c>
      <c r="L48" s="8" t="n">
        <v>22900</v>
      </c>
      <c r="M48" s="8" t="n">
        <v>6938700</v>
      </c>
      <c r="N48" s="8" t="n">
        <v>0</v>
      </c>
      <c r="O48" s="8" t="n">
        <v>0</v>
      </c>
      <c r="P48" s="8" t="n">
        <v>22900</v>
      </c>
      <c r="Q48" s="8" t="n">
        <v>6938700</v>
      </c>
      <c r="R48" s="8" t="n">
        <v>22900</v>
      </c>
      <c r="S48" s="8" t="n">
        <v>6938700</v>
      </c>
      <c r="T48" s="8" t="inlineStr">
        <is>
          <t>Báo giá BKRE</t>
        </is>
      </c>
      <c r="U48" s="8" t="n">
        <v>0</v>
      </c>
      <c r="V48" s="8" t="n">
        <v>0</v>
      </c>
    </row>
    <row r="49">
      <c r="A49" s="8" t="n">
        <v>13</v>
      </c>
      <c r="B49" s="8" t="inlineStr">
        <is>
          <t>A33.1140</t>
        </is>
      </c>
      <c r="C49" s="8" t="inlineStr">
        <is>
          <t>Bảo ôn ống uPVC D42 dày 13mm</t>
        </is>
      </c>
      <c r="E49" s="8" t="inlineStr">
        <is>
          <t>m</t>
        </is>
      </c>
      <c r="F49" s="8" t="n">
        <v>303</v>
      </c>
      <c r="G49" s="8" t="n">
        <v>0</v>
      </c>
      <c r="H49" s="8" t="n">
        <v>0</v>
      </c>
      <c r="I49" s="8" t="n">
        <v>29200</v>
      </c>
      <c r="J49" s="8" t="n">
        <v>8847600</v>
      </c>
      <c r="K49" s="8" t="n">
        <v>1</v>
      </c>
      <c r="L49" s="8" t="n">
        <v>29200</v>
      </c>
      <c r="M49" s="8" t="n">
        <v>8847600</v>
      </c>
      <c r="N49" s="8" t="n">
        <v>0</v>
      </c>
      <c r="O49" s="8" t="n">
        <v>0</v>
      </c>
      <c r="P49" s="8" t="n">
        <v>29200</v>
      </c>
      <c r="Q49" s="8" t="n">
        <v>8847600</v>
      </c>
      <c r="R49" s="8" t="n">
        <v>29200</v>
      </c>
      <c r="S49" s="8" t="n">
        <v>8847600</v>
      </c>
      <c r="T49" s="8" t="inlineStr">
        <is>
          <t>Báo giá BKRE</t>
        </is>
      </c>
      <c r="U49" s="8" t="n">
        <v>0</v>
      </c>
      <c r="V49" s="8" t="n">
        <v>0</v>
      </c>
    </row>
    <row r="50">
      <c r="A50" s="8" t="n">
        <v>14</v>
      </c>
      <c r="B50" s="8" t="inlineStr">
        <is>
          <t>A33.1140</t>
        </is>
      </c>
      <c r="C50" s="8" t="inlineStr">
        <is>
          <t>Bảo ôn ống uPVC D48 dày 13mm</t>
        </is>
      </c>
      <c r="E50" s="8" t="inlineStr">
        <is>
          <t>m</t>
        </is>
      </c>
      <c r="F50" s="8" t="n">
        <v>252.5</v>
      </c>
      <c r="G50" s="8" t="n">
        <v>0</v>
      </c>
      <c r="H50" s="8" t="n">
        <v>0</v>
      </c>
      <c r="I50" s="8" t="n">
        <v>32100</v>
      </c>
      <c r="J50" s="8" t="n">
        <v>8105250</v>
      </c>
      <c r="K50" s="8" t="n">
        <v>1</v>
      </c>
      <c r="L50" s="8" t="n">
        <v>32100</v>
      </c>
      <c r="M50" s="8" t="n">
        <v>8105250</v>
      </c>
      <c r="N50" s="8" t="n">
        <v>0</v>
      </c>
      <c r="O50" s="8" t="n">
        <v>0</v>
      </c>
      <c r="P50" s="8" t="n">
        <v>32100</v>
      </c>
      <c r="Q50" s="8" t="n">
        <v>8105250</v>
      </c>
      <c r="R50" s="8" t="n">
        <v>32100</v>
      </c>
      <c r="S50" s="8" t="n">
        <v>8105250</v>
      </c>
      <c r="T50" s="8" t="inlineStr">
        <is>
          <t>Báo giá BKRE</t>
        </is>
      </c>
      <c r="U50" s="8" t="n">
        <v>0</v>
      </c>
      <c r="V50" s="8" t="n">
        <v>0</v>
      </c>
    </row>
    <row r="51">
      <c r="A51" s="8" t="n">
        <v>15</v>
      </c>
      <c r="B51" s="8" t="inlineStr">
        <is>
          <t>A33.1143</t>
        </is>
      </c>
      <c r="C51" s="8" t="inlineStr">
        <is>
          <t>Băng cuốn bảo ôn</t>
        </is>
      </c>
      <c r="E51" s="8" t="inlineStr">
        <is>
          <t>cuộn</t>
        </is>
      </c>
      <c r="F51" s="8" t="n">
        <v>1129.222</v>
      </c>
      <c r="G51" s="8" t="n">
        <v>0</v>
      </c>
      <c r="H51" s="8" t="n">
        <v>0</v>
      </c>
      <c r="I51" s="8" t="n">
        <v>15000</v>
      </c>
      <c r="J51" s="8" t="n">
        <v>16938330</v>
      </c>
      <c r="K51" s="8" t="n">
        <v>1</v>
      </c>
      <c r="L51" s="8" t="n">
        <v>15000</v>
      </c>
      <c r="M51" s="8" t="n">
        <v>16938330</v>
      </c>
      <c r="N51" s="8" t="n">
        <v>0</v>
      </c>
      <c r="O51" s="8" t="n">
        <v>0</v>
      </c>
      <c r="P51" s="8" t="n">
        <v>15000</v>
      </c>
      <c r="Q51" s="8" t="n">
        <v>16938330</v>
      </c>
      <c r="R51" s="8" t="n">
        <v>15000</v>
      </c>
      <c r="S51" s="8" t="n">
        <v>16938330</v>
      </c>
      <c r="T51" s="8" t="inlineStr">
        <is>
          <t>Giá gốc</t>
        </is>
      </c>
      <c r="U51" s="8" t="n">
        <v>0</v>
      </c>
      <c r="V51" s="8" t="n">
        <v>0</v>
      </c>
    </row>
    <row r="52">
      <c r="A52" s="8" t="n">
        <v>16</v>
      </c>
      <c r="B52" s="8" t="inlineStr">
        <is>
          <t>A33.0345</t>
        </is>
      </c>
      <c r="C52" s="8" t="inlineStr">
        <is>
          <t>Cồn rửa</t>
        </is>
      </c>
      <c r="E52" s="8" t="inlineStr">
        <is>
          <t>kg</t>
        </is>
      </c>
      <c r="F52" s="8" t="n">
        <v>3.919</v>
      </c>
      <c r="G52" s="8" t="n">
        <v>0</v>
      </c>
      <c r="H52" s="8" t="n">
        <v>0</v>
      </c>
      <c r="I52" s="8" t="n">
        <v>12000</v>
      </c>
      <c r="J52" s="8" t="n">
        <v>47028.00000000001</v>
      </c>
      <c r="K52" s="8" t="n">
        <v>1</v>
      </c>
      <c r="L52" s="8" t="n">
        <v>12000</v>
      </c>
      <c r="M52" s="8" t="n">
        <v>47028.00000000001</v>
      </c>
      <c r="N52" s="8" t="n">
        <v>0</v>
      </c>
      <c r="O52" s="8" t="n">
        <v>0</v>
      </c>
      <c r="P52" s="8" t="n">
        <v>12000</v>
      </c>
      <c r="Q52" s="8" t="n">
        <v>47028.00000000001</v>
      </c>
      <c r="R52" s="8" t="n">
        <v>12000</v>
      </c>
      <c r="S52" s="8" t="n">
        <v>47028.00000000001</v>
      </c>
      <c r="T52" s="8" t="inlineStr">
        <is>
          <t>Giá gốc</t>
        </is>
      </c>
      <c r="U52" s="8" t="n">
        <v>0</v>
      </c>
      <c r="V52" s="8" t="n">
        <v>0</v>
      </c>
    </row>
    <row r="53">
      <c r="A53" s="8" t="n">
        <v>17</v>
      </c>
      <c r="B53" s="8" t="inlineStr">
        <is>
          <t>A33.0074</t>
        </is>
      </c>
      <c r="C53" s="8" t="inlineStr">
        <is>
          <t>Dây điện_Cu/PVC_2x(1x0.75)mm2</t>
        </is>
      </c>
      <c r="E53" s="8" t="inlineStr">
        <is>
          <t>m</t>
        </is>
      </c>
      <c r="F53" s="8" t="n">
        <v>1313</v>
      </c>
      <c r="G53" s="8" t="n">
        <v>0</v>
      </c>
      <c r="H53" s="8" t="n">
        <v>0</v>
      </c>
      <c r="I53" s="8" t="n">
        <v>8658</v>
      </c>
      <c r="J53" s="8" t="n">
        <v>11367954</v>
      </c>
      <c r="K53" s="8" t="n">
        <v>1</v>
      </c>
      <c r="L53" s="8" t="n">
        <v>8658</v>
      </c>
      <c r="M53" s="8" t="n">
        <v>11367954</v>
      </c>
      <c r="N53" s="8" t="n">
        <v>0</v>
      </c>
      <c r="O53" s="8" t="n">
        <v>0</v>
      </c>
      <c r="P53" s="8" t="n">
        <v>8658</v>
      </c>
      <c r="Q53" s="8" t="n">
        <v>11367954</v>
      </c>
      <c r="R53" s="8" t="n">
        <v>8658</v>
      </c>
      <c r="S53" s="8" t="n">
        <v>11367954</v>
      </c>
      <c r="T53" s="8" t="inlineStr">
        <is>
          <t>CBG quý 2/2026</t>
        </is>
      </c>
      <c r="U53" s="8" t="n">
        <v>0</v>
      </c>
      <c r="V53" s="8" t="n">
        <v>0</v>
      </c>
    </row>
    <row r="54">
      <c r="A54" s="8" t="n">
        <v>18</v>
      </c>
      <c r="B54" s="8" t="inlineStr">
        <is>
          <t>A33.0075</t>
        </is>
      </c>
      <c r="C54" s="8" t="inlineStr">
        <is>
          <t>Dây điện_Cu/PVC_2x(1x1.5)mm2</t>
        </is>
      </c>
      <c r="E54" s="8" t="inlineStr">
        <is>
          <t>m</t>
        </is>
      </c>
      <c r="F54" s="8" t="n">
        <v>4706.6</v>
      </c>
      <c r="G54" s="8" t="n">
        <v>0</v>
      </c>
      <c r="H54" s="8" t="n">
        <v>0</v>
      </c>
      <c r="I54" s="8" t="n">
        <v>15055</v>
      </c>
      <c r="J54" s="8" t="n">
        <v>70857863</v>
      </c>
      <c r="K54" s="8" t="n">
        <v>1</v>
      </c>
      <c r="L54" s="8" t="n">
        <v>15055</v>
      </c>
      <c r="M54" s="8" t="n">
        <v>70857863</v>
      </c>
      <c r="N54" s="8" t="n">
        <v>0</v>
      </c>
      <c r="O54" s="8" t="n">
        <v>0</v>
      </c>
      <c r="P54" s="8" t="n">
        <v>15055</v>
      </c>
      <c r="Q54" s="8" t="n">
        <v>70857863</v>
      </c>
      <c r="R54" s="8" t="n">
        <v>15055</v>
      </c>
      <c r="S54" s="8" t="n">
        <v>70857863</v>
      </c>
      <c r="T54" s="8" t="inlineStr">
        <is>
          <t>CBG quý 2/2026</t>
        </is>
      </c>
      <c r="U54" s="8" t="n">
        <v>0</v>
      </c>
      <c r="V54" s="8" t="n">
        <v>0</v>
      </c>
    </row>
    <row r="55">
      <c r="A55" s="8" t="n">
        <v>19</v>
      </c>
      <c r="B55" s="8" t="inlineStr">
        <is>
          <t>A33.0075</t>
        </is>
      </c>
      <c r="C55" s="8" t="inlineStr">
        <is>
          <t>Dây điện_Cu/PVC_2x(1x2.5)mm2</t>
        </is>
      </c>
      <c r="E55" s="8" t="inlineStr">
        <is>
          <t>m</t>
        </is>
      </c>
      <c r="F55" s="8" t="n">
        <v>4706.6</v>
      </c>
      <c r="G55" s="8" t="n">
        <v>0</v>
      </c>
      <c r="H55" s="8" t="n">
        <v>0</v>
      </c>
      <c r="I55" s="8" t="n">
        <v>24591</v>
      </c>
      <c r="J55" s="8" t="n">
        <v>115740000.6</v>
      </c>
      <c r="K55" s="8" t="n">
        <v>1</v>
      </c>
      <c r="L55" s="8" t="n">
        <v>24591</v>
      </c>
      <c r="M55" s="8" t="n">
        <v>115740000.6</v>
      </c>
      <c r="N55" s="8" t="n">
        <v>0</v>
      </c>
      <c r="O55" s="8" t="n">
        <v>0</v>
      </c>
      <c r="P55" s="8" t="n">
        <v>24591</v>
      </c>
      <c r="Q55" s="8" t="n">
        <v>115740000.6</v>
      </c>
      <c r="R55" s="8" t="n">
        <v>24591</v>
      </c>
      <c r="S55" s="8" t="n">
        <v>115740000.6</v>
      </c>
      <c r="T55" s="8" t="inlineStr">
        <is>
          <t>CBG quý 2/2026</t>
        </is>
      </c>
      <c r="U55" s="8" t="n">
        <v>0</v>
      </c>
      <c r="V55" s="8" t="n">
        <v>0</v>
      </c>
    </row>
    <row r="56">
      <c r="A56" s="8" t="n">
        <v>20</v>
      </c>
      <c r="B56" s="8" t="inlineStr">
        <is>
          <t>A33.0075</t>
        </is>
      </c>
      <c r="C56" s="8" t="inlineStr">
        <is>
          <t>Dây điện_Cu/PVC_2x(1x4.0)mm2</t>
        </is>
      </c>
      <c r="E56" s="8" t="inlineStr">
        <is>
          <t>m</t>
        </is>
      </c>
      <c r="F56" s="8" t="n">
        <v>4040</v>
      </c>
      <c r="G56" s="8" t="n">
        <v>0</v>
      </c>
      <c r="H56" s="8" t="n">
        <v>0</v>
      </c>
      <c r="I56" s="8" t="n">
        <v>39292</v>
      </c>
      <c r="J56" s="8" t="n">
        <v>158739680</v>
      </c>
      <c r="K56" s="8" t="n">
        <v>1</v>
      </c>
      <c r="L56" s="8" t="n">
        <v>39292</v>
      </c>
      <c r="M56" s="8" t="n">
        <v>158739680</v>
      </c>
      <c r="N56" s="8" t="n">
        <v>0</v>
      </c>
      <c r="O56" s="8" t="n">
        <v>0</v>
      </c>
      <c r="P56" s="8" t="n">
        <v>39292</v>
      </c>
      <c r="Q56" s="8" t="n">
        <v>158739680</v>
      </c>
      <c r="R56" s="8" t="n">
        <v>39292</v>
      </c>
      <c r="S56" s="8" t="n">
        <v>158739680</v>
      </c>
      <c r="T56" s="8" t="inlineStr">
        <is>
          <t>CBG quý 2/2026</t>
        </is>
      </c>
      <c r="U56" s="8" t="n">
        <v>0</v>
      </c>
      <c r="V56" s="8" t="n">
        <v>0</v>
      </c>
    </row>
    <row r="57">
      <c r="A57" s="8" t="n">
        <v>21</v>
      </c>
      <c r="B57" s="8" t="inlineStr">
        <is>
          <t>A24.0931</t>
        </is>
      </c>
      <c r="C57" s="8" t="inlineStr">
        <is>
          <t>Khí gas</t>
        </is>
      </c>
      <c r="E57" s="8" t="inlineStr">
        <is>
          <t>kg</t>
        </is>
      </c>
      <c r="F57" s="8" t="n">
        <v>0.6686000000000001</v>
      </c>
      <c r="G57" s="8" t="n">
        <v>0</v>
      </c>
      <c r="H57" s="8" t="n">
        <v>0</v>
      </c>
      <c r="I57" s="8" t="n">
        <v>37803</v>
      </c>
      <c r="J57" s="8" t="n">
        <v>25275.0858</v>
      </c>
      <c r="K57" s="8" t="n">
        <v>1</v>
      </c>
      <c r="L57" s="8" t="n">
        <v>37803</v>
      </c>
      <c r="M57" s="8" t="n">
        <v>25275.0858</v>
      </c>
      <c r="N57" s="8" t="n">
        <v>0</v>
      </c>
      <c r="O57" s="8" t="n">
        <v>0</v>
      </c>
      <c r="P57" s="8" t="n">
        <v>37803</v>
      </c>
      <c r="Q57" s="8" t="n">
        <v>25275.0858</v>
      </c>
      <c r="R57" s="8" t="n">
        <v>37803</v>
      </c>
      <c r="S57" s="8" t="n">
        <v>25275.0858</v>
      </c>
      <c r="T57" s="8" t="inlineStr">
        <is>
          <t>Giá gốc</t>
        </is>
      </c>
      <c r="U57" s="8" t="n">
        <v>0</v>
      </c>
      <c r="V57" s="8" t="n">
        <v>0</v>
      </c>
    </row>
    <row r="58">
      <c r="A58" s="8" t="n">
        <v>22</v>
      </c>
      <c r="B58" s="8" t="inlineStr">
        <is>
          <t>A33.0346</t>
        </is>
      </c>
      <c r="C58" s="8" t="inlineStr">
        <is>
          <t>Nhựa dán</t>
        </is>
      </c>
      <c r="E58" s="8" t="inlineStr">
        <is>
          <t>kg</t>
        </is>
      </c>
      <c r="F58" s="8" t="n">
        <v>0.9330000000000001</v>
      </c>
      <c r="G58" s="8" t="n">
        <v>0</v>
      </c>
      <c r="H58" s="8" t="n">
        <v>0</v>
      </c>
      <c r="I58" s="8" t="n">
        <v>86000</v>
      </c>
      <c r="J58" s="8" t="n">
        <v>80238</v>
      </c>
      <c r="K58" s="8" t="n">
        <v>1</v>
      </c>
      <c r="L58" s="8" t="n">
        <v>86000</v>
      </c>
      <c r="M58" s="8" t="n">
        <v>80238</v>
      </c>
      <c r="N58" s="8" t="n">
        <v>0</v>
      </c>
      <c r="O58" s="8" t="n">
        <v>0</v>
      </c>
      <c r="P58" s="8" t="n">
        <v>86000</v>
      </c>
      <c r="Q58" s="8" t="n">
        <v>80238</v>
      </c>
      <c r="R58" s="8" t="n">
        <v>86000</v>
      </c>
      <c r="S58" s="8" t="n">
        <v>80238</v>
      </c>
      <c r="T58" s="8" t="inlineStr">
        <is>
          <t>Giá gốc</t>
        </is>
      </c>
      <c r="U58" s="8" t="n">
        <v>0</v>
      </c>
      <c r="V58" s="8" t="n">
        <v>0</v>
      </c>
    </row>
    <row r="59">
      <c r="A59" s="8" t="n">
        <v>23</v>
      </c>
      <c r="B59" s="8" t="inlineStr">
        <is>
          <t>A33.0001</t>
        </is>
      </c>
      <c r="C59" s="8" t="inlineStr">
        <is>
          <t>Ô xy</t>
        </is>
      </c>
      <c r="E59" s="8" t="inlineStr">
        <is>
          <t>chai</t>
        </is>
      </c>
      <c r="F59" s="8" t="n">
        <v>0.3343</v>
      </c>
      <c r="G59" s="8" t="n">
        <v>0</v>
      </c>
      <c r="H59" s="8" t="n">
        <v>0</v>
      </c>
      <c r="I59" s="8" t="n">
        <v>30000</v>
      </c>
      <c r="J59" s="8" t="n">
        <v>10029</v>
      </c>
      <c r="K59" s="8" t="n">
        <v>1</v>
      </c>
      <c r="L59" s="8" t="n">
        <v>30000</v>
      </c>
      <c r="M59" s="8" t="n">
        <v>10029</v>
      </c>
      <c r="N59" s="8" t="n">
        <v>0</v>
      </c>
      <c r="O59" s="8" t="n">
        <v>0</v>
      </c>
      <c r="P59" s="8" t="n">
        <v>30000</v>
      </c>
      <c r="Q59" s="8" t="n">
        <v>10029</v>
      </c>
      <c r="R59" s="8" t="n">
        <v>30000</v>
      </c>
      <c r="S59" s="8" t="n">
        <v>10029</v>
      </c>
      <c r="T59" s="8" t="inlineStr">
        <is>
          <t>Giá gốc</t>
        </is>
      </c>
      <c r="U59" s="8" t="n">
        <v>0</v>
      </c>
      <c r="V59" s="8" t="n">
        <v>0</v>
      </c>
    </row>
    <row r="60">
      <c r="A60" s="8" t="n">
        <v>24</v>
      </c>
      <c r="B60" s="8" t="inlineStr">
        <is>
          <t>A33.0460</t>
        </is>
      </c>
      <c r="C60" s="8" t="inlineStr">
        <is>
          <t>Ống đồng_D12.7_0.81mm</t>
        </is>
      </c>
      <c r="E60" s="8" t="inlineStr">
        <is>
          <t>m</t>
        </is>
      </c>
      <c r="F60" s="8" t="n">
        <v>50.25</v>
      </c>
      <c r="G60" s="8" t="n">
        <v>0</v>
      </c>
      <c r="H60" s="8" t="n">
        <v>0</v>
      </c>
      <c r="I60" s="8" t="n">
        <v>108000</v>
      </c>
      <c r="J60" s="8" t="n">
        <v>5427000</v>
      </c>
      <c r="K60" s="8" t="n">
        <v>1</v>
      </c>
      <c r="L60" s="8" t="n">
        <v>108000</v>
      </c>
      <c r="M60" s="8" t="n">
        <v>5427000</v>
      </c>
      <c r="N60" s="8" t="n">
        <v>0</v>
      </c>
      <c r="O60" s="8" t="n">
        <v>0</v>
      </c>
      <c r="P60" s="8" t="n">
        <v>108000</v>
      </c>
      <c r="Q60" s="8" t="n">
        <v>5427000</v>
      </c>
      <c r="R60" s="8" t="n">
        <v>108000</v>
      </c>
      <c r="S60" s="8" t="n">
        <v>5427000</v>
      </c>
      <c r="T60" s="8" t="inlineStr">
        <is>
          <t>Báo giá BKRE</t>
        </is>
      </c>
      <c r="U60" s="8" t="n">
        <v>0</v>
      </c>
      <c r="V60" s="8" t="n">
        <v>0</v>
      </c>
    </row>
    <row r="61">
      <c r="A61" s="8" t="n">
        <v>25</v>
      </c>
      <c r="B61" s="8" t="inlineStr">
        <is>
          <t>A33.0461</t>
        </is>
      </c>
      <c r="C61" s="8" t="inlineStr">
        <is>
          <t>Ống đồng_D15.9_0.99mm</t>
        </is>
      </c>
      <c r="E61" s="8" t="inlineStr">
        <is>
          <t>m</t>
        </is>
      </c>
      <c r="F61" s="8" t="n">
        <v>2341.65</v>
      </c>
      <c r="G61" s="8" t="n">
        <v>0</v>
      </c>
      <c r="H61" s="8" t="n">
        <v>0</v>
      </c>
      <c r="I61" s="8" t="n">
        <v>166900</v>
      </c>
      <c r="J61" s="8" t="n">
        <v>390821385</v>
      </c>
      <c r="K61" s="8" t="n">
        <v>1</v>
      </c>
      <c r="L61" s="8" t="n">
        <v>166900</v>
      </c>
      <c r="M61" s="8" t="n">
        <v>390821385</v>
      </c>
      <c r="N61" s="8" t="n">
        <v>0</v>
      </c>
      <c r="O61" s="8" t="n">
        <v>0</v>
      </c>
      <c r="P61" s="8" t="n">
        <v>166900</v>
      </c>
      <c r="Q61" s="8" t="n">
        <v>390821385</v>
      </c>
      <c r="R61" s="8" t="n">
        <v>166900</v>
      </c>
      <c r="S61" s="8" t="n">
        <v>390821385</v>
      </c>
      <c r="T61" s="8" t="inlineStr">
        <is>
          <t>Báo giá BKRE</t>
        </is>
      </c>
      <c r="U61" s="8" t="n">
        <v>0</v>
      </c>
      <c r="V61" s="8" t="n">
        <v>0</v>
      </c>
    </row>
    <row r="62">
      <c r="A62" s="8" t="n">
        <v>26</v>
      </c>
      <c r="B62" s="8" t="inlineStr">
        <is>
          <t>A33.0462</t>
        </is>
      </c>
      <c r="C62" s="8" t="inlineStr">
        <is>
          <t>Ống đồng_D19.1_0.99mm</t>
        </is>
      </c>
      <c r="E62" s="8" t="inlineStr">
        <is>
          <t>m</t>
        </is>
      </c>
      <c r="F62" s="8" t="n">
        <v>402</v>
      </c>
      <c r="G62" s="8" t="n">
        <v>0</v>
      </c>
      <c r="H62" s="8" t="n">
        <v>0</v>
      </c>
      <c r="I62" s="8" t="n">
        <v>202300</v>
      </c>
      <c r="J62" s="8" t="n">
        <v>81324600</v>
      </c>
      <c r="K62" s="8" t="n">
        <v>1</v>
      </c>
      <c r="L62" s="8" t="n">
        <v>202300</v>
      </c>
      <c r="M62" s="8" t="n">
        <v>81324600</v>
      </c>
      <c r="N62" s="8" t="n">
        <v>0</v>
      </c>
      <c r="O62" s="8" t="n">
        <v>0</v>
      </c>
      <c r="P62" s="8" t="n">
        <v>202300</v>
      </c>
      <c r="Q62" s="8" t="n">
        <v>81324600</v>
      </c>
      <c r="R62" s="8" t="n">
        <v>202300</v>
      </c>
      <c r="S62" s="8" t="n">
        <v>81324600</v>
      </c>
      <c r="T62" s="8" t="inlineStr">
        <is>
          <t>Báo giá BKRE</t>
        </is>
      </c>
      <c r="U62" s="8" t="n">
        <v>0</v>
      </c>
      <c r="V62" s="8" t="n">
        <v>0</v>
      </c>
    </row>
    <row r="63">
      <c r="A63" s="8" t="n">
        <v>27</v>
      </c>
      <c r="B63" s="8" t="inlineStr">
        <is>
          <t>A33.0463</t>
        </is>
      </c>
      <c r="C63" s="8" t="inlineStr">
        <is>
          <t>Ống đồng_D22.2_1.14mm</t>
        </is>
      </c>
      <c r="E63" s="8" t="inlineStr">
        <is>
          <t>m</t>
        </is>
      </c>
      <c r="F63" s="8" t="n">
        <v>80.40000000000001</v>
      </c>
      <c r="G63" s="8" t="n">
        <v>0</v>
      </c>
      <c r="H63" s="8" t="n">
        <v>0</v>
      </c>
      <c r="I63" s="8" t="n">
        <v>272200</v>
      </c>
      <c r="J63" s="8" t="n">
        <v>21884880</v>
      </c>
      <c r="K63" s="8" t="n">
        <v>1</v>
      </c>
      <c r="L63" s="8" t="n">
        <v>272200</v>
      </c>
      <c r="M63" s="8" t="n">
        <v>21884880</v>
      </c>
      <c r="N63" s="8" t="n">
        <v>0</v>
      </c>
      <c r="O63" s="8" t="n">
        <v>0</v>
      </c>
      <c r="P63" s="8" t="n">
        <v>272200</v>
      </c>
      <c r="Q63" s="8" t="n">
        <v>21884880</v>
      </c>
      <c r="R63" s="8" t="n">
        <v>272200</v>
      </c>
      <c r="S63" s="8" t="n">
        <v>21884880</v>
      </c>
      <c r="T63" s="8" t="inlineStr">
        <is>
          <t>Báo giá BKRE</t>
        </is>
      </c>
      <c r="U63" s="8" t="n">
        <v>0</v>
      </c>
      <c r="V63" s="8" t="n">
        <v>0</v>
      </c>
    </row>
    <row r="64">
      <c r="A64" s="8" t="n">
        <v>28</v>
      </c>
      <c r="B64" s="8" t="inlineStr">
        <is>
          <t>A33.0465</t>
        </is>
      </c>
      <c r="C64" s="8" t="inlineStr">
        <is>
          <t>Ống đồng_D28.6_1.27mm</t>
        </is>
      </c>
      <c r="E64" s="8" t="inlineStr">
        <is>
          <t>m</t>
        </is>
      </c>
      <c r="F64" s="8" t="n">
        <v>160.8</v>
      </c>
      <c r="G64" s="8" t="n">
        <v>0</v>
      </c>
      <c r="H64" s="8" t="n">
        <v>0</v>
      </c>
      <c r="I64" s="8" t="n">
        <v>392700</v>
      </c>
      <c r="J64" s="8" t="n">
        <v>63146160.00000001</v>
      </c>
      <c r="K64" s="8" t="n">
        <v>1</v>
      </c>
      <c r="L64" s="8" t="n">
        <v>392700</v>
      </c>
      <c r="M64" s="8" t="n">
        <v>63146160.00000001</v>
      </c>
      <c r="N64" s="8" t="n">
        <v>0</v>
      </c>
      <c r="O64" s="8" t="n">
        <v>0</v>
      </c>
      <c r="P64" s="8" t="n">
        <v>392700</v>
      </c>
      <c r="Q64" s="8" t="n">
        <v>63146160.00000001</v>
      </c>
      <c r="R64" s="8" t="n">
        <v>392700</v>
      </c>
      <c r="S64" s="8" t="n">
        <v>63146160.00000001</v>
      </c>
      <c r="T64" s="8" t="inlineStr">
        <is>
          <t>Báo giá BKRE</t>
        </is>
      </c>
      <c r="U64" s="8" t="n">
        <v>0</v>
      </c>
      <c r="V64" s="8" t="n">
        <v>0</v>
      </c>
    </row>
    <row r="65">
      <c r="A65" s="8" t="n">
        <v>29</v>
      </c>
      <c r="B65" s="8" t="inlineStr">
        <is>
          <t>A33.0467</t>
        </is>
      </c>
      <c r="C65" s="8" t="inlineStr">
        <is>
          <t>Ống đồng_D34.9_1.40mm</t>
        </is>
      </c>
      <c r="E65" s="8" t="inlineStr">
        <is>
          <t>m</t>
        </is>
      </c>
      <c r="F65" s="8" t="n">
        <v>160.8</v>
      </c>
      <c r="G65" s="8" t="n">
        <v>0</v>
      </c>
      <c r="H65" s="8" t="n">
        <v>0</v>
      </c>
      <c r="I65" s="8" t="n">
        <v>531600</v>
      </c>
      <c r="J65" s="8" t="n">
        <v>85481280</v>
      </c>
      <c r="K65" s="8" t="n">
        <v>1</v>
      </c>
      <c r="L65" s="8" t="n">
        <v>531600</v>
      </c>
      <c r="M65" s="8" t="n">
        <v>85481280</v>
      </c>
      <c r="N65" s="8" t="n">
        <v>0</v>
      </c>
      <c r="O65" s="8" t="n">
        <v>0</v>
      </c>
      <c r="P65" s="8" t="n">
        <v>531600</v>
      </c>
      <c r="Q65" s="8" t="n">
        <v>85481280</v>
      </c>
      <c r="R65" s="8" t="n">
        <v>531600</v>
      </c>
      <c r="S65" s="8" t="n">
        <v>85481280</v>
      </c>
      <c r="T65" s="8" t="inlineStr">
        <is>
          <t>Báo giá BKRE</t>
        </is>
      </c>
      <c r="U65" s="8" t="n">
        <v>0</v>
      </c>
      <c r="V65" s="8" t="n">
        <v>0</v>
      </c>
    </row>
    <row r="66">
      <c r="A66" s="8" t="n">
        <v>30</v>
      </c>
      <c r="B66" s="8" t="inlineStr">
        <is>
          <t>A33.0471</t>
        </is>
      </c>
      <c r="C66" s="8" t="inlineStr">
        <is>
          <t>Ống đồng_D41.3_1.53mm</t>
        </is>
      </c>
      <c r="E66" s="8" t="inlineStr">
        <is>
          <t>m</t>
        </is>
      </c>
      <c r="F66" s="8" t="n">
        <v>241.2</v>
      </c>
      <c r="G66" s="8" t="n">
        <v>0</v>
      </c>
      <c r="H66" s="8" t="n">
        <v>0</v>
      </c>
      <c r="I66" s="8" t="n">
        <v>684300</v>
      </c>
      <c r="J66" s="8" t="n">
        <v>165053160</v>
      </c>
      <c r="K66" s="8" t="n">
        <v>1</v>
      </c>
      <c r="L66" s="8" t="n">
        <v>684300</v>
      </c>
      <c r="M66" s="8" t="n">
        <v>165053160</v>
      </c>
      <c r="N66" s="8" t="n">
        <v>0</v>
      </c>
      <c r="O66" s="8" t="n">
        <v>0</v>
      </c>
      <c r="P66" s="8" t="n">
        <v>684300</v>
      </c>
      <c r="Q66" s="8" t="n">
        <v>165053160</v>
      </c>
      <c r="R66" s="8" t="n">
        <v>684300</v>
      </c>
      <c r="S66" s="8" t="n">
        <v>165053160</v>
      </c>
      <c r="T66" s="8" t="inlineStr">
        <is>
          <t>Báo giá BKRE</t>
        </is>
      </c>
      <c r="U66" s="8" t="n">
        <v>0</v>
      </c>
      <c r="V66" s="8" t="n">
        <v>0</v>
      </c>
    </row>
    <row r="67">
      <c r="A67" s="8" t="n">
        <v>31</v>
      </c>
      <c r="B67" s="8" t="inlineStr">
        <is>
          <t>A33.0458</t>
        </is>
      </c>
      <c r="C67" s="8" t="inlineStr">
        <is>
          <t>Ống đồng_D6.4_0.81mm</t>
        </is>
      </c>
      <c r="E67" s="8" t="inlineStr">
        <is>
          <t>m</t>
        </is>
      </c>
      <c r="F67" s="8" t="n">
        <v>80.40000000000001</v>
      </c>
      <c r="G67" s="8" t="n">
        <v>0</v>
      </c>
      <c r="H67" s="8" t="n">
        <v>0</v>
      </c>
      <c r="I67" s="8" t="n">
        <v>50400</v>
      </c>
      <c r="J67" s="8" t="n">
        <v>4052160</v>
      </c>
      <c r="K67" s="8" t="n">
        <v>1</v>
      </c>
      <c r="L67" s="8" t="n">
        <v>50400</v>
      </c>
      <c r="M67" s="8" t="n">
        <v>4052160</v>
      </c>
      <c r="N67" s="8" t="n">
        <v>0</v>
      </c>
      <c r="O67" s="8" t="n">
        <v>0</v>
      </c>
      <c r="P67" s="8" t="n">
        <v>50400</v>
      </c>
      <c r="Q67" s="8" t="n">
        <v>4052160</v>
      </c>
      <c r="R67" s="8" t="n">
        <v>50400</v>
      </c>
      <c r="S67" s="8" t="n">
        <v>4052160</v>
      </c>
      <c r="T67" s="8" t="inlineStr">
        <is>
          <t>Báo giá BKRE</t>
        </is>
      </c>
      <c r="U67" s="8" t="n">
        <v>0</v>
      </c>
      <c r="V67" s="8" t="n">
        <v>0</v>
      </c>
    </row>
    <row r="68">
      <c r="A68" s="8" t="n">
        <v>32</v>
      </c>
      <c r="B68" s="8" t="inlineStr">
        <is>
          <t>A33.0459</t>
        </is>
      </c>
      <c r="C68" s="8" t="inlineStr">
        <is>
          <t>Ống đồng_D9.5_0.81mm</t>
        </is>
      </c>
      <c r="E68" s="8" t="inlineStr">
        <is>
          <t>m</t>
        </is>
      </c>
      <c r="F68" s="8" t="n">
        <v>2351.7</v>
      </c>
      <c r="G68" s="8" t="n">
        <v>0</v>
      </c>
      <c r="H68" s="8" t="n">
        <v>0</v>
      </c>
      <c r="I68" s="8" t="n">
        <v>79200</v>
      </c>
      <c r="J68" s="8" t="n">
        <v>186254640</v>
      </c>
      <c r="K68" s="8" t="n">
        <v>1</v>
      </c>
      <c r="L68" s="8" t="n">
        <v>79200</v>
      </c>
      <c r="M68" s="8" t="n">
        <v>186254640</v>
      </c>
      <c r="N68" s="8" t="n">
        <v>0</v>
      </c>
      <c r="O68" s="8" t="n">
        <v>0</v>
      </c>
      <c r="P68" s="8" t="n">
        <v>79200</v>
      </c>
      <c r="Q68" s="8" t="n">
        <v>186254640</v>
      </c>
      <c r="R68" s="8" t="n">
        <v>79200</v>
      </c>
      <c r="S68" s="8" t="n">
        <v>186254640</v>
      </c>
      <c r="T68" s="8" t="inlineStr">
        <is>
          <t>Báo giá BKRE</t>
        </is>
      </c>
      <c r="U68" s="8" t="n">
        <v>0</v>
      </c>
      <c r="V68" s="8" t="n">
        <v>0</v>
      </c>
    </row>
    <row r="69">
      <c r="A69" s="8" t="n">
        <v>33</v>
      </c>
      <c r="B69" s="8" t="inlineStr">
        <is>
          <t>A33.0332</t>
        </is>
      </c>
      <c r="C69" s="8" t="inlineStr">
        <is>
          <t>Ống uPVC_D21</t>
        </is>
      </c>
      <c r="E69" s="8" t="inlineStr">
        <is>
          <t>m</t>
        </is>
      </c>
      <c r="F69" s="8" t="n">
        <v>60.59999999999999</v>
      </c>
      <c r="G69" s="8" t="n">
        <v>0</v>
      </c>
      <c r="H69" s="8" t="n">
        <v>0</v>
      </c>
      <c r="I69" s="8" t="n">
        <v>8400</v>
      </c>
      <c r="J69" s="8" t="n">
        <v>509039.9999999999</v>
      </c>
      <c r="K69" s="8" t="n">
        <v>1</v>
      </c>
      <c r="L69" s="8" t="n">
        <v>8400</v>
      </c>
      <c r="M69" s="8" t="n">
        <v>509039.9999999999</v>
      </c>
      <c r="N69" s="8" t="n">
        <v>0</v>
      </c>
      <c r="O69" s="8" t="n">
        <v>0</v>
      </c>
      <c r="P69" s="8" t="n">
        <v>8400</v>
      </c>
      <c r="Q69" s="8" t="n">
        <v>509039.9999999999</v>
      </c>
      <c r="R69" s="8" t="n">
        <v>8400</v>
      </c>
      <c r="S69" s="8" t="n">
        <v>509039.9999999999</v>
      </c>
      <c r="T69" s="8" t="inlineStr">
        <is>
          <t>Catalogue BG Tiền Phong</t>
        </is>
      </c>
      <c r="U69" s="8" t="n">
        <v>0</v>
      </c>
      <c r="V69" s="8" t="n">
        <v>0</v>
      </c>
    </row>
    <row r="70">
      <c r="A70" s="8" t="n">
        <v>34</v>
      </c>
      <c r="B70" s="8" t="inlineStr">
        <is>
          <t>A33.0333</t>
        </is>
      </c>
      <c r="C70" s="8" t="inlineStr">
        <is>
          <t>Ống uPVC_D27</t>
        </is>
      </c>
      <c r="E70" s="8" t="inlineStr">
        <is>
          <t>m</t>
        </is>
      </c>
      <c r="F70" s="8" t="n">
        <v>1777.6</v>
      </c>
      <c r="G70" s="8" t="n">
        <v>0</v>
      </c>
      <c r="H70" s="8" t="n">
        <v>0</v>
      </c>
      <c r="I70" s="8" t="n">
        <v>11500</v>
      </c>
      <c r="J70" s="8" t="n">
        <v>20442400</v>
      </c>
      <c r="K70" s="8" t="n">
        <v>1</v>
      </c>
      <c r="L70" s="8" t="n">
        <v>11500</v>
      </c>
      <c r="M70" s="8" t="n">
        <v>20442400</v>
      </c>
      <c r="N70" s="8" t="n">
        <v>0</v>
      </c>
      <c r="O70" s="8" t="n">
        <v>0</v>
      </c>
      <c r="P70" s="8" t="n">
        <v>11500</v>
      </c>
      <c r="Q70" s="8" t="n">
        <v>20442400</v>
      </c>
      <c r="R70" s="8" t="n">
        <v>11500</v>
      </c>
      <c r="S70" s="8" t="n">
        <v>20442400</v>
      </c>
      <c r="T70" s="8" t="inlineStr">
        <is>
          <t>Catalogue BG Tiền Phong</t>
        </is>
      </c>
      <c r="U70" s="8" t="n">
        <v>0</v>
      </c>
      <c r="V70" s="8" t="n">
        <v>0</v>
      </c>
    </row>
    <row r="71">
      <c r="A71" s="8" t="n">
        <v>35</v>
      </c>
      <c r="B71" s="8" t="inlineStr">
        <is>
          <t>A33.0334</t>
        </is>
      </c>
      <c r="C71" s="8" t="inlineStr">
        <is>
          <t>Ống uPVC_D34</t>
        </is>
      </c>
      <c r="E71" s="8" t="inlineStr">
        <is>
          <t>m</t>
        </is>
      </c>
      <c r="F71" s="8" t="n">
        <v>303</v>
      </c>
      <c r="G71" s="8" t="n">
        <v>0</v>
      </c>
      <c r="H71" s="8" t="n">
        <v>0</v>
      </c>
      <c r="I71" s="8" t="n">
        <v>14500</v>
      </c>
      <c r="J71" s="8" t="n">
        <v>4393500</v>
      </c>
      <c r="K71" s="8" t="n">
        <v>1</v>
      </c>
      <c r="L71" s="8" t="n">
        <v>14500</v>
      </c>
      <c r="M71" s="8" t="n">
        <v>4393500</v>
      </c>
      <c r="N71" s="8" t="n">
        <v>0</v>
      </c>
      <c r="O71" s="8" t="n">
        <v>0</v>
      </c>
      <c r="P71" s="8" t="n">
        <v>14500</v>
      </c>
      <c r="Q71" s="8" t="n">
        <v>4393500</v>
      </c>
      <c r="R71" s="8" t="n">
        <v>14500</v>
      </c>
      <c r="S71" s="8" t="n">
        <v>4393500</v>
      </c>
      <c r="T71" s="8" t="inlineStr">
        <is>
          <t>Catalogue BG Tiền Phong</t>
        </is>
      </c>
      <c r="U71" s="8" t="n">
        <v>0</v>
      </c>
      <c r="V71" s="8" t="n">
        <v>0</v>
      </c>
    </row>
    <row r="72">
      <c r="A72" s="8" t="n">
        <v>36</v>
      </c>
      <c r="B72" s="8" t="inlineStr">
        <is>
          <t>A33.0335</t>
        </is>
      </c>
      <c r="C72" s="8" t="inlineStr">
        <is>
          <t>Ống uPVC_D42</t>
        </is>
      </c>
      <c r="E72" s="8" t="inlineStr">
        <is>
          <t>m</t>
        </is>
      </c>
      <c r="F72" s="8" t="n">
        <v>303</v>
      </c>
      <c r="G72" s="8" t="n">
        <v>0</v>
      </c>
      <c r="H72" s="8" t="n">
        <v>0</v>
      </c>
      <c r="I72" s="8" t="n">
        <v>22600</v>
      </c>
      <c r="J72" s="8" t="n">
        <v>6847800</v>
      </c>
      <c r="K72" s="8" t="n">
        <v>1</v>
      </c>
      <c r="L72" s="8" t="n">
        <v>22600</v>
      </c>
      <c r="M72" s="8" t="n">
        <v>6847800</v>
      </c>
      <c r="N72" s="8" t="n">
        <v>0</v>
      </c>
      <c r="O72" s="8" t="n">
        <v>0</v>
      </c>
      <c r="P72" s="8" t="n">
        <v>22600</v>
      </c>
      <c r="Q72" s="8" t="n">
        <v>6847800</v>
      </c>
      <c r="R72" s="8" t="n">
        <v>22600</v>
      </c>
      <c r="S72" s="8" t="n">
        <v>6847800</v>
      </c>
      <c r="T72" s="8" t="inlineStr">
        <is>
          <t>Catalogue BG Tiền Phong</t>
        </is>
      </c>
      <c r="U72" s="8" t="n">
        <v>0</v>
      </c>
      <c r="V72" s="8" t="n">
        <v>0</v>
      </c>
    </row>
    <row r="73">
      <c r="A73" s="8" t="n">
        <v>37</v>
      </c>
      <c r="B73" s="8" t="inlineStr">
        <is>
          <t>A33.0336</t>
        </is>
      </c>
      <c r="C73" s="8" t="inlineStr">
        <is>
          <t>Ống uPVC_D48</t>
        </is>
      </c>
      <c r="E73" s="8" t="inlineStr">
        <is>
          <t>m</t>
        </is>
      </c>
      <c r="F73" s="8" t="n">
        <v>252.5</v>
      </c>
      <c r="G73" s="8" t="n">
        <v>0</v>
      </c>
      <c r="H73" s="8" t="n">
        <v>0</v>
      </c>
      <c r="I73" s="8" t="n">
        <v>27300</v>
      </c>
      <c r="J73" s="8" t="n">
        <v>6893250</v>
      </c>
      <c r="K73" s="8" t="n">
        <v>1</v>
      </c>
      <c r="L73" s="8" t="n">
        <v>27300</v>
      </c>
      <c r="M73" s="8" t="n">
        <v>6893250</v>
      </c>
      <c r="N73" s="8" t="n">
        <v>0</v>
      </c>
      <c r="O73" s="8" t="n">
        <v>0</v>
      </c>
      <c r="P73" s="8" t="n">
        <v>27300</v>
      </c>
      <c r="Q73" s="8" t="n">
        <v>6893250</v>
      </c>
      <c r="R73" s="8" t="n">
        <v>27300</v>
      </c>
      <c r="S73" s="8" t="n">
        <v>6893250</v>
      </c>
      <c r="T73" s="8" t="inlineStr">
        <is>
          <t>Catalogue BG Tiền Phong</t>
        </is>
      </c>
      <c r="U73" s="8" t="n">
        <v>0</v>
      </c>
      <c r="V73" s="8" t="n">
        <v>0</v>
      </c>
    </row>
    <row r="74">
      <c r="A74" s="8" t="n">
        <v>38</v>
      </c>
      <c r="B74" s="8" t="inlineStr">
        <is>
          <t>A33.0113</t>
        </is>
      </c>
      <c r="C74" s="8" t="inlineStr">
        <is>
          <t>Que hàn đồng</t>
        </is>
      </c>
      <c r="E74" s="8" t="inlineStr">
        <is>
          <t>kg</t>
        </is>
      </c>
      <c r="F74" s="8" t="n">
        <v>7.188400000000001</v>
      </c>
      <c r="G74" s="8" t="n">
        <v>0</v>
      </c>
      <c r="H74" s="8" t="n">
        <v>0</v>
      </c>
      <c r="I74" s="8" t="n">
        <v>250000</v>
      </c>
      <c r="J74" s="8" t="n">
        <v>1797100</v>
      </c>
      <c r="K74" s="8" t="n">
        <v>1</v>
      </c>
      <c r="L74" s="8" t="n">
        <v>250000</v>
      </c>
      <c r="M74" s="8" t="n">
        <v>1797100</v>
      </c>
      <c r="N74" s="8" t="n">
        <v>0</v>
      </c>
      <c r="O74" s="8" t="n">
        <v>0</v>
      </c>
      <c r="P74" s="8" t="n">
        <v>250000</v>
      </c>
      <c r="Q74" s="8" t="n">
        <v>1797100</v>
      </c>
      <c r="R74" s="8" t="n">
        <v>250000</v>
      </c>
      <c r="S74" s="8" t="n">
        <v>1797100</v>
      </c>
      <c r="T74" s="8" t="inlineStr">
        <is>
          <t>Giá gốc</t>
        </is>
      </c>
      <c r="U74" s="8" t="n">
        <v>0</v>
      </c>
      <c r="V74" s="8" t="n">
        <v>0</v>
      </c>
    </row>
    <row r="75">
      <c r="A75" s="8" t="n">
        <v>39</v>
      </c>
      <c r="B75" s="8" t="inlineStr">
        <is>
          <t>A33.0469</t>
        </is>
      </c>
      <c r="C75" s="8" t="inlineStr">
        <is>
          <t>Thuốc hàn</t>
        </is>
      </c>
      <c r="E75" s="8" t="inlineStr">
        <is>
          <t>kg</t>
        </is>
      </c>
      <c r="F75" s="8" t="n">
        <v>0.7999000000000001</v>
      </c>
      <c r="G75" s="8" t="n">
        <v>0</v>
      </c>
      <c r="H75" s="8" t="n">
        <v>0</v>
      </c>
      <c r="I75" s="8" t="n">
        <v>27000</v>
      </c>
      <c r="J75" s="8" t="n">
        <v>21597.3</v>
      </c>
      <c r="K75" s="8" t="n">
        <v>1</v>
      </c>
      <c r="L75" s="8" t="n">
        <v>27000</v>
      </c>
      <c r="M75" s="8" t="n">
        <v>21597.3</v>
      </c>
      <c r="N75" s="8" t="n">
        <v>0</v>
      </c>
      <c r="O75" s="8" t="n">
        <v>0</v>
      </c>
      <c r="P75" s="8" t="n">
        <v>27000</v>
      </c>
      <c r="Q75" s="8" t="n">
        <v>21597.3</v>
      </c>
      <c r="R75" s="8" t="n">
        <v>27000</v>
      </c>
      <c r="S75" s="8" t="n">
        <v>21597.3</v>
      </c>
      <c r="T75" s="8" t="inlineStr">
        <is>
          <t>Giá gốc</t>
        </is>
      </c>
      <c r="U75" s="8" t="n">
        <v>0</v>
      </c>
      <c r="V75" s="8" t="n">
        <v>0</v>
      </c>
    </row>
    <row r="76">
      <c r="A76" s="8" t="n">
        <v>40</v>
      </c>
      <c r="B76" s="8" t="inlineStr">
        <is>
          <t>Z999</t>
        </is>
      </c>
      <c r="C76" s="8" t="inlineStr">
        <is>
          <t>Vật liệu khác</t>
        </is>
      </c>
      <c r="E76" s="8" t="inlineStr">
        <is>
          <t>%</t>
        </is>
      </c>
      <c r="F76" s="8" t="inlineStr"/>
      <c r="G76" s="8" t="inlineStr"/>
      <c r="H76" s="8" t="n">
        <v>0</v>
      </c>
      <c r="I76" s="8" t="inlineStr"/>
      <c r="J76" s="8" t="inlineStr"/>
      <c r="K76" s="8" t="inlineStr"/>
      <c r="L76" s="8" t="inlineStr"/>
      <c r="M76" s="8" t="inlineStr"/>
      <c r="N76" s="8" t="inlineStr"/>
      <c r="O76" s="8" t="inlineStr"/>
      <c r="P76" s="8" t="inlineStr"/>
      <c r="Q76" s="8" t="n">
        <v>10880399.17973858</v>
      </c>
      <c r="R76" s="8" t="inlineStr"/>
      <c r="S76" s="8" t="n">
        <v>10880399.17973858</v>
      </c>
      <c r="T76" s="8" t="inlineStr"/>
      <c r="U76" s="8" t="inlineStr"/>
      <c r="V76" s="8" t="inlineStr"/>
    </row>
    <row r="77">
      <c r="A77" s="8" t="inlineStr"/>
      <c r="B77" s="8" t="inlineStr"/>
      <c r="C77" s="8" t="inlineStr">
        <is>
          <t>TỔNG VẬT LIỆU</t>
        </is>
      </c>
      <c r="E77" s="8" t="inlineStr"/>
      <c r="F77" s="8" t="inlineStr"/>
      <c r="G77" s="8" t="inlineStr"/>
      <c r="H77" s="8" t="n">
        <v>0</v>
      </c>
      <c r="I77" s="8" t="inlineStr"/>
      <c r="J77" s="8" t="n">
        <v>1613274324.9858</v>
      </c>
      <c r="K77" s="8" t="inlineStr"/>
      <c r="L77" s="8" t="inlineStr"/>
      <c r="M77" s="8" t="n">
        <v>1613274324.9858</v>
      </c>
      <c r="N77" s="8" t="inlineStr"/>
      <c r="O77" s="8" t="n">
        <v>0</v>
      </c>
      <c r="P77" s="8" t="inlineStr"/>
      <c r="Q77" s="8" t="n">
        <v>1624154724.165539</v>
      </c>
      <c r="R77" s="8" t="inlineStr"/>
      <c r="S77" s="8" t="n">
        <v>1624154724.165539</v>
      </c>
      <c r="T77" s="8" t="inlineStr"/>
      <c r="U77" s="8" t="inlineStr"/>
      <c r="V77" s="8" t="inlineStr"/>
    </row>
    <row r="78">
      <c r="A78" s="8" t="inlineStr">
        <is>
          <t>II</t>
        </is>
      </c>
      <c r="B78" s="8" t="inlineStr"/>
      <c r="C78" s="8" t="inlineStr">
        <is>
          <t>NHÂN CÔNG</t>
        </is>
      </c>
      <c r="E78" s="8" t="inlineStr"/>
      <c r="F78" s="8" t="inlineStr"/>
      <c r="G78" s="8" t="inlineStr"/>
      <c r="H78" s="8" t="inlineStr"/>
      <c r="I78" s="8" t="inlineStr"/>
      <c r="J78" s="8" t="inlineStr"/>
      <c r="K78" s="8" t="inlineStr"/>
      <c r="L78" s="8" t="inlineStr"/>
      <c r="M78" s="8" t="inlineStr"/>
      <c r="N78" s="8" t="inlineStr"/>
      <c r="O78" s="8" t="inlineStr"/>
      <c r="P78" s="8" t="inlineStr"/>
      <c r="Q78" s="8" t="inlineStr"/>
      <c r="R78" s="8" t="inlineStr"/>
      <c r="S78" s="8" t="inlineStr"/>
      <c r="T78" s="8" t="inlineStr"/>
      <c r="U78" s="8" t="inlineStr"/>
      <c r="V78" s="8" t="inlineStr"/>
    </row>
    <row r="79">
      <c r="A79" s="8" t="n">
        <v>1</v>
      </c>
      <c r="B79" s="8" t="inlineStr">
        <is>
          <t>N3</t>
        </is>
      </c>
      <c r="C79" s="8" t="inlineStr">
        <is>
          <t>Nhân công nhóm 3</t>
        </is>
      </c>
      <c r="E79" s="8" t="inlineStr">
        <is>
          <t>công</t>
        </is>
      </c>
      <c r="F79" s="8" t="n">
        <v>2110.107</v>
      </c>
      <c r="G79" s="8" t="n">
        <v>0</v>
      </c>
      <c r="H79" s="8" t="n">
        <v>0</v>
      </c>
      <c r="I79" s="8" t="n">
        <v>427000</v>
      </c>
      <c r="J79" s="8" t="n">
        <v>901015689.0000002</v>
      </c>
      <c r="K79" s="8" t="n">
        <v>1</v>
      </c>
      <c r="L79" s="8" t="n">
        <v>427000</v>
      </c>
      <c r="M79" s="8" t="n">
        <v>901015689.0000002</v>
      </c>
      <c r="N79" s="8" t="inlineStr"/>
      <c r="O79" s="8" t="inlineStr"/>
      <c r="P79" s="8" t="n">
        <v>427000</v>
      </c>
      <c r="Q79" s="8" t="n">
        <v>901015689.0000002</v>
      </c>
      <c r="R79" s="8" t="n">
        <v>427000</v>
      </c>
      <c r="S79" s="8" t="n">
        <v>901015689.0000002</v>
      </c>
      <c r="T79" s="8" t="inlineStr">
        <is>
          <t>Được tính toán, rồi Link từ sheet Nhân công sang</t>
        </is>
      </c>
      <c r="U79" s="8" t="inlineStr"/>
      <c r="V79" s="8" t="inlineStr"/>
    </row>
    <row r="80">
      <c r="A80" s="8" t="inlineStr"/>
      <c r="B80" s="8" t="inlineStr"/>
      <c r="C80" s="8" t="inlineStr">
        <is>
          <t>TỔNG NHÂN CÔNG</t>
        </is>
      </c>
      <c r="E80" s="8" t="inlineStr"/>
      <c r="F80" s="8" t="inlineStr"/>
      <c r="G80" s="8" t="inlineStr"/>
      <c r="H80" s="8" t="n">
        <v>0</v>
      </c>
      <c r="I80" s="8" t="inlineStr"/>
      <c r="J80" s="8" t="n">
        <v>901015689.0000002</v>
      </c>
      <c r="K80" s="8" t="inlineStr"/>
      <c r="L80" s="8" t="inlineStr"/>
      <c r="M80" s="8" t="n">
        <v>901015689.0000002</v>
      </c>
      <c r="N80" s="8" t="inlineStr"/>
      <c r="O80" s="8" t="n">
        <v>0</v>
      </c>
      <c r="P80" s="8" t="inlineStr"/>
      <c r="Q80" s="8" t="n">
        <v>901015689.0000002</v>
      </c>
      <c r="R80" s="8" t="inlineStr"/>
      <c r="S80" s="8" t="n">
        <v>901015689.0000002</v>
      </c>
      <c r="T80" s="8" t="inlineStr"/>
      <c r="U80" s="8" t="inlineStr"/>
      <c r="V80" s="8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N65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19" customWidth="1" min="3" max="3"/>
    <col width="14" customWidth="1" min="4" max="4"/>
    <col width="19" customWidth="1" min="5" max="5"/>
    <col width="50" customWidth="1" min="6" max="6"/>
    <col width="38" customWidth="1" min="7" max="7"/>
    <col width="14" customWidth="1" min="8" max="8"/>
    <col width="12" customWidth="1" min="9" max="9"/>
    <col width="13" customWidth="1" min="10" max="10"/>
    <col width="12" customWidth="1" min="11" max="11"/>
    <col width="12" customWidth="1" min="12" max="12"/>
    <col width="12" customWidth="1" min="13" max="13"/>
    <col width="12" customWidth="1" min="14" max="14"/>
    <col width="14" customWidth="1" min="15" max="15"/>
    <col width="13" customWidth="1" min="16" max="16"/>
    <col width="13" customWidth="1" min="17" max="17"/>
    <col width="14" customWidth="1" min="18" max="18"/>
    <col width="12" customWidth="1" min="19" max="19"/>
    <col width="12" customWidth="1" min="20" max="20"/>
    <col width="12" customWidth="1" min="21" max="21"/>
    <col width="17" customWidth="1" min="22" max="22"/>
    <col width="12" customWidth="1" min="23" max="23"/>
    <col width="12" customWidth="1" min="24" max="24"/>
    <col width="15" customWidth="1" min="25" max="25"/>
    <col width="19" customWidth="1" min="26" max="26"/>
    <col width="12" customWidth="1" min="27" max="27"/>
    <col width="12" customWidth="1" min="28" max="28"/>
    <col width="29" customWidth="1" min="29" max="29"/>
    <col width="37" customWidth="1" min="30" max="30"/>
    <col width="12" customWidth="1" min="31" max="31"/>
    <col width="50" customWidth="1" min="32" max="32"/>
    <col width="50" customWidth="1" min="33" max="33"/>
    <col width="50" customWidth="1" min="34" max="34"/>
    <col width="17" customWidth="1" min="35" max="35"/>
    <col width="12" customWidth="1" min="36" max="36"/>
    <col width="12" customWidth="1" min="37" max="37"/>
    <col width="21" customWidth="1" min="38" max="38"/>
    <col width="12" customWidth="1" min="39" max="39"/>
    <col width="25" customWidth="1" min="40" max="40"/>
  </cols>
  <sheetData>
    <row r="1">
      <c r="A1" s="8" t="inlineStr">
        <is>
          <t>BẢNG DỰ TOÁN HẠNG MỤC CÔNG TRÌNH</t>
        </is>
      </c>
      <c r="B1" s="8" t="inlineStr"/>
      <c r="C1" s="8" t="inlineStr"/>
      <c r="D1" s="8" t="inlineStr"/>
      <c r="E1" s="8" t="inlineStr"/>
      <c r="F1" s="8" t="inlineStr"/>
      <c r="H1" s="8" t="inlineStr"/>
      <c r="I1" s="8" t="inlineStr"/>
      <c r="J1" s="8" t="inlineStr"/>
      <c r="K1" s="8" t="inlineStr"/>
      <c r="L1" s="8" t="inlineStr"/>
      <c r="M1" s="8" t="inlineStr"/>
      <c r="N1" s="8" t="inlineStr"/>
      <c r="O1" s="8" t="inlineStr"/>
      <c r="P1" s="8" t="inlineStr"/>
      <c r="Q1" s="8" t="inlineStr"/>
      <c r="R1" s="8" t="inlineStr"/>
      <c r="S1" s="8" t="inlineStr"/>
      <c r="T1" s="8" t="inlineStr"/>
      <c r="U1" s="8" t="inlineStr"/>
      <c r="V1" s="8" t="inlineStr"/>
      <c r="W1" s="8" t="inlineStr"/>
      <c r="X1" s="8" t="inlineStr"/>
      <c r="Y1" s="8" t="inlineStr"/>
      <c r="Z1" s="8" t="inlineStr"/>
      <c r="AA1" s="8" t="inlineStr"/>
      <c r="AB1" s="8" t="inlineStr"/>
      <c r="AC1" s="8" t="inlineStr"/>
      <c r="AD1" s="8" t="inlineStr"/>
      <c r="AE1" s="8" t="inlineStr"/>
      <c r="AF1" s="8" t="inlineStr"/>
      <c r="AG1" s="8" t="inlineStr"/>
      <c r="AH1" s="8" t="inlineStr"/>
      <c r="AI1" s="8" t="inlineStr"/>
      <c r="AJ1" s="8" t="inlineStr"/>
      <c r="AK1" s="8" t="inlineStr"/>
      <c r="AL1" s="8" t="inlineStr"/>
      <c r="AM1" s="8" t="inlineStr"/>
      <c r="AN1" s="8" t="inlineStr">
        <is>
          <t>(đ)</t>
        </is>
      </c>
    </row>
    <row r="2">
      <c r="A2" s="8" t="inlineStr">
        <is>
          <t>DỰ ÁN: XÂY DỰNG NHÀ Ở CHO LỰC LƯỢNG VŨ TRANG CÔNG AN NHÂN DÂN TẠI Ô ĐẤT NO1 THUỘC LÔ ĐẤT D12 KHU ĐÔ THỊ MỚI CẦU GIẤY,
 PHƯỜNG CẦU GIẤY, THÀNH PHỐ HÀ NỘI</t>
        </is>
      </c>
      <c r="B2" s="8" t="inlineStr"/>
      <c r="C2" s="8" t="inlineStr"/>
      <c r="D2" s="8" t="inlineStr"/>
      <c r="E2" s="8" t="inlineStr"/>
      <c r="F2" s="8" t="inlineStr"/>
      <c r="H2" s="8" t="inlineStr"/>
      <c r="I2" s="8" t="inlineStr"/>
      <c r="J2" s="8" t="inlineStr"/>
      <c r="K2" s="8" t="inlineStr"/>
      <c r="L2" s="8" t="inlineStr"/>
      <c r="M2" s="8" t="inlineStr"/>
      <c r="N2" s="8" t="inlineStr"/>
      <c r="O2" s="8" t="inlineStr"/>
      <c r="P2" s="8" t="inlineStr"/>
      <c r="Q2" s="8" t="inlineStr"/>
      <c r="R2" s="8" t="inlineStr"/>
      <c r="S2" s="8" t="inlineStr"/>
      <c r="T2" s="8" t="inlineStr"/>
      <c r="U2" s="8" t="inlineStr"/>
      <c r="V2" s="8" t="inlineStr"/>
      <c r="W2" s="8" t="inlineStr"/>
      <c r="X2" s="8" t="inlineStr"/>
      <c r="Y2" s="8" t="inlineStr"/>
      <c r="Z2" s="8" t="inlineStr"/>
      <c r="AA2" s="8" t="inlineStr"/>
      <c r="AB2" s="8" t="inlineStr"/>
      <c r="AC2" s="8" t="inlineStr"/>
      <c r="AD2" s="8" t="inlineStr"/>
      <c r="AE2" s="8" t="inlineStr"/>
      <c r="AF2" s="8" t="inlineStr"/>
      <c r="AG2" s="8" t="inlineStr"/>
      <c r="AH2" s="8" t="inlineStr"/>
      <c r="AI2" s="8" t="inlineStr"/>
      <c r="AJ2" s="8" t="inlineStr"/>
      <c r="AK2" s="8" t="inlineStr"/>
      <c r="AL2" s="8" t="inlineStr"/>
      <c r="AM2" s="8" t="inlineStr"/>
      <c r="AN2" s="8" t="inlineStr"/>
    </row>
    <row r="3">
      <c r="A3" s="8" t="inlineStr">
        <is>
          <t>HẠNG MỤC: ĐIỀU HÒA KHÔNG KHÍ &amp; THÔNG GIÓ - LẮP ĐẶT THIẾT BỊ</t>
        </is>
      </c>
      <c r="B3" s="8" t="inlineStr"/>
      <c r="C3" s="8" t="inlineStr"/>
      <c r="D3" s="8" t="inlineStr"/>
      <c r="E3" s="8" t="inlineStr"/>
      <c r="F3" s="8" t="inlineStr"/>
      <c r="H3" s="8" t="inlineStr"/>
      <c r="I3" s="8" t="inlineStr"/>
      <c r="J3" s="8" t="inlineStr"/>
      <c r="K3" s="8" t="inlineStr"/>
      <c r="L3" s="8" t="inlineStr"/>
      <c r="M3" s="8" t="inlineStr"/>
      <c r="N3" s="8" t="inlineStr"/>
      <c r="O3" s="8" t="inlineStr"/>
      <c r="P3" s="8" t="inlineStr"/>
      <c r="Q3" s="8" t="inlineStr"/>
      <c r="R3" s="8" t="inlineStr"/>
      <c r="S3" s="8" t="inlineStr"/>
      <c r="T3" s="8" t="inlineStr"/>
      <c r="U3" s="8" t="inlineStr"/>
      <c r="V3" s="8" t="inlineStr"/>
      <c r="W3" s="8" t="inlineStr"/>
      <c r="X3" s="8" t="inlineStr"/>
      <c r="Y3" s="8" t="inlineStr"/>
      <c r="Z3" s="8" t="inlineStr"/>
      <c r="AA3" s="8" t="inlineStr"/>
      <c r="AB3" s="8" t="inlineStr"/>
      <c r="AC3" s="8" t="inlineStr"/>
      <c r="AD3" s="8" t="inlineStr"/>
      <c r="AE3" s="8" t="inlineStr"/>
      <c r="AF3" s="8" t="inlineStr"/>
      <c r="AG3" s="8" t="inlineStr"/>
      <c r="AH3" s="8" t="inlineStr"/>
      <c r="AI3" s="8" t="inlineStr"/>
      <c r="AJ3" s="8" t="inlineStr"/>
      <c r="AK3" s="8" t="inlineStr"/>
      <c r="AL3" s="8" t="inlineStr"/>
      <c r="AM3" s="8" t="inlineStr"/>
      <c r="AN3" s="8" t="inlineStr"/>
    </row>
    <row r="4">
      <c r="A4" s="8" t="inlineStr">
        <is>
          <t>STT</t>
        </is>
      </c>
      <c r="B4" s="8" t="inlineStr">
        <is>
          <t>Ký hiệu
bản vẽ</t>
        </is>
      </c>
      <c r="C4" s="8" t="inlineStr">
        <is>
          <t>Mã hiệu
định mức</t>
        </is>
      </c>
      <c r="D4" s="8" t="inlineStr">
        <is>
          <t>Mã hiệu
vữa</t>
        </is>
      </c>
      <c r="E4" s="8" t="inlineStr">
        <is>
          <t>Mã hiệu
công tác</t>
        </is>
      </c>
      <c r="F4" s="8" t="inlineStr">
        <is>
          <t>Danh mục công tác/ Diễn giải KL</t>
        </is>
      </c>
      <c r="G4" s="10" t="inlineStr">
        <is>
          <t>LINK TRA CỨU TT 38/2026/TT-BXD</t>
        </is>
      </c>
      <c r="H4" s="8" t="inlineStr">
        <is>
          <t>Đơn vị
tính</t>
        </is>
      </c>
      <c r="I4" s="8" t="inlineStr">
        <is>
          <t>Số
C.K</t>
        </is>
      </c>
      <c r="J4" s="8" t="inlineStr">
        <is>
          <t>Kích thước</t>
        </is>
      </c>
      <c r="K4" s="8" t="inlineStr"/>
      <c r="L4" s="8" t="inlineStr"/>
      <c r="M4" s="8" t="inlineStr">
        <is>
          <t>Hệ số
phụ</t>
        </is>
      </c>
      <c r="N4" s="8" t="inlineStr">
        <is>
          <t>Tổng
dài</t>
        </is>
      </c>
      <c r="O4" s="8" t="inlineStr">
        <is>
          <t>D.tích
(M2)</t>
        </is>
      </c>
      <c r="P4" s="8" t="inlineStr">
        <is>
          <t>K.L
C.Kiện</t>
        </is>
      </c>
      <c r="Q4" s="8" t="inlineStr">
        <is>
          <t>Khối lượng</t>
        </is>
      </c>
      <c r="R4" s="8" t="inlineStr">
        <is>
          <t>Đơn giá (đ)</t>
        </is>
      </c>
      <c r="S4" s="8" t="inlineStr"/>
      <c r="T4" s="8" t="inlineStr"/>
      <c r="U4" s="8" t="inlineStr"/>
      <c r="V4" s="8" t="inlineStr">
        <is>
          <t>Thành tiền (đ)</t>
        </is>
      </c>
      <c r="W4" s="8" t="inlineStr"/>
      <c r="X4" s="8" t="inlineStr"/>
      <c r="Y4" s="8" t="inlineStr"/>
      <c r="Z4" s="8" t="inlineStr">
        <is>
          <t>Hệ số điều chỉnh</t>
        </is>
      </c>
      <c r="AA4" s="8" t="inlineStr"/>
      <c r="AB4" s="8" t="inlineStr"/>
      <c r="AC4" s="8" t="inlineStr">
        <is>
          <t>Ghi chú, Nguồn gốc xuất xứ</t>
        </is>
      </c>
      <c r="AD4" s="8" t="inlineStr">
        <is>
          <t>Dữ liệu đã dùng</t>
        </is>
      </c>
      <c r="AE4" s="8" t="inlineStr"/>
      <c r="AF4" s="8" t="inlineStr">
        <is>
          <t>Hao phí định mức</t>
        </is>
      </c>
      <c r="AG4" s="8" t="inlineStr"/>
      <c r="AH4" s="8" t="inlineStr"/>
      <c r="AI4" s="8" t="inlineStr">
        <is>
          <t>Hệ số định mức</t>
        </is>
      </c>
      <c r="AJ4" s="8" t="inlineStr"/>
      <c r="AK4" s="8" t="inlineStr"/>
      <c r="AL4" s="8" t="inlineStr">
        <is>
          <t>Thời điểm thi công</t>
        </is>
      </c>
      <c r="AM4" s="8" t="inlineStr"/>
      <c r="AN4" s="8" t="inlineStr">
        <is>
          <t>Tỉnh TP / Chuyên ngành</t>
        </is>
      </c>
    </row>
    <row r="5">
      <c r="A5" s="8" t="inlineStr"/>
      <c r="B5" s="8" t="inlineStr"/>
      <c r="C5" s="8" t="inlineStr"/>
      <c r="D5" s="8" t="inlineStr"/>
      <c r="E5" s="8" t="inlineStr"/>
      <c r="F5" s="8" t="inlineStr"/>
      <c r="H5" s="8" t="inlineStr"/>
      <c r="I5" s="8" t="inlineStr"/>
      <c r="J5" s="8" t="inlineStr">
        <is>
          <t>Dài</t>
        </is>
      </c>
      <c r="K5" s="8" t="inlineStr">
        <is>
          <t>Rộng</t>
        </is>
      </c>
      <c r="L5" s="8" t="inlineStr">
        <is>
          <t>Cao</t>
        </is>
      </c>
      <c r="M5" s="8" t="inlineStr"/>
      <c r="N5" s="8" t="inlineStr"/>
      <c r="O5" s="8" t="inlineStr"/>
      <c r="P5" s="8" t="inlineStr"/>
      <c r="Q5" s="8" t="inlineStr"/>
      <c r="R5" s="8" t="inlineStr">
        <is>
          <t>Vật liệu</t>
        </is>
      </c>
      <c r="S5" s="8" t="inlineStr">
        <is>
          <t>V.L phụ</t>
        </is>
      </c>
      <c r="T5" s="8" t="inlineStr">
        <is>
          <t>Nhân công</t>
        </is>
      </c>
      <c r="U5" s="8" t="inlineStr">
        <is>
          <t>Máy T.C</t>
        </is>
      </c>
      <c r="V5" s="8" t="inlineStr">
        <is>
          <t>Vật liệu</t>
        </is>
      </c>
      <c r="W5" s="8" t="inlineStr">
        <is>
          <t>V.L phụ</t>
        </is>
      </c>
      <c r="X5" s="8" t="inlineStr">
        <is>
          <t>Nhân công</t>
        </is>
      </c>
      <c r="Y5" s="8" t="inlineStr">
        <is>
          <t>Máy thi công</t>
        </is>
      </c>
      <c r="Z5" s="8" t="inlineStr">
        <is>
          <t>V.L</t>
        </is>
      </c>
      <c r="AA5" s="8" t="inlineStr">
        <is>
          <t>N.C</t>
        </is>
      </c>
      <c r="AB5" s="8" t="inlineStr">
        <is>
          <t>Máy</t>
        </is>
      </c>
      <c r="AC5" s="8" t="inlineStr"/>
      <c r="AD5" s="8" t="inlineStr">
        <is>
          <t>Đơn giá</t>
        </is>
      </c>
      <c r="AE5" s="8" t="inlineStr">
        <is>
          <t>Giá máy</t>
        </is>
      </c>
      <c r="AF5" s="8" t="inlineStr">
        <is>
          <t>V.L</t>
        </is>
      </c>
      <c r="AG5" s="8" t="inlineStr">
        <is>
          <t>N.C</t>
        </is>
      </c>
      <c r="AH5" s="8" t="inlineStr">
        <is>
          <t>Máy</t>
        </is>
      </c>
      <c r="AI5" s="8" t="inlineStr">
        <is>
          <t>V.L</t>
        </is>
      </c>
      <c r="AJ5" s="8" t="inlineStr">
        <is>
          <t>N.C</t>
        </is>
      </c>
      <c r="AK5" s="8" t="inlineStr">
        <is>
          <t>Máy</t>
        </is>
      </c>
      <c r="AL5" s="8" t="inlineStr">
        <is>
          <t>Bắt đầu</t>
        </is>
      </c>
      <c r="AM5" s="8" t="inlineStr">
        <is>
          <t>Kết thúc</t>
        </is>
      </c>
      <c r="AN5" s="8" t="inlineStr"/>
    </row>
    <row r="6">
      <c r="A6" s="8" t="inlineStr"/>
      <c r="B6" s="8" t="inlineStr"/>
      <c r="C6" s="8" t="inlineStr"/>
      <c r="D6" s="8" t="inlineStr"/>
      <c r="E6" s="8" t="inlineStr">
        <is>
          <t>HM</t>
        </is>
      </c>
      <c r="F6" s="8" t="inlineStr">
        <is>
          <t>HẠNG MỤC: ĐIỀU HÒA KHÔNG KHÍ &amp; THÔNG GIÓ - LẮP ĐẶT THIẾT BỊ</t>
        </is>
      </c>
      <c r="H6" s="8" t="inlineStr"/>
      <c r="I6" s="8" t="inlineStr"/>
      <c r="J6" s="8" t="inlineStr"/>
      <c r="K6" s="8" t="inlineStr"/>
      <c r="L6" s="8" t="inlineStr"/>
      <c r="M6" s="8" t="inlineStr"/>
      <c r="N6" s="8" t="inlineStr"/>
      <c r="O6" s="8" t="inlineStr"/>
      <c r="P6" s="8" t="n">
        <v>4</v>
      </c>
      <c r="Q6" s="8" t="inlineStr"/>
      <c r="R6" s="8" t="inlineStr"/>
      <c r="S6" s="8" t="inlineStr"/>
      <c r="T6" s="8" t="inlineStr"/>
      <c r="U6" s="8" t="inlineStr"/>
      <c r="V6" s="8" t="inlineStr"/>
      <c r="W6" s="8" t="inlineStr"/>
      <c r="X6" s="8" t="inlineStr"/>
      <c r="Y6" s="8" t="inlineStr"/>
      <c r="Z6" s="8" t="inlineStr"/>
      <c r="AA6" s="8" t="inlineStr"/>
      <c r="AB6" s="8" t="inlineStr"/>
      <c r="AC6" s="8" t="inlineStr"/>
      <c r="AD6" s="8" t="inlineStr"/>
      <c r="AE6" s="8" t="inlineStr"/>
      <c r="AF6" s="8" t="inlineStr"/>
      <c r="AG6" s="8" t="inlineStr"/>
      <c r="AH6" s="8" t="inlineStr"/>
      <c r="AI6" s="8" t="inlineStr"/>
      <c r="AJ6" s="8" t="inlineStr"/>
      <c r="AK6" s="8" t="inlineStr"/>
      <c r="AL6" s="8" t="inlineStr"/>
      <c r="AM6" s="8" t="inlineStr"/>
      <c r="AN6" s="8" t="inlineStr"/>
    </row>
    <row r="7">
      <c r="A7" s="8" t="n">
        <v>1</v>
      </c>
      <c r="B7" s="8" t="inlineStr"/>
      <c r="C7" s="11" t="inlineStr">
        <is>
          <t>MD.12002</t>
        </is>
      </c>
      <c r="D7" s="8" t="inlineStr"/>
      <c r="E7" s="8" t="inlineStr">
        <is>
          <t>MD.12002</t>
        </is>
      </c>
      <c r="F7" s="8" t="inlineStr">
        <is>
          <t>Dàn nóng điều hòa VRF, Multi</t>
        </is>
      </c>
      <c r="G7" s="12">
        <f>HYPERLINK("tt38://pl5/37", "👉 Phụ lục IV - Trang 37 (Khớp nhóm MD.1200)")</f>
        <v/>
      </c>
      <c r="H7" s="8" t="inlineStr">
        <is>
          <t>tấn</t>
        </is>
      </c>
      <c r="I7" s="8" t="inlineStr"/>
      <c r="J7" s="8" t="inlineStr"/>
      <c r="K7" s="8" t="inlineStr"/>
      <c r="L7" s="8" t="inlineStr"/>
      <c r="M7" s="8" t="inlineStr"/>
      <c r="N7" s="8" t="n">
        <v>5480</v>
      </c>
      <c r="O7" s="8" t="n">
        <v>5480</v>
      </c>
      <c r="P7" s="8" t="inlineStr"/>
      <c r="Q7" s="8" t="n">
        <v>5.48</v>
      </c>
      <c r="R7" s="8" t="inlineStr"/>
      <c r="S7" s="8" t="inlineStr"/>
      <c r="T7" s="8" t="inlineStr"/>
      <c r="U7" s="8" t="inlineStr"/>
      <c r="V7" s="8" t="n">
        <v>0</v>
      </c>
      <c r="W7" s="8" t="n">
        <v>0</v>
      </c>
      <c r="X7" s="8" t="n">
        <v>0</v>
      </c>
      <c r="Y7" s="8" t="n">
        <v>0</v>
      </c>
      <c r="Z7" s="8" t="inlineStr"/>
      <c r="AA7" s="8" t="inlineStr"/>
      <c r="AB7" s="8" t="inlineStr"/>
      <c r="AC7" s="8" t="inlineStr"/>
      <c r="AD7" s="8" t="inlineStr">
        <is>
          <t>Định mức 38/2026/TT-BXD - Phần LDM</t>
        </is>
      </c>
      <c r="AE7" s="8" t="inlineStr">
        <is>
          <t>GM38_2026</t>
        </is>
      </c>
      <c r="AF7" s="8" t="inlineStr">
        <is>
          <t>A33.0001~Mỡ các loại~kg~1.81~1.81~0~90000~0~1~1~0~99000~Mo~Giá gốc~0žA33.0002~Dầu các loại~kg~2.09~2.09~0~100000~0~1~1~0~110000~DauCacLoai~Giá gốc~0žA33.0003~Thép tấm~kg~2.78~2.78~0~14950~0~1~1~0~16445~ThepTam~CBG HN Q1.2026 - Thái Nguyên~0žA33.0108~Que hàn các loại~kg~0.21~0.21~0~19800~0~1~1~0~21780~QueHan~Giá gốc~0žA33.0005~Khí gas~kg~0.22~0.22~0~37803~0~1~1~0~41583.3~KhiGas~Giá gốc~0žA33.0006~Ô xy~chai~0.11~0.11~0~30000~0~1~1~0~33000~Oxy~Giá gốc~0žA33.0107~Đá mài, cắt~viên~0.89~0.89~0~20000~0~1~1~0~22000~DaMai~Giá gốc~0žA33.0008~Đồng lá~kg~0.055~0.055~0~350000~0~1~1~0~385000~DongLa~Giá gốc~0žA33.0007~Gỗ nhóm 4~m3~0.014~0.014~0~2000000~0~1~1~0~2200000~GoNhom4~Giá gốc~0žZ999~Vật liệu khác~%~5~5~0~4942.8566~0~1~1~0~0~VatLieuKhac~~0</t>
        </is>
      </c>
      <c r="AG7" s="8" t="inlineStr">
        <is>
          <t>N4~Nhân công nhóm 4~công~36.94~36.94~0~454000~0~1~1~0~0~N4~Được tính toán, rồi Link từ sheet Nhân công sang~0</t>
        </is>
      </c>
      <c r="AH7" s="8" t="inlineStr">
        <is>
          <t>M102.0301~Cần cẩu bánh xích 5T~ca~0.314~0.314~0~2451003~0~1~1~0~0~M195~Được tính toán, rồi Link từ sheet Máy sang~0žM112.3703~Máy mài 2,7 kW~ca~0.89~0.89~0~19497~0~1~1~0~0~M458~Được tính toán, rồi Link từ sheet Máy sang~0žM112.3901~Máy hàn điện 50 kW~ca~0.089~0.089~0~719617~0~1~1~0~0~M418~Được tính toán, rồi Link từ sheet Máy sang~0žM112.4101~Máy hàn hơi 1000 l/h~ca~0.27~0.27~0~463545~0~1~1~0~0~M432~Được tính toán, rồi Link từ sheet Máy sang~0žM999~Máy khác~%~2~2~0~9761.70335~0~1~1~0~0~~~0</t>
        </is>
      </c>
      <c r="AI7" s="8" t="inlineStr"/>
      <c r="AJ7" s="8" t="inlineStr"/>
      <c r="AK7" s="8" t="inlineStr"/>
      <c r="AL7" s="8" t="inlineStr"/>
      <c r="AM7" s="8" t="inlineStr"/>
      <c r="AN7" s="8" t="inlineStr">
        <is>
          <t>DinhMucBoXD</t>
        </is>
      </c>
    </row>
    <row r="8">
      <c r="A8" s="8" t="inlineStr"/>
      <c r="B8" s="8" t="inlineStr"/>
      <c r="C8" s="8" t="inlineStr"/>
      <c r="D8" s="8" t="inlineStr"/>
      <c r="E8" s="8" t="inlineStr"/>
      <c r="F8" s="8" t="inlineStr">
        <is>
          <t>Dàn nóng CSL: 10 HP</t>
        </is>
      </c>
      <c r="H8" s="8" t="inlineStr"/>
      <c r="I8" s="8" t="n">
        <v>1</v>
      </c>
      <c r="J8" s="8" t="n">
        <v>191</v>
      </c>
      <c r="K8" s="8" t="inlineStr"/>
      <c r="L8" s="8" t="inlineStr"/>
      <c r="M8" s="8" t="n">
        <v>0.001</v>
      </c>
      <c r="N8" s="8" t="n">
        <v>191</v>
      </c>
      <c r="O8" s="8" t="n">
        <v>191</v>
      </c>
      <c r="P8" s="8" t="n">
        <v>0.191</v>
      </c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  <c r="Z8" s="8" t="inlineStr"/>
      <c r="AA8" s="8" t="inlineStr"/>
      <c r="AB8" s="8" t="inlineStr"/>
      <c r="AC8" s="8" t="inlineStr"/>
      <c r="AD8" s="8" t="inlineStr"/>
      <c r="AE8" s="8" t="inlineStr"/>
      <c r="AF8" s="8" t="inlineStr"/>
      <c r="AG8" s="8" t="inlineStr"/>
      <c r="AH8" s="8" t="inlineStr"/>
      <c r="AI8" s="8" t="inlineStr"/>
      <c r="AJ8" s="8" t="inlineStr"/>
      <c r="AK8" s="8" t="inlineStr"/>
      <c r="AL8" s="8" t="inlineStr"/>
      <c r="AM8" s="8" t="inlineStr"/>
      <c r="AN8" s="8" t="inlineStr"/>
    </row>
    <row r="9">
      <c r="A9" s="8" t="inlineStr"/>
      <c r="B9" s="8" t="inlineStr"/>
      <c r="C9" s="8" t="inlineStr"/>
      <c r="D9" s="8" t="inlineStr"/>
      <c r="E9" s="8" t="inlineStr"/>
      <c r="F9" s="8" t="inlineStr">
        <is>
          <t>Dàn nóng CSL: 14 HP</t>
        </is>
      </c>
      <c r="H9" s="8" t="inlineStr"/>
      <c r="I9" s="8" t="n">
        <v>5</v>
      </c>
      <c r="J9" s="8" t="n">
        <v>243</v>
      </c>
      <c r="K9" s="8" t="inlineStr"/>
      <c r="L9" s="8" t="inlineStr"/>
      <c r="M9" s="8" t="n">
        <v>0.001</v>
      </c>
      <c r="N9" s="8" t="n">
        <v>1215</v>
      </c>
      <c r="O9" s="8" t="n">
        <v>1215</v>
      </c>
      <c r="P9" s="8" t="n">
        <v>1.215</v>
      </c>
      <c r="Q9" s="8" t="inlineStr"/>
      <c r="R9" s="8" t="inlineStr"/>
      <c r="S9" s="8" t="inlineStr"/>
      <c r="T9" s="8" t="inlineStr"/>
      <c r="U9" s="8" t="inlineStr"/>
      <c r="V9" s="8" t="inlineStr"/>
      <c r="W9" s="8" t="inlineStr"/>
      <c r="X9" s="8" t="inlineStr"/>
      <c r="Y9" s="8" t="inlineStr"/>
      <c r="Z9" s="8" t="inlineStr"/>
      <c r="AA9" s="8" t="inlineStr"/>
      <c r="AB9" s="8" t="inlineStr"/>
      <c r="AC9" s="8" t="inlineStr"/>
      <c r="AD9" s="8" t="inlineStr"/>
      <c r="AE9" s="8" t="inlineStr"/>
      <c r="AF9" s="8" t="inlineStr"/>
      <c r="AG9" s="8" t="inlineStr"/>
      <c r="AH9" s="8" t="inlineStr"/>
      <c r="AI9" s="8" t="inlineStr"/>
      <c r="AJ9" s="8" t="inlineStr"/>
      <c r="AK9" s="8" t="inlineStr"/>
      <c r="AL9" s="8" t="inlineStr"/>
      <c r="AM9" s="8" t="inlineStr"/>
      <c r="AN9" s="8" t="inlineStr"/>
    </row>
    <row r="10">
      <c r="A10" s="8" t="inlineStr"/>
      <c r="B10" s="8" t="inlineStr"/>
      <c r="C10" s="8" t="inlineStr"/>
      <c r="D10" s="8" t="inlineStr"/>
      <c r="E10" s="8" t="inlineStr"/>
      <c r="F10" s="8" t="inlineStr">
        <is>
          <t>Dàn nóng CSL: 16 HP</t>
        </is>
      </c>
      <c r="H10" s="8" t="inlineStr"/>
      <c r="I10" s="8" t="n">
        <v>2</v>
      </c>
      <c r="J10" s="8" t="n">
        <v>241</v>
      </c>
      <c r="K10" s="8" t="inlineStr"/>
      <c r="L10" s="8" t="inlineStr"/>
      <c r="M10" s="8" t="n">
        <v>0.001</v>
      </c>
      <c r="N10" s="8" t="n">
        <v>482</v>
      </c>
      <c r="O10" s="8" t="n">
        <v>482</v>
      </c>
      <c r="P10" s="8" t="n">
        <v>0.482</v>
      </c>
      <c r="Q10" s="8" t="inlineStr"/>
      <c r="R10" s="8" t="inlineStr"/>
      <c r="S10" s="8" t="inlineStr"/>
      <c r="T10" s="8" t="inlineStr"/>
      <c r="U10" s="8" t="inlineStr"/>
      <c r="V10" s="8" t="inlineStr"/>
      <c r="W10" s="8" t="inlineStr"/>
      <c r="X10" s="8" t="inlineStr"/>
      <c r="Y10" s="8" t="inlineStr"/>
      <c r="Z10" s="8" t="inlineStr"/>
      <c r="AA10" s="8" t="inlineStr"/>
      <c r="AB10" s="8" t="inlineStr"/>
      <c r="AC10" s="8" t="inlineStr"/>
      <c r="AD10" s="8" t="inlineStr"/>
      <c r="AE10" s="8" t="inlineStr"/>
      <c r="AF10" s="8" t="inlineStr"/>
      <c r="AG10" s="8" t="inlineStr"/>
      <c r="AH10" s="8" t="inlineStr"/>
      <c r="AI10" s="8" t="inlineStr"/>
      <c r="AJ10" s="8" t="inlineStr"/>
      <c r="AK10" s="8" t="inlineStr"/>
      <c r="AL10" s="8" t="inlineStr"/>
      <c r="AM10" s="8" t="inlineStr"/>
      <c r="AN10" s="8" t="inlineStr"/>
    </row>
    <row r="11">
      <c r="A11" s="8" t="inlineStr"/>
      <c r="B11" s="8" t="inlineStr"/>
      <c r="C11" s="8" t="inlineStr"/>
      <c r="D11" s="8" t="inlineStr"/>
      <c r="E11" s="8" t="inlineStr"/>
      <c r="F11" s="8" t="inlineStr">
        <is>
          <t>Dàn nóng CSL: 26 HP</t>
        </is>
      </c>
      <c r="H11" s="8" t="inlineStr"/>
      <c r="I11" s="8" t="n">
        <v>1</v>
      </c>
      <c r="J11" s="8" t="n">
        <v>432</v>
      </c>
      <c r="K11" s="8" t="inlineStr"/>
      <c r="L11" s="8" t="inlineStr"/>
      <c r="M11" s="8" t="n">
        <v>0.001</v>
      </c>
      <c r="N11" s="8" t="n">
        <v>432</v>
      </c>
      <c r="O11" s="8" t="n">
        <v>432</v>
      </c>
      <c r="P11" s="8" t="n">
        <v>0.432</v>
      </c>
      <c r="Q11" s="8" t="inlineStr"/>
      <c r="R11" s="8" t="inlineStr"/>
      <c r="S11" s="8" t="inlineStr"/>
      <c r="T11" s="8" t="inlineStr"/>
      <c r="U11" s="8" t="inlineStr"/>
      <c r="V11" s="8" t="inlineStr"/>
      <c r="W11" s="8" t="inlineStr"/>
      <c r="X11" s="8" t="inlineStr"/>
      <c r="Y11" s="8" t="inlineStr"/>
      <c r="Z11" s="8" t="inlineStr"/>
      <c r="AA11" s="8" t="inlineStr"/>
      <c r="AB11" s="8" t="inlineStr"/>
      <c r="AC11" s="8" t="inlineStr"/>
      <c r="AD11" s="8" t="inlineStr"/>
      <c r="AE11" s="8" t="inlineStr"/>
      <c r="AF11" s="8" t="inlineStr"/>
      <c r="AG11" s="8" t="inlineStr"/>
      <c r="AH11" s="8" t="inlineStr"/>
      <c r="AI11" s="8" t="inlineStr"/>
      <c r="AJ11" s="8" t="inlineStr"/>
      <c r="AK11" s="8" t="inlineStr"/>
      <c r="AL11" s="8" t="inlineStr"/>
      <c r="AM11" s="8" t="inlineStr"/>
      <c r="AN11" s="8" t="inlineStr"/>
    </row>
    <row r="12">
      <c r="A12" s="8" t="inlineStr"/>
      <c r="B12" s="8" t="inlineStr"/>
      <c r="C12" s="8" t="inlineStr"/>
      <c r="D12" s="8" t="inlineStr"/>
      <c r="E12" s="8" t="inlineStr"/>
      <c r="F12" s="8" t="inlineStr">
        <is>
          <t>Dàn nóng CSL: 40 HP</t>
        </is>
      </c>
      <c r="H12" s="8" t="inlineStr"/>
      <c r="I12" s="8" t="n">
        <v>3</v>
      </c>
      <c r="J12" s="8" t="n">
        <v>570</v>
      </c>
      <c r="K12" s="8" t="inlineStr"/>
      <c r="L12" s="8" t="inlineStr"/>
      <c r="M12" s="8" t="n">
        <v>0.001</v>
      </c>
      <c r="N12" s="8" t="n">
        <v>1710</v>
      </c>
      <c r="O12" s="8" t="n">
        <v>1710</v>
      </c>
      <c r="P12" s="8" t="n">
        <v>1.71</v>
      </c>
      <c r="Q12" s="8" t="inlineStr"/>
      <c r="R12" s="8" t="inlineStr"/>
      <c r="S12" s="8" t="inlineStr"/>
      <c r="T12" s="8" t="inlineStr"/>
      <c r="U12" s="8" t="inlineStr"/>
      <c r="V12" s="8" t="inlineStr"/>
      <c r="W12" s="8" t="inlineStr"/>
      <c r="X12" s="8" t="inlineStr"/>
      <c r="Y12" s="8" t="inlineStr"/>
      <c r="Z12" s="8" t="inlineStr"/>
      <c r="AA12" s="8" t="inlineStr"/>
      <c r="AB12" s="8" t="inlineStr"/>
      <c r="AC12" s="8" t="inlineStr"/>
      <c r="AD12" s="8" t="inlineStr"/>
      <c r="AE12" s="8" t="inlineStr"/>
      <c r="AF12" s="8" t="inlineStr"/>
      <c r="AG12" s="8" t="inlineStr"/>
      <c r="AH12" s="8" t="inlineStr"/>
      <c r="AI12" s="8" t="inlineStr"/>
      <c r="AJ12" s="8" t="inlineStr"/>
      <c r="AK12" s="8" t="inlineStr"/>
      <c r="AL12" s="8" t="inlineStr"/>
      <c r="AM12" s="8" t="inlineStr"/>
      <c r="AN12" s="8" t="inlineStr"/>
    </row>
    <row r="13">
      <c r="A13" s="8" t="inlineStr"/>
      <c r="B13" s="8" t="inlineStr"/>
      <c r="C13" s="8" t="inlineStr"/>
      <c r="D13" s="8" t="inlineStr"/>
      <c r="E13" s="8" t="inlineStr"/>
      <c r="F13" s="8" t="inlineStr">
        <is>
          <t>Dàn nóng CSL: 46 HP</t>
        </is>
      </c>
      <c r="H13" s="8" t="inlineStr"/>
      <c r="I13" s="8" t="n">
        <v>2</v>
      </c>
      <c r="J13" s="8" t="n">
        <v>725</v>
      </c>
      <c r="K13" s="8" t="inlineStr"/>
      <c r="L13" s="8" t="inlineStr"/>
      <c r="M13" s="8" t="n">
        <v>0.001</v>
      </c>
      <c r="N13" s="8" t="n">
        <v>1450</v>
      </c>
      <c r="O13" s="8" t="n">
        <v>1450</v>
      </c>
      <c r="P13" s="8" t="n">
        <v>1.45</v>
      </c>
      <c r="Q13" s="8" t="inlineStr"/>
      <c r="R13" s="8" t="inlineStr"/>
      <c r="S13" s="8" t="inlineStr"/>
      <c r="T13" s="8" t="inlineStr"/>
      <c r="U13" s="8" t="inlineStr"/>
      <c r="V13" s="8" t="inlineStr"/>
      <c r="W13" s="8" t="inlineStr"/>
      <c r="X13" s="8" t="inlineStr"/>
      <c r="Y13" s="8" t="inlineStr"/>
      <c r="Z13" s="8" t="inlineStr"/>
      <c r="AA13" s="8" t="inlineStr"/>
      <c r="AB13" s="8" t="inlineStr"/>
      <c r="AC13" s="8" t="inlineStr"/>
      <c r="AD13" s="8" t="inlineStr"/>
      <c r="AE13" s="8" t="inlineStr"/>
      <c r="AF13" s="8" t="inlineStr"/>
      <c r="AG13" s="8" t="inlineStr"/>
      <c r="AH13" s="8" t="inlineStr"/>
      <c r="AI13" s="8" t="inlineStr"/>
      <c r="AJ13" s="8" t="inlineStr"/>
      <c r="AK13" s="8" t="inlineStr"/>
      <c r="AL13" s="8" t="inlineStr"/>
      <c r="AM13" s="8" t="inlineStr"/>
      <c r="AN13" s="8" t="inlineStr"/>
    </row>
    <row r="14">
      <c r="A14" s="8" t="n">
        <v>2</v>
      </c>
      <c r="B14" s="8" t="inlineStr"/>
      <c r="C14" s="11" t="inlineStr">
        <is>
          <t>BA.12130</t>
        </is>
      </c>
      <c r="D14" s="8" t="inlineStr"/>
      <c r="E14" s="8" t="inlineStr">
        <is>
          <t>BA.12130</t>
        </is>
      </c>
      <c r="F14" s="8" t="inlineStr">
        <is>
          <t>Dàn lạnh âm trần nối ống gió, CSL: 7.1 kW</t>
        </is>
      </c>
      <c r="G14" s="12">
        <f>HYPERLINK("tt38://pl3/6", "👉 Phụ lục III - Trang 6 (Khớp nhóm BA.121)")</f>
        <v/>
      </c>
      <c r="H14" s="8" t="inlineStr">
        <is>
          <t>máy</t>
        </is>
      </c>
      <c r="I14" s="8" t="inlineStr"/>
      <c r="J14" s="8" t="inlineStr"/>
      <c r="K14" s="8" t="inlineStr"/>
      <c r="L14" s="8" t="inlineStr"/>
      <c r="M14" s="8" t="inlineStr"/>
      <c r="N14" s="8" t="inlineStr"/>
      <c r="O14" s="8" t="inlineStr"/>
      <c r="P14" s="8" t="inlineStr"/>
      <c r="Q14" s="8" t="n">
        <v>14</v>
      </c>
      <c r="R14" s="8" t="inlineStr"/>
      <c r="S14" s="8" t="inlineStr"/>
      <c r="T14" s="8" t="inlineStr"/>
      <c r="U14" s="8" t="inlineStr"/>
      <c r="V14" s="8" t="n">
        <v>0</v>
      </c>
      <c r="W14" s="8" t="n">
        <v>0</v>
      </c>
      <c r="X14" s="8" t="n">
        <v>0</v>
      </c>
      <c r="Y14" s="8" t="n">
        <v>0</v>
      </c>
      <c r="Z14" s="8" t="inlineStr"/>
      <c r="AA14" s="8" t="inlineStr"/>
      <c r="AB14" s="8" t="inlineStr"/>
      <c r="AC14" s="8" t="inlineStr"/>
      <c r="AD14" s="8" t="inlineStr">
        <is>
          <t>Định mức 38/2026/TT-BXD - Phần LD</t>
        </is>
      </c>
      <c r="AE14" s="8" t="inlineStr">
        <is>
          <t>GM38_2026</t>
        </is>
      </c>
      <c r="AF14" s="8" t="inlineStr">
        <is>
          <t>A33.0009~Giá đỡ máy âm trần~cái~1~1~0~500000~0~1~1~0~550000~GiaDoMay~Tạm tính~0žZ999~Vật liệu khác~%~5~5~0~5000~0~1~1~0~0~VatLieuKhac~~0</t>
        </is>
      </c>
      <c r="AG14" s="8" t="inlineStr">
        <is>
          <t>N3~Nhân công nhóm 3~công~1.31~1.31~0~427000~0~1~1~0~0~N3~Được tính toán, rồi Link từ sheet Nhân công sang~0</t>
        </is>
      </c>
      <c r="AH14" s="8" t="inlineStr">
        <is>
          <t>M112.1701~Máy khoan bê tông cầm tay 0,62 kW~ca~0.36~0.36~0~15158~0~1~1~0~0~M440~Được tính toán, rồi Link từ sheet Máy sang~0</t>
        </is>
      </c>
      <c r="AI14" s="8" t="inlineStr"/>
      <c r="AJ14" s="8" t="inlineStr"/>
      <c r="AK14" s="8" t="inlineStr"/>
      <c r="AL14" s="8" t="inlineStr"/>
      <c r="AM14" s="8" t="inlineStr"/>
      <c r="AN14" s="8" t="inlineStr">
        <is>
          <t>DinhMucBoXD</t>
        </is>
      </c>
    </row>
    <row r="15">
      <c r="A15" s="8" t="n">
        <v>3</v>
      </c>
      <c r="B15" s="8" t="inlineStr"/>
      <c r="C15" s="11" t="inlineStr">
        <is>
          <t>BA.12130</t>
        </is>
      </c>
      <c r="D15" s="8" t="inlineStr"/>
      <c r="E15" s="8" t="inlineStr">
        <is>
          <t>BA.12130</t>
        </is>
      </c>
      <c r="F15" s="8" t="inlineStr">
        <is>
          <t>Dàn lạnh cassette, CSL: 9.0 kW</t>
        </is>
      </c>
      <c r="G15" s="12">
        <f>HYPERLINK("tt38://pl3/6", "👉 Phụ lục III - Trang 6 (Khớp nhóm BA.121)")</f>
        <v/>
      </c>
      <c r="H15" s="8" t="inlineStr">
        <is>
          <t>máy</t>
        </is>
      </c>
      <c r="I15" s="8" t="inlineStr"/>
      <c r="J15" s="8" t="inlineStr"/>
      <c r="K15" s="8" t="inlineStr"/>
      <c r="L15" s="8" t="inlineStr"/>
      <c r="M15" s="8" t="inlineStr"/>
      <c r="N15" s="8" t="inlineStr"/>
      <c r="O15" s="8" t="inlineStr"/>
      <c r="P15" s="8" t="inlineStr"/>
      <c r="Q15" s="8" t="n">
        <v>14</v>
      </c>
      <c r="R15" s="8" t="inlineStr"/>
      <c r="S15" s="8" t="inlineStr"/>
      <c r="T15" s="8" t="inlineStr"/>
      <c r="U15" s="8" t="inlineStr"/>
      <c r="V15" s="8" t="n">
        <v>0</v>
      </c>
      <c r="W15" s="8" t="n">
        <v>0</v>
      </c>
      <c r="X15" s="8" t="n">
        <v>0</v>
      </c>
      <c r="Y15" s="8" t="n">
        <v>0</v>
      </c>
      <c r="Z15" s="8" t="inlineStr"/>
      <c r="AA15" s="8" t="inlineStr"/>
      <c r="AB15" s="8" t="inlineStr"/>
      <c r="AC15" s="8" t="inlineStr"/>
      <c r="AD15" s="8" t="inlineStr">
        <is>
          <t>Định mức 38/2026/TT-BXD - Phần LD</t>
        </is>
      </c>
      <c r="AE15" s="8" t="inlineStr">
        <is>
          <t>GM38_2026</t>
        </is>
      </c>
      <c r="AF15" s="8" t="inlineStr">
        <is>
          <t>A33.0009~Giá đỡ máy cassettle~cái~1~1~0~500000~0~1~1~0~550000~GiaDoMay~Tạm tính~0žZ999~Vật liệu khác~%~5~5~0~5000~0~1~1~0~0~VatLieuKhac~~0</t>
        </is>
      </c>
      <c r="AG15" s="8" t="inlineStr">
        <is>
          <t>N3~Nhân công nhóm 3~công~1.31~1.31~0~427000~0~1~1~0~0~N3~Được tính toán, rồi Link từ sheet Nhân công sang~0</t>
        </is>
      </c>
      <c r="AH15" s="8" t="inlineStr">
        <is>
          <t>M112.1701~Máy khoan bê tông cầm tay 0,62 kW~ca~0.36~0.36~0~15158~0~1~1~0~0~M440~Được tính toán, rồi Link từ sheet Máy sang~0</t>
        </is>
      </c>
      <c r="AI15" s="8" t="inlineStr"/>
      <c r="AJ15" s="8" t="inlineStr"/>
      <c r="AK15" s="8" t="inlineStr"/>
      <c r="AL15" s="8" t="inlineStr"/>
      <c r="AM15" s="8" t="inlineStr"/>
      <c r="AN15" s="8" t="inlineStr">
        <is>
          <t>DinhMucBoXD</t>
        </is>
      </c>
    </row>
    <row r="16">
      <c r="A16" s="8" t="n">
        <v>4</v>
      </c>
      <c r="B16" s="8" t="inlineStr"/>
      <c r="C16" s="11" t="inlineStr">
        <is>
          <t>BA.12130</t>
        </is>
      </c>
      <c r="D16" s="8" t="inlineStr"/>
      <c r="E16" s="8" t="inlineStr">
        <is>
          <t>BA.12130</t>
        </is>
      </c>
      <c r="F16" s="8" t="inlineStr">
        <is>
          <t>Dàn lạnh cassette, CSL: 11.2 kW</t>
        </is>
      </c>
      <c r="G16" s="12">
        <f>HYPERLINK("tt38://pl3/6", "👉 Phụ lục III - Trang 6 (Khớp nhóm BA.121)")</f>
        <v/>
      </c>
      <c r="H16" s="8" t="inlineStr">
        <is>
          <t>máy</t>
        </is>
      </c>
      <c r="I16" s="8" t="inlineStr"/>
      <c r="J16" s="8" t="inlineStr"/>
      <c r="K16" s="8" t="inlineStr"/>
      <c r="L16" s="8" t="inlineStr"/>
      <c r="M16" s="8" t="inlineStr"/>
      <c r="N16" s="8" t="inlineStr"/>
      <c r="O16" s="8" t="inlineStr"/>
      <c r="P16" s="8" t="inlineStr"/>
      <c r="Q16" s="8" t="n">
        <v>43</v>
      </c>
      <c r="R16" s="8" t="inlineStr"/>
      <c r="S16" s="8" t="inlineStr"/>
      <c r="T16" s="8" t="inlineStr"/>
      <c r="U16" s="8" t="inlineStr"/>
      <c r="V16" s="8" t="n">
        <v>0</v>
      </c>
      <c r="W16" s="8" t="n">
        <v>0</v>
      </c>
      <c r="X16" s="8" t="n">
        <v>0</v>
      </c>
      <c r="Y16" s="8" t="n">
        <v>0</v>
      </c>
      <c r="Z16" s="8" t="inlineStr"/>
      <c r="AA16" s="8" t="inlineStr"/>
      <c r="AB16" s="8" t="inlineStr"/>
      <c r="AC16" s="8" t="inlineStr"/>
      <c r="AD16" s="8" t="inlineStr">
        <is>
          <t>Định mức 38/2026/TT-BXD - Phần LD</t>
        </is>
      </c>
      <c r="AE16" s="8" t="inlineStr">
        <is>
          <t>GM38_2026</t>
        </is>
      </c>
      <c r="AF16" s="8" t="inlineStr">
        <is>
          <t>A33.0009~Giá đỡ máy cassettle~cái~1~1~0~500000~0~1~1~0~550000~GiaDoMay~Tạm tính~0žZ999~Vật liệu khác~%~5~5~0~5000~0~1~1~0~0~VatLieuKhac~~0</t>
        </is>
      </c>
      <c r="AG16" s="8" t="inlineStr">
        <is>
          <t>N3~Nhân công nhóm 3~công~1.31~1.31~0~427000~0~1~1~0~0~N3~Được tính toán, rồi Link từ sheet Nhân công sang~0</t>
        </is>
      </c>
      <c r="AH16" s="8" t="inlineStr">
        <is>
          <t>M112.1701~Máy khoan bê tông cầm tay 0,62 kW~ca~0.36~0.36~0~15158~0~1~1~0~0~M440~Được tính toán, rồi Link từ sheet Máy sang~0</t>
        </is>
      </c>
      <c r="AI16" s="8" t="inlineStr"/>
      <c r="AJ16" s="8" t="inlineStr"/>
      <c r="AK16" s="8" t="inlineStr"/>
      <c r="AL16" s="8" t="inlineStr"/>
      <c r="AM16" s="8" t="inlineStr"/>
      <c r="AN16" s="8" t="inlineStr">
        <is>
          <t>DinhMucBoXD</t>
        </is>
      </c>
    </row>
    <row r="17">
      <c r="A17" s="8" t="n">
        <v>5</v>
      </c>
      <c r="B17" s="8" t="inlineStr"/>
      <c r="C17" s="11" t="inlineStr">
        <is>
          <t>BA.12130</t>
        </is>
      </c>
      <c r="D17" s="8" t="inlineStr"/>
      <c r="E17" s="8" t="inlineStr">
        <is>
          <t>BA.12130</t>
        </is>
      </c>
      <c r="F17" s="8" t="inlineStr">
        <is>
          <t>Dàn lạnh cassette, CSL: 14.0 kW</t>
        </is>
      </c>
      <c r="G17" s="12">
        <f>HYPERLINK("tt38://pl3/6", "👉 Phụ lục III - Trang 6 (Khớp nhóm BA.121)")</f>
        <v/>
      </c>
      <c r="H17" s="8" t="inlineStr">
        <is>
          <t>máy</t>
        </is>
      </c>
      <c r="I17" s="8" t="inlineStr"/>
      <c r="J17" s="8" t="inlineStr"/>
      <c r="K17" s="8" t="inlineStr"/>
      <c r="L17" s="8" t="inlineStr"/>
      <c r="M17" s="8" t="inlineStr"/>
      <c r="N17" s="8" t="inlineStr"/>
      <c r="O17" s="8" t="inlineStr"/>
      <c r="P17" s="8" t="inlineStr"/>
      <c r="Q17" s="8" t="n">
        <v>18</v>
      </c>
      <c r="R17" s="8" t="inlineStr"/>
      <c r="S17" s="8" t="inlineStr"/>
      <c r="T17" s="8" t="inlineStr"/>
      <c r="U17" s="8" t="inlineStr"/>
      <c r="V17" s="8" t="n">
        <v>0</v>
      </c>
      <c r="W17" s="8" t="n">
        <v>0</v>
      </c>
      <c r="X17" s="8" t="n">
        <v>0</v>
      </c>
      <c r="Y17" s="8" t="n">
        <v>0</v>
      </c>
      <c r="Z17" s="8" t="inlineStr"/>
      <c r="AA17" s="8" t="inlineStr"/>
      <c r="AB17" s="8" t="inlineStr"/>
      <c r="AC17" s="8" t="inlineStr"/>
      <c r="AD17" s="8" t="inlineStr">
        <is>
          <t>Định mức 38/2026/TT-BXD - Phần LD</t>
        </is>
      </c>
      <c r="AE17" s="8" t="inlineStr">
        <is>
          <t>GM38_2026</t>
        </is>
      </c>
      <c r="AF17" s="8" t="inlineStr">
        <is>
          <t>A33.0009~Giá đỡ máy cassettle~cái~1~1~0~500000~0~1~1~0~550000~GiaDoMay~Tạm tính~0žZ999~Vật liệu khác~%~5~5~0~5000~0~1~1~0~0~VatLieuKhac~~0</t>
        </is>
      </c>
      <c r="AG17" s="8" t="inlineStr">
        <is>
          <t>N3~Nhân công nhóm 3~công~1.31~1.31~0~427000~0~1~1~0~0~N3~Được tính toán, rồi Link từ sheet Nhân công sang~0</t>
        </is>
      </c>
      <c r="AH17" s="8" t="inlineStr">
        <is>
          <t>M112.1701~Máy khoan bê tông cầm tay 0,62 kW~ca~0.36~0.36~0~15158~0~1~1~0~0~M440~Được tính toán, rồi Link từ sheet Máy sang~0</t>
        </is>
      </c>
      <c r="AI17" s="8" t="inlineStr"/>
      <c r="AJ17" s="8" t="inlineStr"/>
      <c r="AK17" s="8" t="inlineStr"/>
      <c r="AL17" s="8" t="inlineStr"/>
      <c r="AM17" s="8" t="inlineStr"/>
      <c r="AN17" s="8" t="inlineStr">
        <is>
          <t>DinhMucBoXD</t>
        </is>
      </c>
    </row>
    <row r="18">
      <c r="A18" s="8" t="n">
        <v>6</v>
      </c>
      <c r="B18" s="8" t="inlineStr"/>
      <c r="C18" s="11" t="inlineStr">
        <is>
          <t>BA.12130</t>
        </is>
      </c>
      <c r="D18" s="8" t="inlineStr"/>
      <c r="E18" s="8" t="inlineStr">
        <is>
          <t>BA.12130</t>
        </is>
      </c>
      <c r="F18" s="8" t="inlineStr">
        <is>
          <t>Dàn lạnh âm trần nối ống gió CSL: 7.1 kW</t>
        </is>
      </c>
      <c r="G18" s="12">
        <f>HYPERLINK("tt38://pl3/6", "👉 Phụ lục III - Trang 6 (Khớp nhóm BA.121)")</f>
        <v/>
      </c>
      <c r="H18" s="8" t="inlineStr">
        <is>
          <t>máy</t>
        </is>
      </c>
      <c r="I18" s="8" t="inlineStr"/>
      <c r="J18" s="8" t="inlineStr"/>
      <c r="K18" s="8" t="inlineStr"/>
      <c r="L18" s="8" t="inlineStr"/>
      <c r="M18" s="8" t="inlineStr"/>
      <c r="N18" s="8" t="inlineStr"/>
      <c r="O18" s="8" t="inlineStr"/>
      <c r="P18" s="8" t="inlineStr"/>
      <c r="Q18" s="8" t="n">
        <v>2</v>
      </c>
      <c r="R18" s="8" t="inlineStr"/>
      <c r="S18" s="8" t="inlineStr"/>
      <c r="T18" s="8" t="inlineStr"/>
      <c r="U18" s="8" t="inlineStr"/>
      <c r="V18" s="8" t="n">
        <v>0</v>
      </c>
      <c r="W18" s="8" t="n">
        <v>0</v>
      </c>
      <c r="X18" s="8" t="n">
        <v>0</v>
      </c>
      <c r="Y18" s="8" t="n">
        <v>0</v>
      </c>
      <c r="Z18" s="8" t="inlineStr"/>
      <c r="AA18" s="8" t="inlineStr"/>
      <c r="AB18" s="8" t="inlineStr"/>
      <c r="AC18" s="8" t="inlineStr"/>
      <c r="AD18" s="8" t="inlineStr">
        <is>
          <t>Định mức 38/2026/TT-BXD - Phần LD</t>
        </is>
      </c>
      <c r="AE18" s="8" t="inlineStr">
        <is>
          <t>GM38_2026</t>
        </is>
      </c>
      <c r="AF18" s="8" t="inlineStr">
        <is>
          <t>A33.0009~Giá đỡ máy âm trần~cái~1~1~0~500000~0~1~1~0~550000~GiaDoMay~Tạm tính~0žZ999~Vật liệu khác~%~5~5~0~5000~0~1~1~0~0~VatLieuKhac~~0</t>
        </is>
      </c>
      <c r="AG18" s="8" t="inlineStr">
        <is>
          <t>N3~Nhân công nhóm 3~công~1.31~1.31~0~427000~0~1~1~0~0~N3~Được tính toán, rồi Link từ sheet Nhân công sang~0</t>
        </is>
      </c>
      <c r="AH18" s="8" t="inlineStr">
        <is>
          <t>M112.1701~Máy khoan bê tông cầm tay 0,62 kW~ca~0.36~0.36~0~15158~0~1~1~0~0~M440~Được tính toán, rồi Link từ sheet Máy sang~0</t>
        </is>
      </c>
      <c r="AI18" s="8" t="inlineStr"/>
      <c r="AJ18" s="8" t="inlineStr"/>
      <c r="AK18" s="8" t="inlineStr"/>
      <c r="AL18" s="8" t="inlineStr"/>
      <c r="AM18" s="8" t="inlineStr"/>
      <c r="AN18" s="8" t="inlineStr">
        <is>
          <t>DinhMucBoXD</t>
        </is>
      </c>
    </row>
    <row r="19">
      <c r="A19" s="8" t="n">
        <v>7</v>
      </c>
      <c r="B19" s="8" t="inlineStr"/>
      <c r="C19" s="11" t="inlineStr">
        <is>
          <t>BA.12130</t>
        </is>
      </c>
      <c r="D19" s="8" t="inlineStr"/>
      <c r="E19" s="8" t="inlineStr">
        <is>
          <t>BA.12130</t>
        </is>
      </c>
      <c r="F19" s="8" t="inlineStr">
        <is>
          <t>Dàn lạnh cassette CSL: 7.1 kW</t>
        </is>
      </c>
      <c r="G19" s="12">
        <f>HYPERLINK("tt38://pl3/6", "👉 Phụ lục III - Trang 6 (Khớp nhóm BA.121)")</f>
        <v/>
      </c>
      <c r="H19" s="8" t="inlineStr">
        <is>
          <t>máy</t>
        </is>
      </c>
      <c r="I19" s="8" t="inlineStr"/>
      <c r="J19" s="8" t="inlineStr"/>
      <c r="K19" s="8" t="inlineStr"/>
      <c r="L19" s="8" t="inlineStr"/>
      <c r="M19" s="8" t="inlineStr"/>
      <c r="N19" s="8" t="inlineStr"/>
      <c r="O19" s="8" t="inlineStr"/>
      <c r="P19" s="8" t="inlineStr"/>
      <c r="Q19" s="8" t="n">
        <v>36</v>
      </c>
      <c r="R19" s="8" t="inlineStr"/>
      <c r="S19" s="8" t="inlineStr"/>
      <c r="T19" s="8" t="inlineStr"/>
      <c r="U19" s="8" t="inlineStr"/>
      <c r="V19" s="8" t="n">
        <v>0</v>
      </c>
      <c r="W19" s="8" t="n">
        <v>0</v>
      </c>
      <c r="X19" s="8" t="n">
        <v>0</v>
      </c>
      <c r="Y19" s="8" t="n">
        <v>0</v>
      </c>
      <c r="Z19" s="8" t="inlineStr"/>
      <c r="AA19" s="8" t="inlineStr"/>
      <c r="AB19" s="8" t="inlineStr"/>
      <c r="AC19" s="8" t="inlineStr"/>
      <c r="AD19" s="8" t="inlineStr">
        <is>
          <t>Định mức 38/2026/TT-BXD - Phần LD</t>
        </is>
      </c>
      <c r="AE19" s="8" t="inlineStr">
        <is>
          <t>GM38_2026</t>
        </is>
      </c>
      <c r="AF19" s="8" t="inlineStr">
        <is>
          <t>A33.0009~Giá đỡ máy cassettle~cái~1~1~0~500000~0~1~1~0~550000~GiaDoMay~Tạm tính~0žZ999~Vật liệu khác~%~5~5~0~5000~0~1~1~0~0~VatLieuKhac~~0</t>
        </is>
      </c>
      <c r="AG19" s="8" t="inlineStr">
        <is>
          <t>N3~Nhân công nhóm 3~công~1.31~1.31~0~427000~0~1~1~0~0~N3~Được tính toán, rồi Link từ sheet Nhân công sang~0</t>
        </is>
      </c>
      <c r="AH19" s="8" t="inlineStr">
        <is>
          <t>M112.1701~Máy khoan bê tông cầm tay 0,62 kW~ca~0.36~0.36~0~15158~0~1~1~0~0~M440~Được tính toán, rồi Link từ sheet Máy sang~0</t>
        </is>
      </c>
      <c r="AI19" s="8" t="inlineStr"/>
      <c r="AJ19" s="8" t="inlineStr"/>
      <c r="AK19" s="8" t="inlineStr"/>
      <c r="AL19" s="8" t="inlineStr"/>
      <c r="AM19" s="8" t="inlineStr"/>
      <c r="AN19" s="8" t="inlineStr">
        <is>
          <t>DinhMucBoXD</t>
        </is>
      </c>
    </row>
    <row r="20">
      <c r="A20" s="8" t="n">
        <v>8</v>
      </c>
      <c r="B20" s="8" t="inlineStr"/>
      <c r="C20" s="11" t="inlineStr">
        <is>
          <t>BA.12130</t>
        </is>
      </c>
      <c r="D20" s="8" t="inlineStr"/>
      <c r="E20" s="8" t="inlineStr">
        <is>
          <t>BA.12130</t>
        </is>
      </c>
      <c r="F20" s="8" t="inlineStr">
        <is>
          <t>Dàn lạnh cassette CSL: 10.0 kW</t>
        </is>
      </c>
      <c r="G20" s="12">
        <f>HYPERLINK("tt38://pl3/6", "👉 Phụ lục III - Trang 6 (Khớp nhóm BA.121)")</f>
        <v/>
      </c>
      <c r="H20" s="8" t="inlineStr">
        <is>
          <t>máy</t>
        </is>
      </c>
      <c r="I20" s="8" t="inlineStr"/>
      <c r="J20" s="8" t="inlineStr"/>
      <c r="K20" s="8" t="inlineStr"/>
      <c r="L20" s="8" t="inlineStr"/>
      <c r="M20" s="8" t="inlineStr"/>
      <c r="N20" s="8" t="inlineStr"/>
      <c r="O20" s="8" t="inlineStr"/>
      <c r="P20" s="8" t="inlineStr"/>
      <c r="Q20" s="8" t="n">
        <v>24</v>
      </c>
      <c r="R20" s="8" t="inlineStr"/>
      <c r="S20" s="8" t="inlineStr"/>
      <c r="T20" s="8" t="inlineStr"/>
      <c r="U20" s="8" t="inlineStr"/>
      <c r="V20" s="8" t="n">
        <v>0</v>
      </c>
      <c r="W20" s="8" t="n">
        <v>0</v>
      </c>
      <c r="X20" s="8" t="n">
        <v>0</v>
      </c>
      <c r="Y20" s="8" t="n">
        <v>0</v>
      </c>
      <c r="Z20" s="8" t="inlineStr"/>
      <c r="AA20" s="8" t="inlineStr"/>
      <c r="AB20" s="8" t="inlineStr"/>
      <c r="AC20" s="8" t="inlineStr"/>
      <c r="AD20" s="8" t="inlineStr">
        <is>
          <t>Định mức 38/2026/TT-BXD - Phần LD</t>
        </is>
      </c>
      <c r="AE20" s="8" t="inlineStr">
        <is>
          <t>GM38_2026</t>
        </is>
      </c>
      <c r="AF20" s="8" t="inlineStr">
        <is>
          <t>A33.0009~Giá đỡ máy cassettle~cái~1~1~0~500000~0~1~1~0~550000~GiaDoMay~Tạm tính~0žZ999~Vật liệu khác~%~5~5~0~5000~0~1~1~0~0~VatLieuKhac~~0</t>
        </is>
      </c>
      <c r="AG20" s="8" t="inlineStr">
        <is>
          <t>N3~Nhân công nhóm 3~công~1.31~1.31~0~427000~0~1~1~0~0~N3~Được tính toán, rồi Link từ sheet Nhân công sang~0</t>
        </is>
      </c>
      <c r="AH20" s="8" t="inlineStr">
        <is>
          <t>M112.1701~Máy khoan bê tông cầm tay 0,62 kW~ca~0.36~0.36~0~15158~0~1~1~0~0~M440~Được tính toán, rồi Link từ sheet Máy sang~0</t>
        </is>
      </c>
      <c r="AI20" s="8" t="inlineStr"/>
      <c r="AJ20" s="8" t="inlineStr"/>
      <c r="AK20" s="8" t="inlineStr"/>
      <c r="AL20" s="8" t="inlineStr"/>
      <c r="AM20" s="8" t="inlineStr"/>
      <c r="AN20" s="8" t="inlineStr">
        <is>
          <t>DinhMucBoXD</t>
        </is>
      </c>
    </row>
    <row r="21">
      <c r="A21" s="8" t="n">
        <v>9</v>
      </c>
      <c r="B21" s="8" t="inlineStr"/>
      <c r="C21" s="11" t="inlineStr">
        <is>
          <t>BA.12130</t>
        </is>
      </c>
      <c r="D21" s="8" t="inlineStr"/>
      <c r="E21" s="8" t="inlineStr">
        <is>
          <t>BA.12130</t>
        </is>
      </c>
      <c r="F21" s="8" t="inlineStr">
        <is>
          <t>Dàn lạnh cassette CSL: 12.5 kW</t>
        </is>
      </c>
      <c r="G21" s="12">
        <f>HYPERLINK("tt38://pl3/6", "👉 Phụ lục III - Trang 6 (Khớp nhóm BA.121)")</f>
        <v/>
      </c>
      <c r="H21" s="8" t="inlineStr">
        <is>
          <t>máy</t>
        </is>
      </c>
      <c r="I21" s="8" t="inlineStr"/>
      <c r="J21" s="8" t="inlineStr"/>
      <c r="K21" s="8" t="inlineStr"/>
      <c r="L21" s="8" t="inlineStr"/>
      <c r="M21" s="8" t="inlineStr"/>
      <c r="N21" s="8" t="inlineStr"/>
      <c r="O21" s="8" t="inlineStr"/>
      <c r="P21" s="8" t="inlineStr"/>
      <c r="Q21" s="8" t="n">
        <v>30</v>
      </c>
      <c r="R21" s="8" t="inlineStr"/>
      <c r="S21" s="8" t="inlineStr"/>
      <c r="T21" s="8" t="inlineStr"/>
      <c r="U21" s="8" t="inlineStr"/>
      <c r="V21" s="8" t="n">
        <v>0</v>
      </c>
      <c r="W21" s="8" t="n">
        <v>0</v>
      </c>
      <c r="X21" s="8" t="n">
        <v>0</v>
      </c>
      <c r="Y21" s="8" t="n">
        <v>0</v>
      </c>
      <c r="Z21" s="8" t="inlineStr"/>
      <c r="AA21" s="8" t="inlineStr"/>
      <c r="AB21" s="8" t="inlineStr"/>
      <c r="AC21" s="8" t="inlineStr"/>
      <c r="AD21" s="8" t="inlineStr">
        <is>
          <t>Định mức 38/2026/TT-BXD - Phần LD</t>
        </is>
      </c>
      <c r="AE21" s="8" t="inlineStr">
        <is>
          <t>GM38_2026</t>
        </is>
      </c>
      <c r="AF21" s="8" t="inlineStr">
        <is>
          <t>A33.0009~Giá đỡ máy cassettle~cái~1~1~0~500000~0~1~1~0~550000~GiaDoMay~Tạm tính~0žZ999~Vật liệu khác~%~5~5~0~5000~0~1~1~0~0~VatLieuKhac~~0</t>
        </is>
      </c>
      <c r="AG21" s="8" t="inlineStr">
        <is>
          <t>N3~Nhân công nhóm 3~công~1.31~1.31~0~427000~0~1~1~0~0~N3~Được tính toán, rồi Link từ sheet Nhân công sang~0</t>
        </is>
      </c>
      <c r="AH21" s="8" t="inlineStr">
        <is>
          <t>M112.1701~Máy khoan bê tông cầm tay 0,62 kW~ca~0.36~0.36~0~15158~0~1~1~0~0~M440~Được tính toán, rồi Link từ sheet Máy sang~0</t>
        </is>
      </c>
      <c r="AI21" s="8" t="inlineStr"/>
      <c r="AJ21" s="8" t="inlineStr"/>
      <c r="AK21" s="8" t="inlineStr"/>
      <c r="AL21" s="8" t="inlineStr"/>
      <c r="AM21" s="8" t="inlineStr"/>
      <c r="AN21" s="8" t="inlineStr">
        <is>
          <t>DinhMucBoXD</t>
        </is>
      </c>
    </row>
    <row r="22">
      <c r="A22" s="8" t="n">
        <v>10</v>
      </c>
      <c r="B22" s="8" t="inlineStr"/>
      <c r="C22" s="11" t="inlineStr">
        <is>
          <t>BA.12110</t>
        </is>
      </c>
      <c r="D22" s="8" t="inlineStr"/>
      <c r="E22" s="8" t="inlineStr">
        <is>
          <t>BA.12110</t>
        </is>
      </c>
      <c r="F22" s="8" t="inlineStr">
        <is>
          <t>Dàn lạnh treo tường CSL: 2.5 kW</t>
        </is>
      </c>
      <c r="G22" s="12">
        <f>HYPERLINK("tt38://pl3/6", "👉 Phụ lục III - Trang 6 (Khớp nhóm BA.121)")</f>
        <v/>
      </c>
      <c r="H22" s="8" t="inlineStr">
        <is>
          <t>máy</t>
        </is>
      </c>
      <c r="I22" s="8" t="inlineStr"/>
      <c r="J22" s="8" t="inlineStr"/>
      <c r="K22" s="8" t="inlineStr"/>
      <c r="L22" s="8" t="inlineStr"/>
      <c r="M22" s="8" t="inlineStr"/>
      <c r="N22" s="8" t="inlineStr"/>
      <c r="O22" s="8" t="inlineStr"/>
      <c r="P22" s="8" t="inlineStr"/>
      <c r="Q22" s="8" t="n">
        <v>1</v>
      </c>
      <c r="R22" s="8" t="inlineStr"/>
      <c r="S22" s="8" t="inlineStr"/>
      <c r="T22" s="8" t="inlineStr"/>
      <c r="U22" s="8" t="inlineStr"/>
      <c r="V22" s="8" t="n">
        <v>0</v>
      </c>
      <c r="W22" s="8" t="n">
        <v>0</v>
      </c>
      <c r="X22" s="8" t="n">
        <v>0</v>
      </c>
      <c r="Y22" s="8" t="n">
        <v>0</v>
      </c>
      <c r="Z22" s="8" t="inlineStr"/>
      <c r="AA22" s="8" t="inlineStr"/>
      <c r="AB22" s="8" t="inlineStr"/>
      <c r="AC22" s="8" t="inlineStr"/>
      <c r="AD22" s="8" t="inlineStr">
        <is>
          <t>Định mức 38/2026/TT-BXD - Phần LD</t>
        </is>
      </c>
      <c r="AE22" s="8" t="inlineStr">
        <is>
          <t>GM38_2026</t>
        </is>
      </c>
      <c r="AF22" s="8" t="inlineStr">
        <is>
          <t>A33.0009~Giá đỡ máy treo tường~cái~1~1~0~300000~0~1~1~0~330000~GiaDoMay~Tạm tính~0žZ999~Vật liệu khác~%~5~5~0~3000~0~1~1~0~0~VatLieuKhac~~0</t>
        </is>
      </c>
      <c r="AG22" s="8" t="inlineStr">
        <is>
          <t>N3~Nhân công nhóm 3~công~0.78~0.78~0~427000~0~1~1~0~0~N3~Được tính toán, rồi Link từ sheet Nhân công sang~0</t>
        </is>
      </c>
      <c r="AH22" s="8" t="inlineStr">
        <is>
          <t>M112.1701~Máy khoan bê tông cầm tay 0,62 kW~ca~0.3~0.3~0~15158~0~1~1~0~0~M440~Được tính toán, rồi Link từ sheet Máy sang~0</t>
        </is>
      </c>
      <c r="AI22" s="8" t="inlineStr"/>
      <c r="AJ22" s="8" t="inlineStr"/>
      <c r="AK22" s="8" t="inlineStr"/>
      <c r="AL22" s="8" t="inlineStr"/>
      <c r="AM22" s="8" t="inlineStr"/>
      <c r="AN22" s="8" t="inlineStr">
        <is>
          <t>DinhMucBoXD</t>
        </is>
      </c>
    </row>
    <row r="23">
      <c r="A23" s="8" t="n">
        <v>11</v>
      </c>
      <c r="B23" s="8" t="inlineStr"/>
      <c r="C23" s="11" t="inlineStr">
        <is>
          <t>BA.12110</t>
        </is>
      </c>
      <c r="D23" s="8" t="inlineStr"/>
      <c r="E23" s="8" t="inlineStr">
        <is>
          <t>BA.12110</t>
        </is>
      </c>
      <c r="F23" s="8" t="inlineStr">
        <is>
          <t>Dàn lạnh treo tường CSL: 5.0 kW</t>
        </is>
      </c>
      <c r="G23" s="12">
        <f>HYPERLINK("tt38://pl3/6", "👉 Phụ lục III - Trang 6 (Khớp nhóm BA.121)")</f>
        <v/>
      </c>
      <c r="H23" s="8" t="inlineStr">
        <is>
          <t>máy</t>
        </is>
      </c>
      <c r="I23" s="8" t="inlineStr"/>
      <c r="J23" s="8" t="inlineStr"/>
      <c r="K23" s="8" t="inlineStr"/>
      <c r="L23" s="8" t="inlineStr"/>
      <c r="M23" s="8" t="inlineStr"/>
      <c r="N23" s="8" t="inlineStr"/>
      <c r="O23" s="8" t="inlineStr"/>
      <c r="P23" s="8" t="inlineStr"/>
      <c r="Q23" s="8" t="n">
        <v>2</v>
      </c>
      <c r="R23" s="8" t="inlineStr"/>
      <c r="S23" s="8" t="inlineStr"/>
      <c r="T23" s="8" t="inlineStr"/>
      <c r="U23" s="8" t="inlineStr"/>
      <c r="V23" s="8" t="n">
        <v>0</v>
      </c>
      <c r="W23" s="8" t="n">
        <v>0</v>
      </c>
      <c r="X23" s="8" t="n">
        <v>0</v>
      </c>
      <c r="Y23" s="8" t="n">
        <v>0</v>
      </c>
      <c r="Z23" s="8" t="inlineStr"/>
      <c r="AA23" s="8" t="inlineStr"/>
      <c r="AB23" s="8" t="inlineStr"/>
      <c r="AC23" s="8" t="inlineStr"/>
      <c r="AD23" s="8" t="inlineStr">
        <is>
          <t>Định mức 38/2026/TT-BXD - Phần LD</t>
        </is>
      </c>
      <c r="AE23" s="8" t="inlineStr">
        <is>
          <t>GM38_2026</t>
        </is>
      </c>
      <c r="AF23" s="8" t="inlineStr">
        <is>
          <t>A33.0009~Giá đỡ máy treo tường~cái~1~1~0~300000~0~1~1~0~330000~GiaDoMay~Tạm tính~0žZ999~Vật liệu khác~%~5~5~0~3000~0~1~1~0~0~VatLieuKhac~~0</t>
        </is>
      </c>
      <c r="AG23" s="8" t="inlineStr">
        <is>
          <t>N3~Nhân công nhóm 3~công~0.78~0.78~0~427000~0~1~1~0~0~N3~Được tính toán, rồi Link từ sheet Nhân công sang~0</t>
        </is>
      </c>
      <c r="AH23" s="8" t="inlineStr">
        <is>
          <t>M112.1701~Máy khoan bê tông cầm tay 0,62 kW~ca~0.3~0.3~0~15158~0~1~1~0~0~M440~Được tính toán, rồi Link từ sheet Máy sang~0</t>
        </is>
      </c>
      <c r="AI23" s="8" t="inlineStr"/>
      <c r="AJ23" s="8" t="inlineStr"/>
      <c r="AK23" s="8" t="inlineStr"/>
      <c r="AL23" s="8" t="inlineStr"/>
      <c r="AM23" s="8" t="inlineStr"/>
      <c r="AN23" s="8" t="inlineStr">
        <is>
          <t>DinhMucBoXD</t>
        </is>
      </c>
    </row>
    <row r="24">
      <c r="A24" s="8" t="n">
        <v>12</v>
      </c>
      <c r="B24" s="8" t="inlineStr"/>
      <c r="C24" s="11" t="inlineStr">
        <is>
          <t>BA.12110</t>
        </is>
      </c>
      <c r="D24" s="8" t="inlineStr"/>
      <c r="E24" s="8" t="inlineStr">
        <is>
          <t>BA.12110</t>
        </is>
      </c>
      <c r="F24" s="8" t="inlineStr">
        <is>
          <t>Dàn lạnh treo tường CSL: 7.1 kW</t>
        </is>
      </c>
      <c r="G24" s="12">
        <f>HYPERLINK("tt38://pl3/6", "👉 Phụ lục III - Trang 6 (Khớp nhóm BA.121)")</f>
        <v/>
      </c>
      <c r="H24" s="8" t="inlineStr">
        <is>
          <t>máy</t>
        </is>
      </c>
      <c r="I24" s="8" t="inlineStr"/>
      <c r="J24" s="8" t="inlineStr"/>
      <c r="K24" s="8" t="inlineStr"/>
      <c r="L24" s="8" t="inlineStr"/>
      <c r="M24" s="8" t="inlineStr"/>
      <c r="N24" s="8" t="inlineStr"/>
      <c r="O24" s="8" t="inlineStr"/>
      <c r="P24" s="8" t="inlineStr"/>
      <c r="Q24" s="8" t="n">
        <v>2</v>
      </c>
      <c r="R24" s="8" t="inlineStr"/>
      <c r="S24" s="8" t="inlineStr"/>
      <c r="T24" s="8" t="inlineStr"/>
      <c r="U24" s="8" t="inlineStr"/>
      <c r="V24" s="8" t="n">
        <v>0</v>
      </c>
      <c r="W24" s="8" t="n">
        <v>0</v>
      </c>
      <c r="X24" s="8" t="n">
        <v>0</v>
      </c>
      <c r="Y24" s="8" t="n">
        <v>0</v>
      </c>
      <c r="Z24" s="8" t="inlineStr"/>
      <c r="AA24" s="8" t="inlineStr"/>
      <c r="AB24" s="8" t="inlineStr"/>
      <c r="AC24" s="8" t="inlineStr"/>
      <c r="AD24" s="8" t="inlineStr">
        <is>
          <t>Định mức 38/2026/TT-BXD - Phần LD</t>
        </is>
      </c>
      <c r="AE24" s="8" t="inlineStr">
        <is>
          <t>GM38_2026</t>
        </is>
      </c>
      <c r="AF24" s="8" t="inlineStr">
        <is>
          <t>A33.0009~Giá đỡ máy treo tường~cái~1~1~0~300000~0~1~1~0~330000~GiaDoMay~Tạm tính~0žZ999~Vật liệu khác~%~5~5~0~3000~0~1~1~0~0~VatLieuKhac~~0</t>
        </is>
      </c>
      <c r="AG24" s="8" t="inlineStr">
        <is>
          <t>N3~Nhân công nhóm 3~công~0.78~0.78~0~427000~0~1~1~0~0~N3~Được tính toán, rồi Link từ sheet Nhân công sang~0</t>
        </is>
      </c>
      <c r="AH24" s="8" t="inlineStr">
        <is>
          <t>M112.1701~Máy khoan bê tông cầm tay 0,62 kW~ca~0.3~0.3~0~15158~0~1~1~0~0~M440~Được tính toán, rồi Link từ sheet Máy sang~0</t>
        </is>
      </c>
      <c r="AI24" s="8" t="inlineStr"/>
      <c r="AJ24" s="8" t="inlineStr"/>
      <c r="AK24" s="8" t="inlineStr"/>
      <c r="AL24" s="8" t="inlineStr"/>
      <c r="AM24" s="8" t="inlineStr"/>
      <c r="AN24" s="8" t="inlineStr">
        <is>
          <t>DinhMucBoXD</t>
        </is>
      </c>
    </row>
    <row r="25">
      <c r="A25" s="8" t="inlineStr"/>
      <c r="B25" s="8" t="inlineStr"/>
      <c r="C25" s="8" t="inlineStr"/>
      <c r="D25" s="8" t="inlineStr"/>
      <c r="E25" s="8" t="inlineStr">
        <is>
          <t>THM</t>
        </is>
      </c>
      <c r="F25" s="8" t="inlineStr">
        <is>
          <t>Tổng cộng: HẠNG MỤC: ĐIỀU HÒA KHÔNG KHÍ &amp; THÔNG GIÓ - LẮP ĐẶT THIẾT BỊ</t>
        </is>
      </c>
      <c r="H25" s="8" t="inlineStr"/>
      <c r="I25" s="8" t="inlineStr"/>
      <c r="J25" s="8" t="inlineStr"/>
      <c r="K25" s="8" t="inlineStr"/>
      <c r="L25" s="8" t="inlineStr"/>
      <c r="M25" s="8" t="inlineStr"/>
      <c r="N25" s="8" t="inlineStr"/>
      <c r="O25" s="8" t="inlineStr"/>
      <c r="P25" s="8" t="inlineStr"/>
      <c r="Q25" s="8" t="inlineStr"/>
      <c r="R25" s="8" t="inlineStr"/>
      <c r="S25" s="8" t="inlineStr"/>
      <c r="T25" s="8" t="inlineStr"/>
      <c r="U25" s="8" t="inlineStr"/>
      <c r="V25" s="8" t="n">
        <v>0</v>
      </c>
      <c r="W25" s="8" t="n">
        <v>0</v>
      </c>
      <c r="X25" s="8" t="n">
        <v>0</v>
      </c>
      <c r="Y25" s="8" t="n">
        <v>0</v>
      </c>
      <c r="Z25" s="8" t="inlineStr"/>
      <c r="AA25" s="8" t="inlineStr"/>
      <c r="AB25" s="8" t="inlineStr"/>
      <c r="AC25" s="8" t="inlineStr"/>
      <c r="AD25" s="8" t="inlineStr"/>
      <c r="AE25" s="8" t="inlineStr"/>
      <c r="AF25" s="8" t="inlineStr"/>
      <c r="AG25" s="8" t="inlineStr"/>
      <c r="AH25" s="8" t="inlineStr"/>
      <c r="AI25" s="8" t="inlineStr"/>
      <c r="AJ25" s="8" t="inlineStr"/>
      <c r="AK25" s="8" t="inlineStr"/>
      <c r="AL25" s="8" t="inlineStr"/>
      <c r="AM25" s="8" t="inlineStr"/>
      <c r="AN25" s="8" t="inlineStr"/>
    </row>
    <row r="26">
      <c r="A26" s="8" t="inlineStr"/>
      <c r="B26" s="8" t="inlineStr"/>
      <c r="C26" s="8" t="inlineStr"/>
      <c r="D26" s="8" t="inlineStr"/>
      <c r="E26" s="8" t="inlineStr">
        <is>
          <t>HM</t>
        </is>
      </c>
      <c r="F26" s="8" t="inlineStr">
        <is>
          <t>HẠNG MỤC: ĐIỀU HÒA KHÔNG KHÍ &amp; THÔNG GIÓ - VẬT TƯ XÂY LẮP</t>
        </is>
      </c>
      <c r="H26" s="8" t="inlineStr"/>
      <c r="I26" s="8" t="inlineStr"/>
      <c r="J26" s="8" t="inlineStr"/>
      <c r="K26" s="8" t="inlineStr"/>
      <c r="L26" s="8" t="inlineStr"/>
      <c r="M26" s="8" t="inlineStr"/>
      <c r="N26" s="8" t="inlineStr"/>
      <c r="O26" s="8" t="inlineStr"/>
      <c r="P26" s="8" t="inlineStr"/>
      <c r="Q26" s="8" t="inlineStr"/>
      <c r="R26" s="8" t="inlineStr"/>
      <c r="S26" s="8" t="inlineStr"/>
      <c r="T26" s="8" t="inlineStr"/>
      <c r="U26" s="8" t="inlineStr"/>
      <c r="V26" s="8" t="inlineStr"/>
      <c r="W26" s="8" t="inlineStr"/>
      <c r="X26" s="8" t="inlineStr"/>
      <c r="Y26" s="8" t="inlineStr"/>
      <c r="Z26" s="8" t="inlineStr"/>
      <c r="AA26" s="8" t="inlineStr"/>
      <c r="AB26" s="8" t="inlineStr"/>
      <c r="AC26" s="8" t="inlineStr"/>
      <c r="AD26" s="8" t="inlineStr"/>
      <c r="AE26" s="8" t="inlineStr"/>
      <c r="AF26" s="8" t="inlineStr"/>
      <c r="AG26" s="8" t="inlineStr"/>
      <c r="AH26" s="8" t="inlineStr"/>
      <c r="AI26" s="8" t="inlineStr"/>
      <c r="AJ26" s="8" t="inlineStr"/>
      <c r="AK26" s="8" t="inlineStr"/>
      <c r="AL26" s="8" t="inlineStr"/>
      <c r="AM26" s="8" t="inlineStr"/>
      <c r="AN26" s="8" t="inlineStr"/>
    </row>
    <row r="27">
      <c r="A27" s="8" t="inlineStr"/>
      <c r="B27" s="8" t="inlineStr"/>
      <c r="C27" s="8" t="inlineStr"/>
      <c r="D27" s="8" t="inlineStr"/>
      <c r="E27" s="8" t="inlineStr">
        <is>
          <t>*</t>
        </is>
      </c>
      <c r="F27" s="8" t="inlineStr">
        <is>
          <t>Ống đồng</t>
        </is>
      </c>
      <c r="H27" s="8" t="inlineStr"/>
      <c r="I27" s="8" t="inlineStr"/>
      <c r="J27" s="8" t="inlineStr"/>
      <c r="K27" s="8" t="inlineStr"/>
      <c r="L27" s="8" t="inlineStr"/>
      <c r="M27" s="8" t="inlineStr"/>
      <c r="N27" s="8" t="inlineStr"/>
      <c r="O27" s="8" t="inlineStr"/>
      <c r="P27" s="8" t="inlineStr"/>
      <c r="Q27" s="8" t="inlineStr"/>
      <c r="R27" s="8" t="inlineStr"/>
      <c r="S27" s="8" t="inlineStr"/>
      <c r="T27" s="8" t="inlineStr"/>
      <c r="U27" s="8" t="inlineStr"/>
      <c r="V27" s="8" t="inlineStr"/>
      <c r="W27" s="8" t="inlineStr"/>
      <c r="X27" s="8" t="inlineStr"/>
      <c r="Y27" s="8" t="inlineStr"/>
      <c r="Z27" s="8" t="inlineStr"/>
      <c r="AA27" s="8" t="inlineStr"/>
      <c r="AB27" s="8" t="inlineStr"/>
      <c r="AC27" s="8" t="inlineStr"/>
      <c r="AD27" s="8" t="inlineStr"/>
      <c r="AE27" s="8" t="inlineStr"/>
      <c r="AF27" s="8" t="inlineStr"/>
      <c r="AG27" s="8" t="inlineStr"/>
      <c r="AH27" s="8" t="inlineStr"/>
      <c r="AI27" s="8" t="inlineStr"/>
      <c r="AJ27" s="8" t="inlineStr"/>
      <c r="AK27" s="8" t="inlineStr"/>
      <c r="AL27" s="8" t="inlineStr"/>
      <c r="AM27" s="8" t="inlineStr"/>
      <c r="AN27" s="8" t="inlineStr"/>
    </row>
    <row r="28">
      <c r="A28" s="8" t="n">
        <v>1</v>
      </c>
      <c r="B28" s="8" t="inlineStr"/>
      <c r="C28" s="11" t="inlineStr">
        <is>
          <t>BB.51001</t>
        </is>
      </c>
      <c r="D28" s="8" t="inlineStr"/>
      <c r="E28" s="8" t="inlineStr">
        <is>
          <t>BB.51001</t>
        </is>
      </c>
      <c r="F28" s="8" t="inlineStr">
        <is>
          <t>Ống đồng_D6.4_0.81mm</t>
        </is>
      </c>
      <c r="G28" s="12">
        <f>HYPERLINK("tt38://pl3/100", "👉 Phụ lục III - Trang 100 (Khớp nhóm BB.5100)")</f>
        <v/>
      </c>
      <c r="H28" s="8" t="inlineStr">
        <is>
          <t>100m</t>
        </is>
      </c>
      <c r="I28" s="8" t="inlineStr"/>
      <c r="J28" s="8" t="inlineStr"/>
      <c r="K28" s="8" t="inlineStr"/>
      <c r="L28" s="8" t="inlineStr"/>
      <c r="M28" s="8" t="inlineStr"/>
      <c r="N28" s="8" t="inlineStr"/>
      <c r="O28" s="8" t="inlineStr"/>
      <c r="P28" s="8" t="inlineStr"/>
      <c r="Q28" s="8" t="n">
        <v>0.8</v>
      </c>
      <c r="R28" s="8" t="inlineStr"/>
      <c r="S28" s="8" t="inlineStr"/>
      <c r="T28" s="8" t="inlineStr"/>
      <c r="U28" s="8" t="inlineStr"/>
      <c r="V28" s="8" t="n">
        <v>0</v>
      </c>
      <c r="W28" s="8" t="n">
        <v>0</v>
      </c>
      <c r="X28" s="8" t="n">
        <v>0</v>
      </c>
      <c r="Y28" s="8" t="n">
        <v>0</v>
      </c>
      <c r="Z28" s="8" t="inlineStr"/>
      <c r="AA28" s="8" t="inlineStr"/>
      <c r="AB28" s="8" t="inlineStr"/>
      <c r="AC28" s="8" t="inlineStr"/>
      <c r="AD28" s="8" t="inlineStr">
        <is>
          <t>Định mức 38/2026/TT-BXD - Phần LD</t>
        </is>
      </c>
      <c r="AE28" s="8" t="inlineStr">
        <is>
          <t>GM38_2026</t>
        </is>
      </c>
      <c r="AF28" s="8" t="inlineStr">
        <is>
          <t>A33.0458~Ống đồng_D6.4_0.81mm~m~100.5~100.5~0~50400~0~1~1~0~55440~OngDongD=6,4~Báo giá BKRE~0žA33.0113~Que hàn đồng~kg~0.065~0.065~0~250000~0~1~1~0~275000~QueHanDong~Giá gốc~0žA33.0001~Ô xy~chai~0.003~0.003~0~30000~0~1~1~0~33000~Oxy~Giá gốc~0žA24.0931~Khí gas~kg~0.006~0.006~0~37803~0~1~1~0~41583.3~KhiGa~Giá gốc~0žA33.0469~Thuốc hàn~kg~0.004~0.004~0~27000~0~1~1~0~29700~ThuocHan~Giá gốc~0žZ999~Vật liệu khác~%~0.01~0.01~0~50818.74818~0~1~1~0~0~VatLieuKhac~~0</t>
        </is>
      </c>
      <c r="AG28" s="8" t="inlineStr">
        <is>
          <t>N3~Nhân công nhóm 3~công~13.5~13.5~0~427000~0~1~1~0~0~N3~Được tính toán, rồi Link từ sheet Nhân công sang~0</t>
        </is>
      </c>
      <c r="AH28" s="8" t="inlineStr"/>
      <c r="AI28" s="8" t="inlineStr"/>
      <c r="AJ28" s="8" t="inlineStr"/>
      <c r="AK28" s="8" t="inlineStr"/>
      <c r="AL28" s="8" t="inlineStr"/>
      <c r="AM28" s="8" t="inlineStr"/>
      <c r="AN28" s="8" t="inlineStr">
        <is>
          <t>DinhMucBoXD</t>
        </is>
      </c>
    </row>
    <row r="29">
      <c r="A29" s="8" t="n">
        <v>2</v>
      </c>
      <c r="B29" s="8" t="inlineStr"/>
      <c r="C29" s="11" t="inlineStr">
        <is>
          <t>BB.51002</t>
        </is>
      </c>
      <c r="D29" s="8" t="inlineStr"/>
      <c r="E29" s="8" t="inlineStr">
        <is>
          <t>BB.51002</t>
        </is>
      </c>
      <c r="F29" s="8" t="inlineStr">
        <is>
          <t>Ống đồng_D9.5_0.81mm</t>
        </is>
      </c>
      <c r="G29" s="12">
        <f>HYPERLINK("tt38://pl3/100", "👉 Phụ lục III - Trang 100 (Khớp nhóm BB.5100)")</f>
        <v/>
      </c>
      <c r="H29" s="8" t="inlineStr">
        <is>
          <t>100m</t>
        </is>
      </c>
      <c r="I29" s="8" t="inlineStr"/>
      <c r="J29" s="8" t="inlineStr"/>
      <c r="K29" s="8" t="inlineStr"/>
      <c r="L29" s="8" t="inlineStr"/>
      <c r="M29" s="8" t="inlineStr"/>
      <c r="N29" s="8" t="inlineStr"/>
      <c r="O29" s="8" t="inlineStr"/>
      <c r="P29" s="8" t="inlineStr"/>
      <c r="Q29" s="8" t="n">
        <v>23.4</v>
      </c>
      <c r="R29" s="8" t="inlineStr"/>
      <c r="S29" s="8" t="inlineStr"/>
      <c r="T29" s="8" t="inlineStr"/>
      <c r="U29" s="8" t="inlineStr"/>
      <c r="V29" s="8" t="n">
        <v>0</v>
      </c>
      <c r="W29" s="8" t="n">
        <v>0</v>
      </c>
      <c r="X29" s="8" t="n">
        <v>0</v>
      </c>
      <c r="Y29" s="8" t="n">
        <v>0</v>
      </c>
      <c r="Z29" s="8" t="inlineStr"/>
      <c r="AA29" s="8" t="inlineStr"/>
      <c r="AB29" s="8" t="inlineStr"/>
      <c r="AC29" s="8" t="inlineStr"/>
      <c r="AD29" s="8" t="inlineStr">
        <is>
          <t>Định mức 38/2026/TT-BXD - Phần LD</t>
        </is>
      </c>
      <c r="AE29" s="8" t="inlineStr">
        <is>
          <t>GM38_2026</t>
        </is>
      </c>
      <c r="AF29" s="8" t="inlineStr">
        <is>
          <t>A33.0459~Ống đồng_D9.5_0.81mm~m~100.5~100.5~0~79200~0~1~1~0~87120~OngDongD=9,5~Báo giá BKRE~0žA33.0113~Que hàn đồng~kg~0.087~0.087~0~250000~0~1~1~0~275000~QueHanDong~Giá gốc~0žA33.0001~Ô xy~chai~0.004~0.004~0~30000~0~1~1~0~33000~Oxy~Giá gốc~0žA24.0931~Khí gas~kg~0.008~0.008~0~37803~0~1~1~0~41583.3~KhiGa~Giá gốc~0žA33.0469~Thuốc hàn~kg~0.006~0.006~0~27000~0~1~1~0~29700~ThuocHan~Giá gốc~0žZ999~Vật liệu khác~%~0.01~0.01~0~79819.34424~0~1~1~0~0~VatLieuKhac~~0</t>
        </is>
      </c>
      <c r="AG29" s="8" t="inlineStr">
        <is>
          <t>N3~Nhân công nhóm 3~công~15.9~15.9~0~427000~0~1~1~0~0~N3~Được tính toán, rồi Link từ sheet Nhân công sang~0</t>
        </is>
      </c>
      <c r="AH29" s="8" t="inlineStr"/>
      <c r="AI29" s="8" t="inlineStr"/>
      <c r="AJ29" s="8" t="inlineStr"/>
      <c r="AK29" s="8" t="inlineStr"/>
      <c r="AL29" s="8" t="inlineStr"/>
      <c r="AM29" s="8" t="inlineStr"/>
      <c r="AN29" s="8" t="inlineStr">
        <is>
          <t>DinhMucBoXD</t>
        </is>
      </c>
    </row>
    <row r="30">
      <c r="A30" s="8" t="n">
        <v>3</v>
      </c>
      <c r="B30" s="8" t="inlineStr"/>
      <c r="C30" s="11" t="inlineStr">
        <is>
          <t>BB.51003</t>
        </is>
      </c>
      <c r="D30" s="8" t="inlineStr"/>
      <c r="E30" s="8" t="inlineStr">
        <is>
          <t>BB.51003</t>
        </is>
      </c>
      <c r="F30" s="8" t="inlineStr">
        <is>
          <t>Ống đồng_D12.7_0.81mm</t>
        </is>
      </c>
      <c r="G30" s="12">
        <f>HYPERLINK("tt38://pl3/100", "👉 Phụ lục III - Trang 100 (Khớp nhóm BB.5100)")</f>
        <v/>
      </c>
      <c r="H30" s="8" t="inlineStr">
        <is>
          <t>100m</t>
        </is>
      </c>
      <c r="I30" s="8" t="inlineStr"/>
      <c r="J30" s="8" t="inlineStr"/>
      <c r="K30" s="8" t="inlineStr"/>
      <c r="L30" s="8" t="inlineStr"/>
      <c r="M30" s="8" t="inlineStr"/>
      <c r="N30" s="8" t="inlineStr"/>
      <c r="O30" s="8" t="inlineStr"/>
      <c r="P30" s="8" t="inlineStr"/>
      <c r="Q30" s="8" t="n">
        <v>0.5</v>
      </c>
      <c r="R30" s="8" t="inlineStr"/>
      <c r="S30" s="8" t="inlineStr"/>
      <c r="T30" s="8" t="inlineStr"/>
      <c r="U30" s="8" t="inlineStr"/>
      <c r="V30" s="8" t="n">
        <v>0</v>
      </c>
      <c r="W30" s="8" t="n">
        <v>0</v>
      </c>
      <c r="X30" s="8" t="n">
        <v>0</v>
      </c>
      <c r="Y30" s="8" t="n">
        <v>0</v>
      </c>
      <c r="Z30" s="8" t="inlineStr"/>
      <c r="AA30" s="8" t="inlineStr"/>
      <c r="AB30" s="8" t="inlineStr"/>
      <c r="AC30" s="8" t="inlineStr"/>
      <c r="AD30" s="8" t="inlineStr">
        <is>
          <t>Định mức 38/2026/TT-BXD - Phần LD</t>
        </is>
      </c>
      <c r="AE30" s="8" t="inlineStr">
        <is>
          <t>GM38_2026</t>
        </is>
      </c>
      <c r="AF30" s="8" t="inlineStr">
        <is>
          <t>A33.0460~Ống đồng_D12.7_0.81mm~m~100.5~100.5~0~108000~0~1~1~0~118800~OngDongD=12,7~Báo giá BKRE~0žA33.0113~Que hàn đồng~kg~0.109~0.109~0~250000~0~1~1~0~275000~QueHanDong~Giá gốc~0žA33.0001~Ô xy~chai~0.005~0.005~0~30000~0~1~1~0~33000~Oxy~Giá gốc~0žA24.0931~Khí gas~kg~0.01~0.01~0~37803~0~1~1~0~41583.3~KhiGa~Giá gốc~0žA33.0469~Thuốc hàn~kg~0.007~0.007~0~27000~0~1~1~0~29700~ThuocHan~Giá gốc~0žZ999~Vật liệu khác~%~0.01~0.01~0~108819.6703~0~1~1~0~0~VatLieuKhac~~0</t>
        </is>
      </c>
      <c r="AG30" s="8" t="inlineStr">
        <is>
          <t>N3~Nhân công nhóm 3~công~16.74~16.74~0~427000~0~1~1~0~0~N3~Được tính toán, rồi Link từ sheet Nhân công sang~0</t>
        </is>
      </c>
      <c r="AH30" s="8" t="inlineStr"/>
      <c r="AI30" s="8" t="inlineStr"/>
      <c r="AJ30" s="8" t="inlineStr"/>
      <c r="AK30" s="8" t="inlineStr"/>
      <c r="AL30" s="8" t="inlineStr"/>
      <c r="AM30" s="8" t="inlineStr"/>
      <c r="AN30" s="8" t="inlineStr">
        <is>
          <t>DinhMucBoXD</t>
        </is>
      </c>
    </row>
    <row r="31">
      <c r="A31" s="8" t="n">
        <v>4</v>
      </c>
      <c r="B31" s="8" t="inlineStr"/>
      <c r="C31" s="11" t="inlineStr">
        <is>
          <t>BB.51004</t>
        </is>
      </c>
      <c r="D31" s="8" t="inlineStr"/>
      <c r="E31" s="8" t="inlineStr">
        <is>
          <t>BB.51004</t>
        </is>
      </c>
      <c r="F31" s="8" t="inlineStr">
        <is>
          <t>Ống đồng_D15.9_0.99mm</t>
        </is>
      </c>
      <c r="G31" s="12">
        <f>HYPERLINK("tt38://pl3/100", "👉 Phụ lục III - Trang 100 (Khớp nhóm BB.5100)")</f>
        <v/>
      </c>
      <c r="H31" s="8" t="inlineStr">
        <is>
          <t>100m</t>
        </is>
      </c>
      <c r="I31" s="8" t="inlineStr"/>
      <c r="J31" s="8" t="inlineStr"/>
      <c r="K31" s="8" t="inlineStr"/>
      <c r="L31" s="8" t="inlineStr"/>
      <c r="M31" s="8" t="inlineStr"/>
      <c r="N31" s="8" t="inlineStr"/>
      <c r="O31" s="8" t="inlineStr"/>
      <c r="P31" s="8" t="inlineStr"/>
      <c r="Q31" s="8" t="n">
        <v>23.3</v>
      </c>
      <c r="R31" s="8" t="inlineStr"/>
      <c r="S31" s="8" t="inlineStr"/>
      <c r="T31" s="8" t="inlineStr"/>
      <c r="U31" s="8" t="inlineStr"/>
      <c r="V31" s="8" t="n">
        <v>0</v>
      </c>
      <c r="W31" s="8" t="n">
        <v>0</v>
      </c>
      <c r="X31" s="8" t="n">
        <v>0</v>
      </c>
      <c r="Y31" s="8" t="n">
        <v>0</v>
      </c>
      <c r="Z31" s="8" t="inlineStr"/>
      <c r="AA31" s="8" t="inlineStr"/>
      <c r="AB31" s="8" t="inlineStr"/>
      <c r="AC31" s="8" t="inlineStr"/>
      <c r="AD31" s="8" t="inlineStr">
        <is>
          <t>Định mức 38/2026/TT-BXD - Phần LD</t>
        </is>
      </c>
      <c r="AE31" s="8" t="inlineStr">
        <is>
          <t>GM38_2026</t>
        </is>
      </c>
      <c r="AF31" s="8" t="inlineStr">
        <is>
          <t>A33.0461~Ống đồng_D15.9_0.99mm~m~100.5~100.5~0~166900~0~1~1~0~183590~OngDongD=15,9~Báo giá BKRE~0žA33.0113~Que hàn đồng~kg~0.125~0.125~0~250000~0~1~1~0~275000~QueHanDong~Giá gốc~0žA33.0001~Ô xy~chai~0.006~0.006~0~30000~0~1~1~0~33000~Oxy~Giá gốc~0žA24.0931~Khí gas~kg~0.012~0.012~0~37803~0~1~1~0~41583.3~KhiGa~Giá gốc~0žA33.0469~Thuốc hàn~kg~0.008~0.008~0~27000~0~1~1~0~29700~ThuocHan~Giá gốc~0žZ999~Vật liệu khác~%~0.01~0.01~0~168055.49636~0~1~1~0~0~VatLieuKhac~~0</t>
        </is>
      </c>
      <c r="AG31" s="8" t="inlineStr">
        <is>
          <t>N3~Nhân công nhóm 3~công~18.39~18.39~0~427000~0~1~1~0~0~N3~Được tính toán, rồi Link từ sheet Nhân công sang~0</t>
        </is>
      </c>
      <c r="AH31" s="8" t="inlineStr"/>
      <c r="AI31" s="8" t="inlineStr"/>
      <c r="AJ31" s="8" t="inlineStr"/>
      <c r="AK31" s="8" t="inlineStr"/>
      <c r="AL31" s="8" t="inlineStr"/>
      <c r="AM31" s="8" t="inlineStr"/>
      <c r="AN31" s="8" t="inlineStr">
        <is>
          <t>DinhMucBoXD</t>
        </is>
      </c>
    </row>
    <row r="32">
      <c r="A32" s="8" t="n">
        <v>5</v>
      </c>
      <c r="B32" s="8" t="inlineStr"/>
      <c r="C32" s="11" t="inlineStr">
        <is>
          <t>BB.51005</t>
        </is>
      </c>
      <c r="D32" s="8" t="inlineStr"/>
      <c r="E32" s="8" t="inlineStr">
        <is>
          <t>BB.51005</t>
        </is>
      </c>
      <c r="F32" s="8" t="inlineStr">
        <is>
          <t>Ống đồng_D19.1_0.99mm</t>
        </is>
      </c>
      <c r="G32" s="12">
        <f>HYPERLINK("tt38://pl3/100", "👉 Phụ lục III - Trang 100 (Khớp nhóm BB.5100)")</f>
        <v/>
      </c>
      <c r="H32" s="8" t="inlineStr">
        <is>
          <t>100m</t>
        </is>
      </c>
      <c r="I32" s="8" t="inlineStr"/>
      <c r="J32" s="8" t="inlineStr"/>
      <c r="K32" s="8" t="inlineStr"/>
      <c r="L32" s="8" t="inlineStr"/>
      <c r="M32" s="8" t="inlineStr"/>
      <c r="N32" s="8" t="inlineStr"/>
      <c r="O32" s="8" t="inlineStr"/>
      <c r="P32" s="8" t="inlineStr"/>
      <c r="Q32" s="8" t="n">
        <v>4</v>
      </c>
      <c r="R32" s="8" t="inlineStr"/>
      <c r="S32" s="8" t="inlineStr"/>
      <c r="T32" s="8" t="inlineStr"/>
      <c r="U32" s="8" t="inlineStr"/>
      <c r="V32" s="8" t="n">
        <v>0</v>
      </c>
      <c r="W32" s="8" t="n">
        <v>0</v>
      </c>
      <c r="X32" s="8" t="n">
        <v>0</v>
      </c>
      <c r="Y32" s="8" t="n">
        <v>0</v>
      </c>
      <c r="Z32" s="8" t="inlineStr"/>
      <c r="AA32" s="8" t="inlineStr"/>
      <c r="AB32" s="8" t="inlineStr"/>
      <c r="AC32" s="8" t="inlineStr"/>
      <c r="AD32" s="8" t="inlineStr">
        <is>
          <t>Định mức 38/2026/TT-BXD - Phần LD</t>
        </is>
      </c>
      <c r="AE32" s="8" t="inlineStr">
        <is>
          <t>GM38_2026</t>
        </is>
      </c>
      <c r="AF32" s="8" t="inlineStr">
        <is>
          <t>A33.0462~Ống đồng_D19.1_0.99mm~m~100.5~100.5~0~202300~0~1~1~0~222530~OngDongD=19,1~Báo giá BKRE~0žA33.0113~Que hàn đồng~kg~0.132~0.132~0~250000~0~1~1~0~275000~QueHanDong~Giá gốc~0žA33.0001~Ô xy~chai~0.006~0.006~0~30000~0~1~1~0~33000~Oxy~Giá gốc~0žA24.0931~Khí gas~kg~0.012~0.012~0~37803~0~1~1~0~41583.3~KhiGa~Giá gốc~0žA33.0469~Thuốc hàn~kg~0.09~0.09~0~27000~0~1~1~0~29700~ThuocHan~Giá gốc~0žZ999~Vật liệu khác~%~0.01~0.01~0~203672.13636~0~1~1~0~0~VatLieuKhac~~0</t>
        </is>
      </c>
      <c r="AG32" s="8" t="inlineStr">
        <is>
          <t>N3~Nhân công nhóm 3~công~22.19~22.19~0~427000~0~1~1~0~0~N3~Được tính toán, rồi Link từ sheet Nhân công sang~0</t>
        </is>
      </c>
      <c r="AH32" s="8" t="inlineStr"/>
      <c r="AI32" s="8" t="inlineStr"/>
      <c r="AJ32" s="8" t="inlineStr"/>
      <c r="AK32" s="8" t="inlineStr"/>
      <c r="AL32" s="8" t="inlineStr"/>
      <c r="AM32" s="8" t="inlineStr"/>
      <c r="AN32" s="8" t="inlineStr">
        <is>
          <t>DinhMucBoXD</t>
        </is>
      </c>
    </row>
    <row r="33">
      <c r="A33" s="8" t="n">
        <v>6</v>
      </c>
      <c r="B33" s="8" t="inlineStr"/>
      <c r="C33" s="11" t="inlineStr">
        <is>
          <t>BB.51006</t>
        </is>
      </c>
      <c r="D33" s="8" t="inlineStr"/>
      <c r="E33" s="8" t="inlineStr">
        <is>
          <t>BB.51006</t>
        </is>
      </c>
      <c r="F33" s="8" t="inlineStr">
        <is>
          <t>Ống đồng_D22.2_1.14mm</t>
        </is>
      </c>
      <c r="G33" s="12">
        <f>HYPERLINK("tt38://pl3/100", "👉 Phụ lục III - Trang 100 (Khớp nhóm BB.5100)")</f>
        <v/>
      </c>
      <c r="H33" s="8" t="inlineStr">
        <is>
          <t>100m</t>
        </is>
      </c>
      <c r="I33" s="8" t="inlineStr"/>
      <c r="J33" s="8" t="inlineStr"/>
      <c r="K33" s="8" t="inlineStr"/>
      <c r="L33" s="8" t="inlineStr"/>
      <c r="M33" s="8" t="inlineStr"/>
      <c r="N33" s="8" t="inlineStr"/>
      <c r="O33" s="8" t="inlineStr"/>
      <c r="P33" s="8" t="inlineStr"/>
      <c r="Q33" s="8" t="n">
        <v>0.8</v>
      </c>
      <c r="R33" s="8" t="inlineStr"/>
      <c r="S33" s="8" t="inlineStr"/>
      <c r="T33" s="8" t="inlineStr"/>
      <c r="U33" s="8" t="inlineStr"/>
      <c r="V33" s="8" t="n">
        <v>0</v>
      </c>
      <c r="W33" s="8" t="n">
        <v>0</v>
      </c>
      <c r="X33" s="8" t="n">
        <v>0</v>
      </c>
      <c r="Y33" s="8" t="n">
        <v>0</v>
      </c>
      <c r="Z33" s="8" t="inlineStr"/>
      <c r="AA33" s="8" t="inlineStr"/>
      <c r="AB33" s="8" t="inlineStr"/>
      <c r="AC33" s="8" t="inlineStr"/>
      <c r="AD33" s="8" t="inlineStr">
        <is>
          <t>Định mức 38/2026/TT-BXD - Phần LD</t>
        </is>
      </c>
      <c r="AE33" s="8" t="inlineStr">
        <is>
          <t>GM38_2026</t>
        </is>
      </c>
      <c r="AF33" s="8" t="inlineStr">
        <is>
          <t>A33.0463~Ống đồng_D22.2_1.14mm~m~100.5~100.5~0~272200~0~1~1~0~299420~OngDongD=22,2~Báo giá BKRE~0žA33.0113~Que hàn đồng~kg~0.159~0.159~0~250000~0~1~1~0~275000~QueHanDong~Giá gốc~0žA33.0001~Ô xy~chai~0.007~0.007~0~30000~0~1~1~0~33000~Oxy~Giá gốc~0žA24.0931~Khí gas~kg~0.014~0.014~0~37803~0~1~1~0~41583.3~KhiGa~Giá gốc~0žA33.0469~Thuốc hàn~kg~0.011~0.011~0~27000~0~1~1~0~29700~ThuocHan~Giá gốc~0žZ999~Vật liệu khác~%~0.01~0.01~0~273968.86242~0~1~1~0~0~VatLieuKhac~~0</t>
        </is>
      </c>
      <c r="AG33" s="8" t="inlineStr">
        <is>
          <t>N3~Nhân công nhóm 3~công~23.07~23.07~0~427000~0~1~1~0~0~N3~Được tính toán, rồi Link từ sheet Nhân công sang~0</t>
        </is>
      </c>
      <c r="AH33" s="8" t="inlineStr"/>
      <c r="AI33" s="8" t="inlineStr"/>
      <c r="AJ33" s="8" t="inlineStr"/>
      <c r="AK33" s="8" t="inlineStr"/>
      <c r="AL33" s="8" t="inlineStr"/>
      <c r="AM33" s="8" t="inlineStr"/>
      <c r="AN33" s="8" t="inlineStr">
        <is>
          <t>DinhMucBoXD</t>
        </is>
      </c>
    </row>
    <row r="34">
      <c r="A34" s="8" t="n">
        <v>7</v>
      </c>
      <c r="B34" s="8" t="inlineStr"/>
      <c r="C34" s="11" t="inlineStr">
        <is>
          <t>BB.51008</t>
        </is>
      </c>
      <c r="D34" s="8" t="inlineStr"/>
      <c r="E34" s="8" t="inlineStr">
        <is>
          <t>BB.51008</t>
        </is>
      </c>
      <c r="F34" s="8" t="inlineStr">
        <is>
          <t>Ống đồng_D28.6_1.27mm</t>
        </is>
      </c>
      <c r="G34" s="12">
        <f>HYPERLINK("tt38://pl3/100", "👉 Phụ lục III - Trang 100 (Khớp nhóm BB.5100)")</f>
        <v/>
      </c>
      <c r="H34" s="8" t="inlineStr">
        <is>
          <t>100m</t>
        </is>
      </c>
      <c r="I34" s="8" t="inlineStr"/>
      <c r="J34" s="8" t="inlineStr"/>
      <c r="K34" s="8" t="inlineStr"/>
      <c r="L34" s="8" t="inlineStr"/>
      <c r="M34" s="8" t="inlineStr"/>
      <c r="N34" s="8" t="inlineStr"/>
      <c r="O34" s="8" t="inlineStr"/>
      <c r="P34" s="8" t="inlineStr"/>
      <c r="Q34" s="8" t="n">
        <v>1.6</v>
      </c>
      <c r="R34" s="8" t="inlineStr"/>
      <c r="S34" s="8" t="inlineStr"/>
      <c r="T34" s="8" t="inlineStr"/>
      <c r="U34" s="8" t="inlineStr"/>
      <c r="V34" s="8" t="n">
        <v>0</v>
      </c>
      <c r="W34" s="8" t="n">
        <v>0</v>
      </c>
      <c r="X34" s="8" t="n">
        <v>0</v>
      </c>
      <c r="Y34" s="8" t="n">
        <v>0</v>
      </c>
      <c r="Z34" s="8" t="inlineStr"/>
      <c r="AA34" s="8" t="inlineStr"/>
      <c r="AB34" s="8" t="inlineStr"/>
      <c r="AC34" s="8" t="inlineStr"/>
      <c r="AD34" s="8" t="inlineStr">
        <is>
          <t>Định mức 38/2026/TT-BXD - Phần LD</t>
        </is>
      </c>
      <c r="AE34" s="8" t="inlineStr">
        <is>
          <t>GM38_2026</t>
        </is>
      </c>
      <c r="AF34" s="8" t="inlineStr">
        <is>
          <t>A33.0465~Ống đồng_D28.6_1.27mm~m~100.5~100.5~0~392700~0~1~1~0~431970~OngDongD=28,6~Báo giá BKRE~0žA33.0113~Que hàn đồng~kg~0.215~0.215~0~250000~0~1~1~0~275000~QueHanDong~Giá gốc~0žA33.0001~Ô xy~chai~0.01~0.01~0~30000~0~1~1~0~33000~Oxy~Giá gốc~0žA24.0931~Khí gas~kg~0.02~0.02~0~37803~0~1~1~0~41583.3~KhiGa~Giá gốc~0žA33.0469~Thuốc hàn~kg~0.014~0.014~0~27000~0~1~1~0~29700~ThuocHan~Giá gốc~0žZ999~Vật liệu khác~%~0.01~0.01~0~395215.3406~0~1~1~0~0~VatLieuKhac~~0</t>
        </is>
      </c>
      <c r="AG34" s="8" t="inlineStr">
        <is>
          <t>N3~Nhân công nhóm 3~công~24.17~24.17~0~427000~0~1~1~0~0~N3~Được tính toán, rồi Link từ sheet Nhân công sang~0</t>
        </is>
      </c>
      <c r="AH34" s="8" t="inlineStr"/>
      <c r="AI34" s="8" t="inlineStr"/>
      <c r="AJ34" s="8" t="inlineStr"/>
      <c r="AK34" s="8" t="inlineStr"/>
      <c r="AL34" s="8" t="inlineStr"/>
      <c r="AM34" s="8" t="inlineStr"/>
      <c r="AN34" s="8" t="inlineStr">
        <is>
          <t>DinhMucBoXD</t>
        </is>
      </c>
    </row>
    <row r="35">
      <c r="A35" s="8" t="n">
        <v>8</v>
      </c>
      <c r="B35" s="8" t="inlineStr"/>
      <c r="C35" s="11" t="inlineStr">
        <is>
          <t>BB.51010</t>
        </is>
      </c>
      <c r="D35" s="8" t="inlineStr"/>
      <c r="E35" s="8" t="inlineStr">
        <is>
          <t>BB.51010</t>
        </is>
      </c>
      <c r="F35" s="8" t="inlineStr">
        <is>
          <t>Ống đồng_D34.9_1.40mm</t>
        </is>
      </c>
      <c r="G35" s="12">
        <f>HYPERLINK("tt38://pl3/100", "👉 Phụ lục III - Trang 100 (Khớp nhóm BB.510)")</f>
        <v/>
      </c>
      <c r="H35" s="8" t="inlineStr">
        <is>
          <t>100m</t>
        </is>
      </c>
      <c r="I35" s="8" t="inlineStr"/>
      <c r="J35" s="8" t="inlineStr"/>
      <c r="K35" s="8" t="inlineStr"/>
      <c r="L35" s="8" t="inlineStr"/>
      <c r="M35" s="8" t="inlineStr"/>
      <c r="N35" s="8" t="inlineStr"/>
      <c r="O35" s="8" t="inlineStr"/>
      <c r="P35" s="8" t="inlineStr"/>
      <c r="Q35" s="8" t="n">
        <v>1.6</v>
      </c>
      <c r="R35" s="8" t="inlineStr"/>
      <c r="S35" s="8" t="inlineStr"/>
      <c r="T35" s="8" t="inlineStr"/>
      <c r="U35" s="8" t="inlineStr"/>
      <c r="V35" s="8" t="n">
        <v>0</v>
      </c>
      <c r="W35" s="8" t="n">
        <v>0</v>
      </c>
      <c r="X35" s="8" t="n">
        <v>0</v>
      </c>
      <c r="Y35" s="8" t="n">
        <v>0</v>
      </c>
      <c r="Z35" s="8" t="inlineStr"/>
      <c r="AA35" s="8" t="inlineStr"/>
      <c r="AB35" s="8" t="inlineStr"/>
      <c r="AC35" s="8" t="inlineStr"/>
      <c r="AD35" s="8" t="inlineStr">
        <is>
          <t>Định mức 38/2026/TT-BXD - Phần LD</t>
        </is>
      </c>
      <c r="AE35" s="8" t="inlineStr">
        <is>
          <t>GM38_2026</t>
        </is>
      </c>
      <c r="AF35" s="8" t="inlineStr">
        <is>
          <t>A33.0467~Ống đồng_D34.9_1.40mm~m~100.5~100.5~0~531600~0~1~1~0~584760~OngDongD=34,9~Báo giá BKRE~0žA33.0113~Que hàn đồng~kg~0.262~0.262~0~250000~0~1~1~0~275000~QueHanDong~Giá gốc~0žA33.0001~Ô xy~chai~0.012~0.012~0~30000~0~1~1~0~33000~Oxy~Giá gốc~0žA24.0931~Khí gas~kg~0.024~0.024~0~37803~0~1~1~0~41583.3~KhiGa~Giá gốc~0žA33.0469~Thuốc hàn~kg~0.017~0.017~0~27000~0~1~1~0~29700~ThuocHan~Giá gốc~0žZ999~Vật liệu khác~%~0.01~0.01~0~534930.26272~0~1~1~0~0~VatLieuKhac~~0</t>
        </is>
      </c>
      <c r="AG35" s="8" t="inlineStr">
        <is>
          <t>N3~Nhân công nhóm 3~công~25.17~25.17~0~427000~0~1~1~0~0~N3~Được tính toán, rồi Link từ sheet Nhân công sang~0</t>
        </is>
      </c>
      <c r="AH35" s="8" t="inlineStr"/>
      <c r="AI35" s="8" t="inlineStr"/>
      <c r="AJ35" s="8" t="inlineStr"/>
      <c r="AK35" s="8" t="inlineStr"/>
      <c r="AL35" s="8" t="inlineStr"/>
      <c r="AM35" s="8" t="inlineStr"/>
      <c r="AN35" s="8" t="inlineStr">
        <is>
          <t>DinhMucBoXD</t>
        </is>
      </c>
    </row>
    <row r="36">
      <c r="A36" s="8" t="n">
        <v>9</v>
      </c>
      <c r="B36" s="8" t="inlineStr"/>
      <c r="C36" s="11" t="inlineStr">
        <is>
          <t>BB.51012</t>
        </is>
      </c>
      <c r="D36" s="8" t="inlineStr"/>
      <c r="E36" s="8" t="inlineStr">
        <is>
          <t>BB.51012</t>
        </is>
      </c>
      <c r="F36" s="8" t="inlineStr">
        <is>
          <t>Ống đồng_D41.3_1.53mm</t>
        </is>
      </c>
      <c r="G36" s="12">
        <f>HYPERLINK("tt38://pl3/100", "👉 Phụ lục III - Trang 100 (Khớp nhóm BB.510)")</f>
        <v/>
      </c>
      <c r="H36" s="8" t="inlineStr">
        <is>
          <t>100m</t>
        </is>
      </c>
      <c r="I36" s="8" t="inlineStr"/>
      <c r="J36" s="8" t="inlineStr"/>
      <c r="K36" s="8" t="inlineStr"/>
      <c r="L36" s="8" t="inlineStr"/>
      <c r="M36" s="8" t="inlineStr"/>
      <c r="N36" s="8" t="inlineStr"/>
      <c r="O36" s="8" t="inlineStr"/>
      <c r="P36" s="8" t="inlineStr"/>
      <c r="Q36" s="8" t="n">
        <v>2.4</v>
      </c>
      <c r="R36" s="8" t="inlineStr"/>
      <c r="S36" s="8" t="inlineStr"/>
      <c r="T36" s="8" t="inlineStr"/>
      <c r="U36" s="8" t="inlineStr"/>
      <c r="V36" s="8" t="n">
        <v>0</v>
      </c>
      <c r="W36" s="8" t="n">
        <v>0</v>
      </c>
      <c r="X36" s="8" t="n">
        <v>0</v>
      </c>
      <c r="Y36" s="8" t="n">
        <v>0</v>
      </c>
      <c r="Z36" s="8" t="inlineStr"/>
      <c r="AA36" s="8" t="inlineStr"/>
      <c r="AB36" s="8" t="inlineStr"/>
      <c r="AC36" s="8" t="inlineStr"/>
      <c r="AD36" s="8" t="inlineStr">
        <is>
          <t>Định mức 38/2026/TT-BXD - Phần LD</t>
        </is>
      </c>
      <c r="AE36" s="8" t="inlineStr">
        <is>
          <t>GM38_2026</t>
        </is>
      </c>
      <c r="AF36" s="8" t="inlineStr">
        <is>
          <t>A33.0471~Ống đồng_D41.3_1.53mm~m~100.5~100.5~0~684300~0~1~1~0~752730~OngDongD=41,3~Báo giá BKRE~0žA33.0113~Que hàn đồng~kg~0.298~0.298~0~250000~0~1~1~0~275000~QueHanDong~Giá gốc~0žA33.0001~Ô xy~chai~0.013~0.013~0~30000~0~1~1~0~33000~Oxy~Giá gốc~0žA24.0931~Khí gas~kg~0.026~0.026~0~37803~0~1~1~0~41583.3~KhiGa~Giá gốc~0žA33.0469~Thuốc hàn~kg~0.02~0.02~0~27000~0~1~1~0~29700~ThuocHan~Giá gốc~0žZ999~Vật liệu khác~%~0.01~0.01~0~688485.62878~0~1~1~0~0~VatLieuKhac~~0</t>
        </is>
      </c>
      <c r="AG36" s="8" t="inlineStr">
        <is>
          <t>N3~Nhân công nhóm 3~công~27.22~27.22~0~427000~0~1~1~0~0~N3~Được tính toán, rồi Link từ sheet Nhân công sang~0</t>
        </is>
      </c>
      <c r="AH36" s="8" t="inlineStr"/>
      <c r="AI36" s="8" t="inlineStr"/>
      <c r="AJ36" s="8" t="inlineStr"/>
      <c r="AK36" s="8" t="inlineStr"/>
      <c r="AL36" s="8" t="inlineStr"/>
      <c r="AM36" s="8" t="inlineStr"/>
      <c r="AN36" s="8" t="inlineStr">
        <is>
          <t>DinhMucBoXD</t>
        </is>
      </c>
    </row>
    <row r="37">
      <c r="A37" s="8" t="n">
        <v>10</v>
      </c>
      <c r="B37" s="8" t="inlineStr"/>
      <c r="C37" s="11" t="inlineStr">
        <is>
          <t>BC.14101</t>
        </is>
      </c>
      <c r="D37" s="8" t="inlineStr"/>
      <c r="E37" s="8" t="inlineStr">
        <is>
          <t>BC.14101</t>
        </is>
      </c>
      <c r="F37" s="8" t="inlineStr">
        <is>
          <t>Bảo ôn ống đồng D6.4 dày 19mm</t>
        </is>
      </c>
      <c r="G37" s="12">
        <f>HYPERLINK("tt38://pl3/212", "👉 Phụ lục III - Trang 212 (Khớp nhóm BC.1410)")</f>
        <v/>
      </c>
      <c r="H37" s="8" t="inlineStr">
        <is>
          <t>100m</t>
        </is>
      </c>
      <c r="I37" s="8" t="inlineStr"/>
      <c r="J37" s="8" t="inlineStr"/>
      <c r="K37" s="8" t="inlineStr"/>
      <c r="L37" s="8" t="inlineStr"/>
      <c r="M37" s="8" t="inlineStr"/>
      <c r="N37" s="8" t="inlineStr"/>
      <c r="O37" s="8" t="inlineStr"/>
      <c r="P37" s="8" t="inlineStr"/>
      <c r="Q37" s="8" t="n">
        <v>0.8</v>
      </c>
      <c r="R37" s="8" t="inlineStr"/>
      <c r="S37" s="8" t="inlineStr"/>
      <c r="T37" s="8" t="inlineStr"/>
      <c r="U37" s="8" t="inlineStr"/>
      <c r="V37" s="8" t="n">
        <v>0</v>
      </c>
      <c r="W37" s="8" t="n">
        <v>0</v>
      </c>
      <c r="X37" s="8" t="n">
        <v>0</v>
      </c>
      <c r="Y37" s="8" t="n">
        <v>0</v>
      </c>
      <c r="Z37" s="8" t="inlineStr"/>
      <c r="AA37" s="8" t="inlineStr"/>
      <c r="AB37" s="8" t="inlineStr"/>
      <c r="AC37" s="8" t="inlineStr"/>
      <c r="AD37" s="8" t="inlineStr">
        <is>
          <t>Định mức 38/2026/TT-BXD - Phần LD</t>
        </is>
      </c>
      <c r="AE37" s="8" t="inlineStr">
        <is>
          <t>GM38_2026</t>
        </is>
      </c>
      <c r="AF37" s="8" t="inlineStr">
        <is>
          <t>A33.085201~Bảo ôn ống đồng D6.4 dày 19mm~m~100.5~100.5~0~17600~0~1~1~0~19360~OngCachNhietXopD=6,4~Báo giá BKRE~0žA33.1143~Băng cuốn bảo ôn~cuộn~8.04~8.04~0~15000~0~1~1~0~16500~BangCuonBaoOn~Giá gốc~0žZ999~Vật liệu khác~%~0.01~0.01~0~18894~0~1~1~0~0~VatLieuKhac~~0</t>
        </is>
      </c>
      <c r="AG37" s="8" t="inlineStr">
        <is>
          <t>N3~Nhân công nhóm 3~công~4.55~4.55~0~427000~0~1~1~0~0~N3~Được tính toán, rồi Link từ sheet Nhân công sang~0</t>
        </is>
      </c>
      <c r="AH37" s="8" t="inlineStr"/>
      <c r="AI37" s="8" t="inlineStr"/>
      <c r="AJ37" s="8" t="inlineStr"/>
      <c r="AK37" s="8" t="inlineStr"/>
      <c r="AL37" s="8" t="inlineStr"/>
      <c r="AM37" s="8" t="inlineStr"/>
      <c r="AN37" s="8" t="inlineStr">
        <is>
          <t>DinhMucBoXD</t>
        </is>
      </c>
    </row>
    <row r="38">
      <c r="A38" s="8" t="n">
        <v>11</v>
      </c>
      <c r="B38" s="8" t="inlineStr"/>
      <c r="C38" s="11" t="inlineStr">
        <is>
          <t>BC.14102</t>
        </is>
      </c>
      <c r="D38" s="8" t="inlineStr"/>
      <c r="E38" s="8" t="inlineStr">
        <is>
          <t>BC.14102</t>
        </is>
      </c>
      <c r="F38" s="8" t="inlineStr">
        <is>
          <t>Bảo ôn ống đồng D9.5 dày 19mm</t>
        </is>
      </c>
      <c r="G38" s="12">
        <f>HYPERLINK("tt38://pl3/212", "👉 Phụ lục III - Trang 212 (Khớp nhóm BC.1410)")</f>
        <v/>
      </c>
      <c r="H38" s="8" t="inlineStr">
        <is>
          <t>100m</t>
        </is>
      </c>
      <c r="I38" s="8" t="inlineStr"/>
      <c r="J38" s="8" t="inlineStr"/>
      <c r="K38" s="8" t="inlineStr"/>
      <c r="L38" s="8" t="inlineStr"/>
      <c r="M38" s="8" t="inlineStr"/>
      <c r="N38" s="8" t="inlineStr"/>
      <c r="O38" s="8" t="inlineStr"/>
      <c r="P38" s="8" t="inlineStr"/>
      <c r="Q38" s="8" t="n">
        <v>23.4</v>
      </c>
      <c r="R38" s="8" t="inlineStr"/>
      <c r="S38" s="8" t="inlineStr"/>
      <c r="T38" s="8" t="inlineStr"/>
      <c r="U38" s="8" t="inlineStr"/>
      <c r="V38" s="8" t="n">
        <v>0</v>
      </c>
      <c r="W38" s="8" t="n">
        <v>0</v>
      </c>
      <c r="X38" s="8" t="n">
        <v>0</v>
      </c>
      <c r="Y38" s="8" t="n">
        <v>0</v>
      </c>
      <c r="Z38" s="8" t="inlineStr"/>
      <c r="AA38" s="8" t="inlineStr"/>
      <c r="AB38" s="8" t="inlineStr"/>
      <c r="AC38" s="8" t="inlineStr"/>
      <c r="AD38" s="8" t="inlineStr">
        <is>
          <t>Định mức 38/2026/TT-BXD - Phần LD</t>
        </is>
      </c>
      <c r="AE38" s="8" t="inlineStr">
        <is>
          <t>GM38_2026</t>
        </is>
      </c>
      <c r="AF38" s="8" t="inlineStr">
        <is>
          <t>A33.085202~Bảo ôn ống đồng D9.5 dày 19mm~m~100.5~100.5~0~18500~0~1~1~0~20350~OngCachNhietXopD=9,5~Báo giá BKRE~0žA33.1143~Băng cuốn bảo ôn~cuộn~11.93~11.93~0~15000~0~1~1~0~16500~BangCuonBaoOn~Giá gốc~0žZ999~Vật liệu khác~%~0.01~0.01~0~20382~0~1~1~0~0~VatLieuKhac~~0</t>
        </is>
      </c>
      <c r="AG38" s="8" t="inlineStr">
        <is>
          <t>N3~Nhân công nhóm 3~công~4.77~4.77~0~427000~0~1~1~0~0~N3~Được tính toán, rồi Link từ sheet Nhân công sang~0</t>
        </is>
      </c>
      <c r="AH38" s="8" t="inlineStr"/>
      <c r="AI38" s="8" t="inlineStr"/>
      <c r="AJ38" s="8" t="inlineStr"/>
      <c r="AK38" s="8" t="inlineStr"/>
      <c r="AL38" s="8" t="inlineStr"/>
      <c r="AM38" s="8" t="inlineStr"/>
      <c r="AN38" s="8" t="inlineStr">
        <is>
          <t>DinhMucBoXD</t>
        </is>
      </c>
    </row>
    <row r="39">
      <c r="A39" s="8" t="n">
        <v>12</v>
      </c>
      <c r="B39" s="8" t="inlineStr"/>
      <c r="C39" s="11" t="inlineStr">
        <is>
          <t>BC.14103</t>
        </is>
      </c>
      <c r="D39" s="8" t="inlineStr"/>
      <c r="E39" s="8" t="inlineStr">
        <is>
          <t>BC.14103</t>
        </is>
      </c>
      <c r="F39" s="8" t="inlineStr">
        <is>
          <t>Bảo ôn ống đồng D12.7 dày 19mm</t>
        </is>
      </c>
      <c r="G39" s="12">
        <f>HYPERLINK("tt38://pl3/212", "👉 Phụ lục III - Trang 212 (Khớp nhóm BC.1410)")</f>
        <v/>
      </c>
      <c r="H39" s="8" t="inlineStr">
        <is>
          <t>100m</t>
        </is>
      </c>
      <c r="I39" s="8" t="inlineStr"/>
      <c r="J39" s="8" t="inlineStr"/>
      <c r="K39" s="8" t="inlineStr"/>
      <c r="L39" s="8" t="inlineStr"/>
      <c r="M39" s="8" t="inlineStr"/>
      <c r="N39" s="8" t="inlineStr"/>
      <c r="O39" s="8" t="inlineStr"/>
      <c r="P39" s="8" t="inlineStr"/>
      <c r="Q39" s="8" t="n">
        <v>0.5</v>
      </c>
      <c r="R39" s="8" t="inlineStr"/>
      <c r="S39" s="8" t="inlineStr"/>
      <c r="T39" s="8" t="inlineStr"/>
      <c r="U39" s="8" t="inlineStr"/>
      <c r="V39" s="8" t="n">
        <v>0</v>
      </c>
      <c r="W39" s="8" t="n">
        <v>0</v>
      </c>
      <c r="X39" s="8" t="n">
        <v>0</v>
      </c>
      <c r="Y39" s="8" t="n">
        <v>0</v>
      </c>
      <c r="Z39" s="8" t="inlineStr"/>
      <c r="AA39" s="8" t="inlineStr"/>
      <c r="AB39" s="8" t="inlineStr"/>
      <c r="AC39" s="8" t="inlineStr"/>
      <c r="AD39" s="8" t="inlineStr">
        <is>
          <t>Định mức 38/2026/TT-BXD - Phần LD</t>
        </is>
      </c>
      <c r="AE39" s="8" t="inlineStr">
        <is>
          <t>GM38_2026</t>
        </is>
      </c>
      <c r="AF39" s="8" t="inlineStr">
        <is>
          <t>A33.085203~Bảo ôn ống đồng D12.7 dày 19mm~m~100.5~100.5~0~21000~0~1~1~0~23100~OngCachNhietXopD=12,7~Báo giá BKRE~0žA33.1143~Băng cuốn bảo ôn~cuộn~15.95~15.95~0~15000~0~1~1~0~16500~BangCuonBaoOn~Giá gốc~0žZ999~Vật liệu khác~%~0.01~0.01~0~23497.5~0~1~1~0~0~VatLieuKhac~~0</t>
        </is>
      </c>
      <c r="AG39" s="8" t="inlineStr">
        <is>
          <t>N3~Nhân công nhóm 3~công~5.02~5.02~0~427000~0~1~1~0~0~N3~Được tính toán, rồi Link từ sheet Nhân công sang~0</t>
        </is>
      </c>
      <c r="AH39" s="8" t="inlineStr"/>
      <c r="AI39" s="8" t="inlineStr"/>
      <c r="AJ39" s="8" t="inlineStr"/>
      <c r="AK39" s="8" t="inlineStr"/>
      <c r="AL39" s="8" t="inlineStr"/>
      <c r="AM39" s="8" t="inlineStr"/>
      <c r="AN39" s="8" t="inlineStr">
        <is>
          <t>DinhMucBoXD</t>
        </is>
      </c>
    </row>
    <row r="40">
      <c r="A40" s="8" t="n">
        <v>13</v>
      </c>
      <c r="B40" s="8" t="inlineStr"/>
      <c r="C40" s="11" t="inlineStr">
        <is>
          <t>BC.14104</t>
        </is>
      </c>
      <c r="D40" s="8" t="inlineStr"/>
      <c r="E40" s="8" t="inlineStr">
        <is>
          <t>BC.14104</t>
        </is>
      </c>
      <c r="F40" s="8" t="inlineStr">
        <is>
          <t>Bảo ôn ống đồng D15.9 dày 19mm</t>
        </is>
      </c>
      <c r="G40" s="12">
        <f>HYPERLINK("tt38://pl3/212", "👉 Phụ lục III - Trang 212 (Khớp nhóm BC.1410)")</f>
        <v/>
      </c>
      <c r="H40" s="8" t="inlineStr">
        <is>
          <t>100m</t>
        </is>
      </c>
      <c r="I40" s="8" t="inlineStr"/>
      <c r="J40" s="8" t="inlineStr"/>
      <c r="K40" s="8" t="inlineStr"/>
      <c r="L40" s="8" t="inlineStr"/>
      <c r="M40" s="8" t="inlineStr"/>
      <c r="N40" s="8" t="inlineStr"/>
      <c r="O40" s="8" t="inlineStr"/>
      <c r="P40" s="8" t="inlineStr"/>
      <c r="Q40" s="8" t="n">
        <v>23.3</v>
      </c>
      <c r="R40" s="8" t="inlineStr"/>
      <c r="S40" s="8" t="inlineStr"/>
      <c r="T40" s="8" t="inlineStr"/>
      <c r="U40" s="8" t="inlineStr"/>
      <c r="V40" s="8" t="n">
        <v>0</v>
      </c>
      <c r="W40" s="8" t="n">
        <v>0</v>
      </c>
      <c r="X40" s="8" t="n">
        <v>0</v>
      </c>
      <c r="Y40" s="8" t="n">
        <v>0</v>
      </c>
      <c r="Z40" s="8" t="inlineStr"/>
      <c r="AA40" s="8" t="inlineStr"/>
      <c r="AB40" s="8" t="inlineStr"/>
      <c r="AC40" s="8" t="inlineStr"/>
      <c r="AD40" s="8" t="inlineStr">
        <is>
          <t>Định mức 38/2026/TT-BXD - Phần LD</t>
        </is>
      </c>
      <c r="AE40" s="8" t="inlineStr">
        <is>
          <t>GM38_2026</t>
        </is>
      </c>
      <c r="AF40" s="8" t="inlineStr">
        <is>
          <t>A33.085204~Bảo ôn ống đồng D15.9 dày 19mm~m~100.5~100.5~0~22900~0~1~1~0~25190~OngCachNhietXopD=15,9~Báo giá BKRE~0žA33.1143~Băng cuốn bảo ôn~cuộn~19.97~19.97~0~15000~0~1~1~0~16500~BangCuonBaoOn~Giá gốc~0žZ999~Vật liệu khác~%~0.01~0.01~0~26010~0~1~1~0~0~VatLieuKhac~~0</t>
        </is>
      </c>
      <c r="AG40" s="8" t="inlineStr">
        <is>
          <t>N3~Nhân công nhóm 3~công~5.34~5.34~0~427000~0~1~1~0~0~N3~Được tính toán, rồi Link từ sheet Nhân công sang~0</t>
        </is>
      </c>
      <c r="AH40" s="8" t="inlineStr"/>
      <c r="AI40" s="8" t="inlineStr"/>
      <c r="AJ40" s="8" t="inlineStr"/>
      <c r="AK40" s="8" t="inlineStr"/>
      <c r="AL40" s="8" t="inlineStr"/>
      <c r="AM40" s="8" t="inlineStr"/>
      <c r="AN40" s="8" t="inlineStr">
        <is>
          <t>DinhMucBoXD</t>
        </is>
      </c>
    </row>
    <row r="41">
      <c r="A41" s="8" t="n">
        <v>14</v>
      </c>
      <c r="B41" s="8" t="inlineStr"/>
      <c r="C41" s="11" t="inlineStr">
        <is>
          <t>BC.14105</t>
        </is>
      </c>
      <c r="D41" s="8" t="inlineStr"/>
      <c r="E41" s="8" t="inlineStr">
        <is>
          <t>BC.14105</t>
        </is>
      </c>
      <c r="F41" s="8" t="inlineStr">
        <is>
          <t>Bảo ôn ống đồng D19.1 dày 19mm</t>
        </is>
      </c>
      <c r="G41" s="12">
        <f>HYPERLINK("tt38://pl3/212", "👉 Phụ lục III - Trang 212 (Khớp nhóm BC.1410)")</f>
        <v/>
      </c>
      <c r="H41" s="8" t="inlineStr">
        <is>
          <t>100m</t>
        </is>
      </c>
      <c r="I41" s="8" t="inlineStr"/>
      <c r="J41" s="8" t="inlineStr"/>
      <c r="K41" s="8" t="inlineStr"/>
      <c r="L41" s="8" t="inlineStr"/>
      <c r="M41" s="8" t="inlineStr"/>
      <c r="N41" s="8" t="inlineStr"/>
      <c r="O41" s="8" t="inlineStr"/>
      <c r="P41" s="8" t="inlineStr"/>
      <c r="Q41" s="8" t="n">
        <v>4</v>
      </c>
      <c r="R41" s="8" t="inlineStr"/>
      <c r="S41" s="8" t="inlineStr"/>
      <c r="T41" s="8" t="inlineStr"/>
      <c r="U41" s="8" t="inlineStr"/>
      <c r="V41" s="8" t="n">
        <v>0</v>
      </c>
      <c r="W41" s="8" t="n">
        <v>0</v>
      </c>
      <c r="X41" s="8" t="n">
        <v>0</v>
      </c>
      <c r="Y41" s="8" t="n">
        <v>0</v>
      </c>
      <c r="Z41" s="8" t="inlineStr"/>
      <c r="AA41" s="8" t="inlineStr"/>
      <c r="AB41" s="8" t="inlineStr"/>
      <c r="AC41" s="8" t="inlineStr"/>
      <c r="AD41" s="8" t="inlineStr">
        <is>
          <t>Định mức 38/2026/TT-BXD - Phần LD</t>
        </is>
      </c>
      <c r="AE41" s="8" t="inlineStr">
        <is>
          <t>GM38_2026</t>
        </is>
      </c>
      <c r="AF41" s="8" t="inlineStr">
        <is>
          <t>A33.085205~Bảo ôn ống đồng D19.1 dày 19mm~m~100.5~100.5~0~25300~0~1~1~0~27830~OngCachNhietXopD=19,1~Báo giá BKRE~0žA33.1143~Băng cuốn bảo ôn~cuộn~23.99~23.99~0~15000~0~1~1~0~16500~BangCuonBaoOn~Giá gốc~0žZ999~Vật liệu khác~%~0.01~0.01~0~29025~0~1~1~0~0~VatLieuKhac~~0</t>
        </is>
      </c>
      <c r="AG41" s="8" t="inlineStr">
        <is>
          <t>N3~Nhân công nhóm 3~công~5.54~5.54~0~427000~0~1~1~0~0~N3~Được tính toán, rồi Link từ sheet Nhân công sang~0</t>
        </is>
      </c>
      <c r="AH41" s="8" t="inlineStr"/>
      <c r="AI41" s="8" t="inlineStr"/>
      <c r="AJ41" s="8" t="inlineStr"/>
      <c r="AK41" s="8" t="inlineStr"/>
      <c r="AL41" s="8" t="inlineStr"/>
      <c r="AM41" s="8" t="inlineStr"/>
      <c r="AN41" s="8" t="inlineStr">
        <is>
          <t>DinhMucBoXD</t>
        </is>
      </c>
    </row>
    <row r="42">
      <c r="A42" s="8" t="n">
        <v>15</v>
      </c>
      <c r="B42" s="8" t="inlineStr"/>
      <c r="C42" s="11" t="inlineStr">
        <is>
          <t>BC.14106</t>
        </is>
      </c>
      <c r="D42" s="8" t="inlineStr"/>
      <c r="E42" s="8" t="inlineStr">
        <is>
          <t>BC.14106</t>
        </is>
      </c>
      <c r="F42" s="8" t="inlineStr">
        <is>
          <t>Bảo ôn ống đồng D22.2 dày 19mm</t>
        </is>
      </c>
      <c r="G42" s="12">
        <f>HYPERLINK("tt38://pl3/212", "👉 Phụ lục III - Trang 212 (Khớp nhóm BC.1410)")</f>
        <v/>
      </c>
      <c r="H42" s="8" t="inlineStr">
        <is>
          <t>100m</t>
        </is>
      </c>
      <c r="I42" s="8" t="inlineStr"/>
      <c r="J42" s="8" t="inlineStr"/>
      <c r="K42" s="8" t="inlineStr"/>
      <c r="L42" s="8" t="inlineStr"/>
      <c r="M42" s="8" t="inlineStr"/>
      <c r="N42" s="8" t="inlineStr"/>
      <c r="O42" s="8" t="inlineStr"/>
      <c r="P42" s="8" t="inlineStr"/>
      <c r="Q42" s="8" t="n">
        <v>0.8</v>
      </c>
      <c r="R42" s="8" t="inlineStr"/>
      <c r="S42" s="8" t="inlineStr"/>
      <c r="T42" s="8" t="inlineStr"/>
      <c r="U42" s="8" t="inlineStr"/>
      <c r="V42" s="8" t="n">
        <v>0</v>
      </c>
      <c r="W42" s="8" t="n">
        <v>0</v>
      </c>
      <c r="X42" s="8" t="n">
        <v>0</v>
      </c>
      <c r="Y42" s="8" t="n">
        <v>0</v>
      </c>
      <c r="Z42" s="8" t="inlineStr"/>
      <c r="AA42" s="8" t="inlineStr"/>
      <c r="AB42" s="8" t="inlineStr"/>
      <c r="AC42" s="8" t="inlineStr"/>
      <c r="AD42" s="8" t="inlineStr">
        <is>
          <t>Định mức 38/2026/TT-BXD - Phần LD</t>
        </is>
      </c>
      <c r="AE42" s="8" t="inlineStr">
        <is>
          <t>GM38_2026</t>
        </is>
      </c>
      <c r="AF42" s="8" t="inlineStr">
        <is>
          <t>A33.085206~Bảo ôn ống đồng D22.2 dày 19mm~m~100.5~100.5~0~27200~0~1~1~0~29920~OngCachNhietXopD=22,2~Báo giá BKRE~0žA33.1143~Băng cuốn bảo ôn~cuộn~27.88~27.88~0~15000~0~1~1~0~16500~BangCuonBaoOn~Giá gốc~0žZ999~Vật liệu khác~%~0.01~0.01~0~31518~0~1~1~0~0~VatLieuKhac~~0</t>
        </is>
      </c>
      <c r="AG42" s="8" t="inlineStr">
        <is>
          <t>N3~Nhân công nhóm 3~công~5.84~5.84~0~427000~0~1~1~0~0~N3~Được tính toán, rồi Link từ sheet Nhân công sang~0</t>
        </is>
      </c>
      <c r="AH42" s="8" t="inlineStr"/>
      <c r="AI42" s="8" t="inlineStr"/>
      <c r="AJ42" s="8" t="inlineStr"/>
      <c r="AK42" s="8" t="inlineStr"/>
      <c r="AL42" s="8" t="inlineStr"/>
      <c r="AM42" s="8" t="inlineStr"/>
      <c r="AN42" s="8" t="inlineStr">
        <is>
          <t>DinhMucBoXD</t>
        </is>
      </c>
    </row>
    <row r="43">
      <c r="A43" s="8" t="n">
        <v>16</v>
      </c>
      <c r="B43" s="8" t="inlineStr"/>
      <c r="C43" s="11" t="inlineStr">
        <is>
          <t>BC.14108</t>
        </is>
      </c>
      <c r="D43" s="8" t="inlineStr"/>
      <c r="E43" s="8" t="inlineStr">
        <is>
          <t>BC.14108</t>
        </is>
      </c>
      <c r="F43" s="8" t="inlineStr">
        <is>
          <t>Bảo ôn ống đồng D28.6 dày 19mm</t>
        </is>
      </c>
      <c r="G43" s="12">
        <f>HYPERLINK("tt38://pl3/212", "👉 Phụ lục III - Trang 212 (Khớp nhóm BC.1410)")</f>
        <v/>
      </c>
      <c r="H43" s="8" t="inlineStr">
        <is>
          <t>100m</t>
        </is>
      </c>
      <c r="I43" s="8" t="inlineStr"/>
      <c r="J43" s="8" t="inlineStr"/>
      <c r="K43" s="8" t="inlineStr"/>
      <c r="L43" s="8" t="inlineStr"/>
      <c r="M43" s="8" t="inlineStr"/>
      <c r="N43" s="8" t="inlineStr"/>
      <c r="O43" s="8" t="inlineStr"/>
      <c r="P43" s="8" t="inlineStr"/>
      <c r="Q43" s="8" t="n">
        <v>1.6</v>
      </c>
      <c r="R43" s="8" t="inlineStr"/>
      <c r="S43" s="8" t="inlineStr"/>
      <c r="T43" s="8" t="inlineStr"/>
      <c r="U43" s="8" t="inlineStr"/>
      <c r="V43" s="8" t="n">
        <v>0</v>
      </c>
      <c r="W43" s="8" t="n">
        <v>0</v>
      </c>
      <c r="X43" s="8" t="n">
        <v>0</v>
      </c>
      <c r="Y43" s="8" t="n">
        <v>0</v>
      </c>
      <c r="Z43" s="8" t="inlineStr"/>
      <c r="AA43" s="8" t="inlineStr"/>
      <c r="AB43" s="8" t="inlineStr"/>
      <c r="AC43" s="8" t="inlineStr"/>
      <c r="AD43" s="8" t="inlineStr">
        <is>
          <t>Định mức 38/2026/TT-BXD - Phần LD</t>
        </is>
      </c>
      <c r="AE43" s="8" t="inlineStr">
        <is>
          <t>GM38_2026</t>
        </is>
      </c>
      <c r="AF43" s="8" t="inlineStr">
        <is>
          <t>A33.085208~Bảo ôn ống đồng D28.6 dày 19mm~m~100.5~100.5~0~33000~0~1~1~0~36300~OngCachNhietXopD=28,6~Báo giá BKRE~0žA33.1143~Băng cuốn bảo ôn~cuộn~35.92~35.92~0~15000~0~1~1~0~16500~BangCuonBaoOn~Giá gốc~0žZ999~Vật liệu khác~%~0.01~0.01~0~38553~0~1~1~0~0~VatLieuKhac~~0</t>
        </is>
      </c>
      <c r="AG43" s="8" t="inlineStr">
        <is>
          <t>N3~Nhân công nhóm 3~công~6.4~6.4~0~427000~0~1~1~0~0~N3~Được tính toán, rồi Link từ sheet Nhân công sang~0</t>
        </is>
      </c>
      <c r="AH43" s="8" t="inlineStr"/>
      <c r="AI43" s="8" t="inlineStr"/>
      <c r="AJ43" s="8" t="inlineStr"/>
      <c r="AK43" s="8" t="inlineStr"/>
      <c r="AL43" s="8" t="inlineStr"/>
      <c r="AM43" s="8" t="inlineStr"/>
      <c r="AN43" s="8" t="inlineStr">
        <is>
          <t>DinhMucBoXD</t>
        </is>
      </c>
    </row>
    <row r="44">
      <c r="A44" s="8" t="n">
        <v>17</v>
      </c>
      <c r="B44" s="8" t="inlineStr"/>
      <c r="C44" s="11" t="inlineStr">
        <is>
          <t>BC.14110</t>
        </is>
      </c>
      <c r="D44" s="8" t="inlineStr"/>
      <c r="E44" s="8" t="inlineStr">
        <is>
          <t>BC.14110</t>
        </is>
      </c>
      <c r="F44" s="8" t="inlineStr">
        <is>
          <t>Bảo ôn ống đồng D34.9 dày 19mm</t>
        </is>
      </c>
      <c r="G44" s="12">
        <f>HYPERLINK("tt38://pl3/212", "👉 Phụ lục III - Trang 212 (Khớp nhóm BC.141)")</f>
        <v/>
      </c>
      <c r="H44" s="8" t="inlineStr">
        <is>
          <t>100m</t>
        </is>
      </c>
      <c r="I44" s="8" t="inlineStr"/>
      <c r="J44" s="8" t="inlineStr"/>
      <c r="K44" s="8" t="inlineStr"/>
      <c r="L44" s="8" t="inlineStr"/>
      <c r="M44" s="8" t="inlineStr"/>
      <c r="N44" s="8" t="inlineStr"/>
      <c r="O44" s="8" t="inlineStr"/>
      <c r="P44" s="8" t="inlineStr"/>
      <c r="Q44" s="8" t="n">
        <v>1.6</v>
      </c>
      <c r="R44" s="8" t="inlineStr"/>
      <c r="S44" s="8" t="inlineStr"/>
      <c r="T44" s="8" t="inlineStr"/>
      <c r="U44" s="8" t="inlineStr"/>
      <c r="V44" s="8" t="n">
        <v>0</v>
      </c>
      <c r="W44" s="8" t="n">
        <v>0</v>
      </c>
      <c r="X44" s="8" t="n">
        <v>0</v>
      </c>
      <c r="Y44" s="8" t="n">
        <v>0</v>
      </c>
      <c r="Z44" s="8" t="inlineStr"/>
      <c r="AA44" s="8" t="inlineStr"/>
      <c r="AB44" s="8" t="inlineStr"/>
      <c r="AC44" s="8" t="inlineStr"/>
      <c r="AD44" s="8" t="inlineStr">
        <is>
          <t>Định mức 38/2026/TT-BXD - Phần LD</t>
        </is>
      </c>
      <c r="AE44" s="8" t="inlineStr">
        <is>
          <t>GM38_2026</t>
        </is>
      </c>
      <c r="AF44" s="8" t="inlineStr">
        <is>
          <t>A33.085210~Bảo ôn ống đồng D34.9 dày 19mm~m~100.5~100.5~0~41800~0~1~1~0~45980~OngCachNhietXopD=34,9~Báo giá BKRE~0žA33.1143~Băng cuốn bảo ôn~cuộn~43.83~43.83~0~15000~0~1~1~0~16500~BangCuonBaoOn~Giá gốc~0žZ999~Vật liệu khác~%~0.01~0.01~0~48583.5~0~1~1~0~0~VatLieuKhac~~0</t>
        </is>
      </c>
      <c r="AG44" s="8" t="inlineStr">
        <is>
          <t>N3~Nhân công nhóm 3~công~6.61~6.61~0~427000~0~1~1~0~0~N3~Được tính toán, rồi Link từ sheet Nhân công sang~0</t>
        </is>
      </c>
      <c r="AH44" s="8" t="inlineStr"/>
      <c r="AI44" s="8" t="inlineStr"/>
      <c r="AJ44" s="8" t="inlineStr"/>
      <c r="AK44" s="8" t="inlineStr"/>
      <c r="AL44" s="8" t="inlineStr"/>
      <c r="AM44" s="8" t="inlineStr"/>
      <c r="AN44" s="8" t="inlineStr">
        <is>
          <t>DinhMucBoXD</t>
        </is>
      </c>
    </row>
    <row r="45">
      <c r="A45" s="8" t="n">
        <v>18</v>
      </c>
      <c r="B45" s="8" t="inlineStr"/>
      <c r="C45" s="11" t="inlineStr">
        <is>
          <t>BC.14112</t>
        </is>
      </c>
      <c r="D45" s="8" t="inlineStr"/>
      <c r="E45" s="8" t="inlineStr">
        <is>
          <t>BC.14112</t>
        </is>
      </c>
      <c r="F45" s="8" t="inlineStr">
        <is>
          <t>Bảo ôn ống đồng D41.3 dày 19mm</t>
        </is>
      </c>
      <c r="G45" s="12">
        <f>HYPERLINK("tt38://pl3/212", "👉 Phụ lục III - Trang 212 (Khớp nhóm BC.141)")</f>
        <v/>
      </c>
      <c r="H45" s="8" t="inlineStr">
        <is>
          <t>100m</t>
        </is>
      </c>
      <c r="I45" s="8" t="inlineStr"/>
      <c r="J45" s="8" t="inlineStr"/>
      <c r="K45" s="8" t="inlineStr"/>
      <c r="L45" s="8" t="inlineStr"/>
      <c r="M45" s="8" t="inlineStr"/>
      <c r="N45" s="8" t="inlineStr"/>
      <c r="O45" s="8" t="inlineStr"/>
      <c r="P45" s="8" t="inlineStr"/>
      <c r="Q45" s="8" t="n">
        <v>2.4</v>
      </c>
      <c r="R45" s="8" t="inlineStr"/>
      <c r="S45" s="8" t="inlineStr"/>
      <c r="T45" s="8" t="inlineStr"/>
      <c r="U45" s="8" t="inlineStr"/>
      <c r="V45" s="8" t="n">
        <v>0</v>
      </c>
      <c r="W45" s="8" t="n">
        <v>0</v>
      </c>
      <c r="X45" s="8" t="n">
        <v>0</v>
      </c>
      <c r="Y45" s="8" t="n">
        <v>0</v>
      </c>
      <c r="Z45" s="8" t="inlineStr"/>
      <c r="AA45" s="8" t="inlineStr"/>
      <c r="AB45" s="8" t="inlineStr"/>
      <c r="AC45" s="8" t="inlineStr"/>
      <c r="AD45" s="8" t="inlineStr">
        <is>
          <t>Định mức 38/2026/TT-BXD - Phần LD</t>
        </is>
      </c>
      <c r="AE45" s="8" t="inlineStr">
        <is>
          <t>GM38_2026</t>
        </is>
      </c>
      <c r="AF45" s="8" t="inlineStr">
        <is>
          <t>A33.085212~Bảo ôn ống đồng D41.3 dày 19mm~m~100.5~100.5~0~48100~0~1~1~0~52910~OngCachNhietXopD=41,3~Báo giá BKRE~0žA33.1143~Băng cuốn bảo ôn~cuộn~51.87~51.87~0~15000~0~1~1~0~16500~BangCuonBaoOn~Giá gốc~0žZ999~Vật liệu khác~%~0.01~0.01~0~56121~0~1~1~0~0~VatLieuKhac~~0</t>
        </is>
      </c>
      <c r="AG45" s="8" t="inlineStr">
        <is>
          <t>N3~Nhân công nhóm 3~công~6.96~6.96~0~427000~0~1~1~0~0~N3~Được tính toán, rồi Link từ sheet Nhân công sang~0</t>
        </is>
      </c>
      <c r="AH45" s="8" t="inlineStr"/>
      <c r="AI45" s="8" t="inlineStr"/>
      <c r="AJ45" s="8" t="inlineStr"/>
      <c r="AK45" s="8" t="inlineStr"/>
      <c r="AL45" s="8" t="inlineStr"/>
      <c r="AM45" s="8" t="inlineStr"/>
      <c r="AN45" s="8" t="inlineStr">
        <is>
          <t>DinhMucBoXD</t>
        </is>
      </c>
    </row>
    <row r="46">
      <c r="A46" s="8" t="inlineStr"/>
      <c r="B46" s="8" t="inlineStr"/>
      <c r="C46" s="8" t="inlineStr"/>
      <c r="D46" s="8" t="inlineStr"/>
      <c r="E46" s="8" t="inlineStr">
        <is>
          <t>T*</t>
        </is>
      </c>
      <c r="F46" s="8" t="inlineStr">
        <is>
          <t>Tổng: Ống đồng</t>
        </is>
      </c>
      <c r="H46" s="8" t="inlineStr"/>
      <c r="I46" s="8" t="inlineStr"/>
      <c r="J46" s="8" t="inlineStr"/>
      <c r="K46" s="8" t="inlineStr"/>
      <c r="L46" s="8" t="inlineStr"/>
      <c r="M46" s="8" t="inlineStr"/>
      <c r="N46" s="8" t="inlineStr"/>
      <c r="O46" s="8" t="inlineStr"/>
      <c r="P46" s="8" t="inlineStr"/>
      <c r="Q46" s="8" t="inlineStr"/>
      <c r="R46" s="8" t="inlineStr"/>
      <c r="S46" s="8" t="inlineStr"/>
      <c r="T46" s="8" t="inlineStr"/>
      <c r="U46" s="8" t="inlineStr"/>
      <c r="V46" s="8" t="n">
        <v>0</v>
      </c>
      <c r="W46" s="8" t="n">
        <v>0</v>
      </c>
      <c r="X46" s="8" t="n">
        <v>0</v>
      </c>
      <c r="Y46" s="8" t="n">
        <v>0</v>
      </c>
      <c r="Z46" s="8" t="inlineStr"/>
      <c r="AA46" s="8" t="inlineStr"/>
      <c r="AB46" s="8" t="inlineStr"/>
      <c r="AC46" s="8" t="inlineStr"/>
      <c r="AD46" s="8" t="inlineStr"/>
      <c r="AE46" s="8" t="inlineStr"/>
      <c r="AF46" s="8" t="inlineStr"/>
      <c r="AG46" s="8" t="inlineStr"/>
      <c r="AH46" s="8" t="inlineStr"/>
      <c r="AI46" s="8" t="inlineStr"/>
      <c r="AJ46" s="8" t="inlineStr"/>
      <c r="AK46" s="8" t="inlineStr"/>
      <c r="AL46" s="8" t="inlineStr"/>
      <c r="AM46" s="8" t="inlineStr"/>
      <c r="AN46" s="8" t="inlineStr"/>
    </row>
    <row r="47">
      <c r="A47" s="8" t="inlineStr"/>
      <c r="B47" s="8" t="inlineStr"/>
      <c r="C47" s="8" t="inlineStr"/>
      <c r="D47" s="8" t="inlineStr"/>
      <c r="E47" s="8" t="inlineStr">
        <is>
          <t>*</t>
        </is>
      </c>
      <c r="F47" s="8" t="inlineStr">
        <is>
          <t>Ống nước ngưng</t>
        </is>
      </c>
      <c r="H47" s="8" t="inlineStr"/>
      <c r="I47" s="8" t="inlineStr"/>
      <c r="J47" s="8" t="inlineStr"/>
      <c r="K47" s="8" t="inlineStr"/>
      <c r="L47" s="8" t="inlineStr"/>
      <c r="M47" s="8" t="inlineStr"/>
      <c r="N47" s="8" t="inlineStr"/>
      <c r="O47" s="8" t="inlineStr"/>
      <c r="P47" s="8" t="inlineStr"/>
      <c r="Q47" s="8" t="inlineStr"/>
      <c r="R47" s="8" t="inlineStr"/>
      <c r="S47" s="8" t="inlineStr"/>
      <c r="T47" s="8" t="inlineStr"/>
      <c r="U47" s="8" t="inlineStr"/>
      <c r="V47" s="8" t="inlineStr"/>
      <c r="W47" s="8" t="inlineStr"/>
      <c r="X47" s="8" t="inlineStr"/>
      <c r="Y47" s="8" t="inlineStr"/>
      <c r="Z47" s="8" t="inlineStr"/>
      <c r="AA47" s="8" t="inlineStr"/>
      <c r="AB47" s="8" t="inlineStr"/>
      <c r="AC47" s="8" t="inlineStr"/>
      <c r="AD47" s="8" t="inlineStr"/>
      <c r="AE47" s="8" t="inlineStr"/>
      <c r="AF47" s="8" t="inlineStr"/>
      <c r="AG47" s="8" t="inlineStr"/>
      <c r="AH47" s="8" t="inlineStr"/>
      <c r="AI47" s="8" t="inlineStr"/>
      <c r="AJ47" s="8" t="inlineStr"/>
      <c r="AK47" s="8" t="inlineStr"/>
      <c r="AL47" s="8" t="inlineStr"/>
      <c r="AM47" s="8" t="inlineStr"/>
      <c r="AN47" s="8" t="inlineStr"/>
    </row>
    <row r="48">
      <c r="A48" s="8" t="n">
        <v>19</v>
      </c>
      <c r="B48" s="8" t="inlineStr"/>
      <c r="C48" s="11" t="inlineStr">
        <is>
          <t>BB.41101</t>
        </is>
      </c>
      <c r="D48" s="8" t="inlineStr"/>
      <c r="E48" s="8" t="inlineStr">
        <is>
          <t>BB.41101</t>
        </is>
      </c>
      <c r="F48" s="8" t="inlineStr">
        <is>
          <t>Ống uPVC_D21</t>
        </is>
      </c>
      <c r="G48" s="12">
        <f>HYPERLINK("tt38://pl3/71", "👉 Phụ lục III - Trang 71 (Khớp nhóm BB.4110)")</f>
        <v/>
      </c>
      <c r="H48" s="8" t="inlineStr">
        <is>
          <t>100m</t>
        </is>
      </c>
      <c r="I48" s="8" t="inlineStr"/>
      <c r="J48" s="8" t="inlineStr"/>
      <c r="K48" s="8" t="inlineStr"/>
      <c r="L48" s="8" t="inlineStr"/>
      <c r="M48" s="8" t="inlineStr"/>
      <c r="N48" s="8" t="inlineStr"/>
      <c r="O48" s="8" t="inlineStr"/>
      <c r="P48" s="8" t="inlineStr"/>
      <c r="Q48" s="8" t="n">
        <v>0.6</v>
      </c>
      <c r="R48" s="8" t="inlineStr"/>
      <c r="S48" s="8" t="inlineStr"/>
      <c r="T48" s="8" t="inlineStr"/>
      <c r="U48" s="8" t="inlineStr"/>
      <c r="V48" s="8" t="n">
        <v>0</v>
      </c>
      <c r="W48" s="8" t="n">
        <v>0</v>
      </c>
      <c r="X48" s="8" t="n">
        <v>0</v>
      </c>
      <c r="Y48" s="8" t="n">
        <v>0</v>
      </c>
      <c r="Z48" s="8" t="inlineStr"/>
      <c r="AA48" s="8" t="inlineStr"/>
      <c r="AB48" s="8" t="inlineStr"/>
      <c r="AC48" s="8" t="inlineStr"/>
      <c r="AD48" s="8" t="inlineStr">
        <is>
          <t>Định mức 38/2026/TT-BXD - Phần LD</t>
        </is>
      </c>
      <c r="AE48" s="8" t="inlineStr">
        <is>
          <t>GM38_2026</t>
        </is>
      </c>
      <c r="AF48" s="8" t="inlineStr">
        <is>
          <t>A33.0332~Ống uPVC_D21~m~101~101~0~8400~0~1~1~0~9240~OngNhuaPVCMiengBatD=20~Catalogue BG Tiền Phong~0žA33.0345~Cồn rửa~kg~0.11~0.11~0~12000~0~1~1~0~13200~ConRua~Giá gốc~0žA33.0346~Nhựa dán~kg~0.02~0.02~0~86000~0~1~1~0~94600~NhuaDan~Giá gốc~0žZ999~Vật liệu khác~%~0.01~0.01~0~8514.4~0~1~1~0~0~VatLieuKhac~~0</t>
        </is>
      </c>
      <c r="AG48" s="8" t="inlineStr">
        <is>
          <t>N3~Nhân công nhóm 3~công~2.49~2.49~0~427000~0~1~1~0~0~N3~Được tính toán, rồi Link từ sheet Nhân công sang~0</t>
        </is>
      </c>
      <c r="AH48" s="8" t="inlineStr"/>
      <c r="AI48" s="8" t="inlineStr"/>
      <c r="AJ48" s="8" t="inlineStr"/>
      <c r="AK48" s="8" t="inlineStr"/>
      <c r="AL48" s="8" t="inlineStr"/>
      <c r="AM48" s="8" t="inlineStr"/>
      <c r="AN48" s="8" t="inlineStr">
        <is>
          <t>DinhMucBoXD</t>
        </is>
      </c>
    </row>
    <row r="49">
      <c r="A49" s="8" t="n">
        <v>20</v>
      </c>
      <c r="B49" s="8" t="inlineStr"/>
      <c r="C49" s="11" t="inlineStr">
        <is>
          <t>BB.41102</t>
        </is>
      </c>
      <c r="D49" s="8" t="inlineStr"/>
      <c r="E49" s="8" t="inlineStr">
        <is>
          <t>BB.41102</t>
        </is>
      </c>
      <c r="F49" s="8" t="inlineStr">
        <is>
          <t>Ống uPVC_D27</t>
        </is>
      </c>
      <c r="G49" s="12">
        <f>HYPERLINK("tt38://pl3/71", "👉 Phụ lục III - Trang 71 (Khớp nhóm BB.4110)")</f>
        <v/>
      </c>
      <c r="H49" s="8" t="inlineStr">
        <is>
          <t>100m</t>
        </is>
      </c>
      <c r="I49" s="8" t="inlineStr"/>
      <c r="J49" s="8" t="inlineStr"/>
      <c r="K49" s="8" t="inlineStr"/>
      <c r="L49" s="8" t="inlineStr"/>
      <c r="M49" s="8" t="inlineStr"/>
      <c r="N49" s="8" t="inlineStr"/>
      <c r="O49" s="8" t="inlineStr"/>
      <c r="P49" s="8" t="inlineStr"/>
      <c r="Q49" s="8" t="n">
        <v>17.6</v>
      </c>
      <c r="R49" s="8" t="inlineStr"/>
      <c r="S49" s="8" t="inlineStr"/>
      <c r="T49" s="8" t="inlineStr"/>
      <c r="U49" s="8" t="inlineStr"/>
      <c r="V49" s="8" t="n">
        <v>0</v>
      </c>
      <c r="W49" s="8" t="n">
        <v>0</v>
      </c>
      <c r="X49" s="8" t="n">
        <v>0</v>
      </c>
      <c r="Y49" s="8" t="n">
        <v>0</v>
      </c>
      <c r="Z49" s="8" t="inlineStr"/>
      <c r="AA49" s="8" t="inlineStr"/>
      <c r="AB49" s="8" t="inlineStr"/>
      <c r="AC49" s="8" t="inlineStr"/>
      <c r="AD49" s="8" t="inlineStr">
        <is>
          <t>Định mức 38/2026/TT-BXD - Phần LD</t>
        </is>
      </c>
      <c r="AE49" s="8" t="inlineStr">
        <is>
          <t>GM38_2026</t>
        </is>
      </c>
      <c r="AF49" s="8" t="inlineStr">
        <is>
          <t>A33.0333~Ống uPVC_D27~m~101~101~0~11500~0~1~1~0~12650~OngNhuaPVCMiengBatD=25~Catalogue BG Tiền Phong~0žA33.0345~Cồn rửa~kg~0.13~0.13~0~12000~0~1~1~0~13200~ConRua~Giá gốc~0žA33.0346~Nhựa dán~kg~0.03~0.03~0~86000~0~1~1~0~94600~NhuaDan~Giá gốc~0žZ999~Vật liệu khác~%~0.01~0.01~0~11656.4~0~1~1~0~0~VatLieuKhac~~0</t>
        </is>
      </c>
      <c r="AG49" s="8" t="inlineStr">
        <is>
          <t>N3~Nhân công nhóm 3~công~2.92~2.92~0~427000~0~1~1~0~0~N3~Được tính toán, rồi Link từ sheet Nhân công sang~0</t>
        </is>
      </c>
      <c r="AH49" s="8" t="inlineStr"/>
      <c r="AI49" s="8" t="inlineStr"/>
      <c r="AJ49" s="8" t="inlineStr"/>
      <c r="AK49" s="8" t="inlineStr"/>
      <c r="AL49" s="8" t="inlineStr"/>
      <c r="AM49" s="8" t="inlineStr"/>
      <c r="AN49" s="8" t="inlineStr">
        <is>
          <t>DinhMucBoXD</t>
        </is>
      </c>
    </row>
    <row r="50">
      <c r="A50" s="8" t="n">
        <v>21</v>
      </c>
      <c r="B50" s="8" t="inlineStr"/>
      <c r="C50" s="11" t="inlineStr">
        <is>
          <t>BB.41103</t>
        </is>
      </c>
      <c r="D50" s="8" t="inlineStr"/>
      <c r="E50" s="8" t="inlineStr">
        <is>
          <t>BB.41103</t>
        </is>
      </c>
      <c r="F50" s="8" t="inlineStr">
        <is>
          <t>Ống uPVC_D34</t>
        </is>
      </c>
      <c r="G50" s="12">
        <f>HYPERLINK("tt38://pl3/71", "👉 Phụ lục III - Trang 71 (Khớp nhóm BB.4110)")</f>
        <v/>
      </c>
      <c r="H50" s="8" t="inlineStr">
        <is>
          <t>100m</t>
        </is>
      </c>
      <c r="I50" s="8" t="inlineStr"/>
      <c r="J50" s="8" t="inlineStr"/>
      <c r="K50" s="8" t="inlineStr"/>
      <c r="L50" s="8" t="inlineStr"/>
      <c r="M50" s="8" t="inlineStr"/>
      <c r="N50" s="8" t="inlineStr"/>
      <c r="O50" s="8" t="inlineStr"/>
      <c r="P50" s="8" t="inlineStr"/>
      <c r="Q50" s="8" t="n">
        <v>3</v>
      </c>
      <c r="R50" s="8" t="inlineStr"/>
      <c r="S50" s="8" t="inlineStr"/>
      <c r="T50" s="8" t="inlineStr"/>
      <c r="U50" s="8" t="inlineStr"/>
      <c r="V50" s="8" t="n">
        <v>0</v>
      </c>
      <c r="W50" s="8" t="n">
        <v>0</v>
      </c>
      <c r="X50" s="8" t="n">
        <v>0</v>
      </c>
      <c r="Y50" s="8" t="n">
        <v>0</v>
      </c>
      <c r="Z50" s="8" t="inlineStr"/>
      <c r="AA50" s="8" t="inlineStr"/>
      <c r="AB50" s="8" t="inlineStr"/>
      <c r="AC50" s="8" t="inlineStr"/>
      <c r="AD50" s="8" t="inlineStr">
        <is>
          <t>Định mức 38/2026/TT-BXD - Phần LD</t>
        </is>
      </c>
      <c r="AE50" s="8" t="inlineStr">
        <is>
          <t>GM38_2026</t>
        </is>
      </c>
      <c r="AF50" s="8" t="inlineStr">
        <is>
          <t>A33.0334~Ống uPVC_D34~m~101~101~0~14500~0~1~1~0~15950~OngNhuaPVCMiengBatD=32~Catalogue BG Tiền Phong~0žA33.0345~Cồn rửa~kg~0.15~0.15~0~12000~0~1~1~0~13200~ConRua~Giá gốc~0žA33.0346~Nhựa dán~kg~0.036~0.036~0~86000~0~1~1~0~94600~NhuaDan~Giá gốc~0žZ999~Vật liệu khác~%~0.01~0.01~0~14693.96~0~1~1~0~0~VatLieuKhac~~0</t>
        </is>
      </c>
      <c r="AG50" s="8" t="inlineStr">
        <is>
          <t>N3~Nhân công nhóm 3~công~3.51~3.51~0~427000~0~1~1~0~0~N3~Được tính toán, rồi Link từ sheet Nhân công sang~0</t>
        </is>
      </c>
      <c r="AH50" s="8" t="inlineStr"/>
      <c r="AI50" s="8" t="inlineStr"/>
      <c r="AJ50" s="8" t="inlineStr"/>
      <c r="AK50" s="8" t="inlineStr"/>
      <c r="AL50" s="8" t="inlineStr"/>
      <c r="AM50" s="8" t="inlineStr"/>
      <c r="AN50" s="8" t="inlineStr">
        <is>
          <t>DinhMucBoXD</t>
        </is>
      </c>
    </row>
    <row r="51">
      <c r="A51" s="8" t="n">
        <v>22</v>
      </c>
      <c r="B51" s="8" t="inlineStr"/>
      <c r="C51" s="11" t="inlineStr">
        <is>
          <t>BB.41104</t>
        </is>
      </c>
      <c r="D51" s="8" t="inlineStr"/>
      <c r="E51" s="8" t="inlineStr">
        <is>
          <t>BB.41104</t>
        </is>
      </c>
      <c r="F51" s="8" t="inlineStr">
        <is>
          <t>Ống uPVC_D42</t>
        </is>
      </c>
      <c r="G51" s="12">
        <f>HYPERLINK("tt38://pl3/71", "👉 Phụ lục III - Trang 71 (Khớp nhóm BB.4110)")</f>
        <v/>
      </c>
      <c r="H51" s="8" t="inlineStr">
        <is>
          <t>100m</t>
        </is>
      </c>
      <c r="I51" s="8" t="inlineStr"/>
      <c r="J51" s="8" t="inlineStr"/>
      <c r="K51" s="8" t="inlineStr"/>
      <c r="L51" s="8" t="inlineStr"/>
      <c r="M51" s="8" t="inlineStr"/>
      <c r="N51" s="8" t="inlineStr"/>
      <c r="O51" s="8" t="inlineStr"/>
      <c r="P51" s="8" t="inlineStr"/>
      <c r="Q51" s="8" t="n">
        <v>3</v>
      </c>
      <c r="R51" s="8" t="inlineStr"/>
      <c r="S51" s="8" t="inlineStr"/>
      <c r="T51" s="8" t="inlineStr"/>
      <c r="U51" s="8" t="inlineStr"/>
      <c r="V51" s="8" t="n">
        <v>0</v>
      </c>
      <c r="W51" s="8" t="n">
        <v>0</v>
      </c>
      <c r="X51" s="8" t="n">
        <v>0</v>
      </c>
      <c r="Y51" s="8" t="n">
        <v>0</v>
      </c>
      <c r="Z51" s="8" t="inlineStr"/>
      <c r="AA51" s="8" t="inlineStr"/>
      <c r="AB51" s="8" t="inlineStr"/>
      <c r="AC51" s="8" t="inlineStr"/>
      <c r="AD51" s="8" t="inlineStr">
        <is>
          <t>Định mức 38/2026/TT-BXD - Phần LD</t>
        </is>
      </c>
      <c r="AE51" s="8" t="inlineStr">
        <is>
          <t>GM38_2026</t>
        </is>
      </c>
      <c r="AF51" s="8" t="inlineStr">
        <is>
          <t>A33.0335~Ống uPVC_D42~m~101~101~0~22600~0~1~1~0~24860~OngNhuaPVCMiengBatD=40~Catalogue BG Tiền Phong~0žA33.0345~Cồn rửa~kg~0.18~0.18~0~12000~0~1~1~0~13200~ConRua~Giá gốc~0žA33.0346~Nhựa dán~kg~0.045~0.045~0~86000~0~1~1~0~94600~NhuaDan~Giá gốc~0žZ999~Vật liệu khác~%~0.01~0.01~0~22886.3~0~1~1~0~0~VatLieuKhac~~0</t>
        </is>
      </c>
      <c r="AG51" s="8" t="inlineStr">
        <is>
          <t>N3~Nhân công nhóm 3~công~4.38~4.38~0~427000~0~1~1~0~0~N3~Được tính toán, rồi Link từ sheet Nhân công sang~0</t>
        </is>
      </c>
      <c r="AH51" s="8" t="inlineStr"/>
      <c r="AI51" s="8" t="inlineStr"/>
      <c r="AJ51" s="8" t="inlineStr"/>
      <c r="AK51" s="8" t="inlineStr"/>
      <c r="AL51" s="8" t="inlineStr"/>
      <c r="AM51" s="8" t="inlineStr"/>
      <c r="AN51" s="8" t="inlineStr">
        <is>
          <t>DinhMucBoXD</t>
        </is>
      </c>
    </row>
    <row r="52">
      <c r="A52" s="8" t="n">
        <v>23</v>
      </c>
      <c r="B52" s="8" t="inlineStr"/>
      <c r="C52" s="11" t="inlineStr">
        <is>
          <t>BB.41105</t>
        </is>
      </c>
      <c r="D52" s="8" t="inlineStr"/>
      <c r="E52" s="8" t="inlineStr">
        <is>
          <t>BB.41105</t>
        </is>
      </c>
      <c r="F52" s="8" t="inlineStr">
        <is>
          <t>Ống uPVC_D48</t>
        </is>
      </c>
      <c r="G52" s="12">
        <f>HYPERLINK("tt38://pl3/71", "👉 Phụ lục III - Trang 71 (Khớp nhóm BB.4110)")</f>
        <v/>
      </c>
      <c r="H52" s="8" t="inlineStr">
        <is>
          <t>100m</t>
        </is>
      </c>
      <c r="I52" s="8" t="inlineStr"/>
      <c r="J52" s="8" t="inlineStr"/>
      <c r="K52" s="8" t="inlineStr"/>
      <c r="L52" s="8" t="inlineStr"/>
      <c r="M52" s="8" t="inlineStr"/>
      <c r="N52" s="8" t="inlineStr"/>
      <c r="O52" s="8" t="inlineStr"/>
      <c r="P52" s="8" t="inlineStr"/>
      <c r="Q52" s="8" t="n">
        <v>2.5</v>
      </c>
      <c r="R52" s="8" t="inlineStr"/>
      <c r="S52" s="8" t="inlineStr"/>
      <c r="T52" s="8" t="inlineStr"/>
      <c r="U52" s="8" t="inlineStr"/>
      <c r="V52" s="8" t="n">
        <v>0</v>
      </c>
      <c r="W52" s="8" t="n">
        <v>0</v>
      </c>
      <c r="X52" s="8" t="n">
        <v>0</v>
      </c>
      <c r="Y52" s="8" t="n">
        <v>0</v>
      </c>
      <c r="Z52" s="8" t="inlineStr"/>
      <c r="AA52" s="8" t="inlineStr"/>
      <c r="AB52" s="8" t="inlineStr"/>
      <c r="AC52" s="8" t="inlineStr"/>
      <c r="AD52" s="8" t="inlineStr">
        <is>
          <t>Định mức 38/2026/TT-BXD - Phần LD</t>
        </is>
      </c>
      <c r="AE52" s="8" t="inlineStr">
        <is>
          <t>GM38_2026</t>
        </is>
      </c>
      <c r="AF52" s="8" t="inlineStr">
        <is>
          <t>A33.0336~Ống uPVC_D48~m~101~101~0~27300~0~1~1~0~30030~OngNhuaPVCMiengBatD=50~Catalogue BG Tiền Phong~0žA33.0345~Cồn rửa~kg~0.23~0.23~0~12000~0~1~1~0~13200~ConRua~Giá gốc~0žA33.0346~Nhựa dán~kg~0.06~0.06~0~86000~0~1~1~0~94600~NhuaDan~Giá gốc~0žZ999~Vật liệu khác~%~0.01~0.01~0~27652.2~0~1~1~0~0~VatLieuKhac~~0</t>
        </is>
      </c>
      <c r="AG52" s="8" t="inlineStr">
        <is>
          <t>N3~Nhân công nhóm 3~công~5.48~5.48~0~427000~0~1~1~0~0~N3~Được tính toán, rồi Link từ sheet Nhân công sang~0</t>
        </is>
      </c>
      <c r="AH52" s="8" t="inlineStr"/>
      <c r="AI52" s="8" t="inlineStr"/>
      <c r="AJ52" s="8" t="inlineStr"/>
      <c r="AK52" s="8" t="inlineStr"/>
      <c r="AL52" s="8" t="inlineStr"/>
      <c r="AM52" s="8" t="inlineStr"/>
      <c r="AN52" s="8" t="inlineStr">
        <is>
          <t>DinhMucBoXD</t>
        </is>
      </c>
    </row>
    <row r="53">
      <c r="A53" s="8" t="n">
        <v>24</v>
      </c>
      <c r="B53" s="8" t="inlineStr"/>
      <c r="C53" s="11" t="inlineStr">
        <is>
          <t>BC.13102</t>
        </is>
      </c>
      <c r="D53" s="8" t="inlineStr"/>
      <c r="E53" s="8" t="inlineStr">
        <is>
          <t>BC.13102</t>
        </is>
      </c>
      <c r="F53" s="8" t="inlineStr">
        <is>
          <t>Bảo ôn ống uPVC D21 dày 13mm</t>
        </is>
      </c>
      <c r="G53" s="12">
        <f>HYPERLINK("tt38://pl3/204", "👉 Phụ lục III - Trang 204 (Khớp nhóm BC.1310)")</f>
        <v/>
      </c>
      <c r="H53" s="8" t="inlineStr">
        <is>
          <t>100m</t>
        </is>
      </c>
      <c r="I53" s="8" t="inlineStr"/>
      <c r="J53" s="8" t="inlineStr"/>
      <c r="K53" s="8" t="inlineStr"/>
      <c r="L53" s="8" t="inlineStr"/>
      <c r="M53" s="8" t="inlineStr"/>
      <c r="N53" s="8" t="inlineStr"/>
      <c r="O53" s="8" t="inlineStr"/>
      <c r="P53" s="8" t="inlineStr"/>
      <c r="Q53" s="8" t="n">
        <v>0.6</v>
      </c>
      <c r="R53" s="8" t="inlineStr"/>
      <c r="S53" s="8" t="inlineStr"/>
      <c r="T53" s="8" t="inlineStr"/>
      <c r="U53" s="8" t="inlineStr"/>
      <c r="V53" s="8" t="n">
        <v>0</v>
      </c>
      <c r="W53" s="8" t="n">
        <v>0</v>
      </c>
      <c r="X53" s="8" t="n">
        <v>0</v>
      </c>
      <c r="Y53" s="8" t="n">
        <v>0</v>
      </c>
      <c r="Z53" s="8" t="inlineStr"/>
      <c r="AA53" s="8" t="inlineStr"/>
      <c r="AB53" s="8" t="inlineStr"/>
      <c r="AC53" s="8" t="inlineStr"/>
      <c r="AD53" s="8" t="inlineStr">
        <is>
          <t>Định mức 38/2026/TT-BXD - Phần LD</t>
        </is>
      </c>
      <c r="AE53" s="8" t="inlineStr">
        <is>
          <t>GM38_2026</t>
        </is>
      </c>
      <c r="AF53" s="8" t="inlineStr">
        <is>
          <t>A33.1140~Bảo ôn ống uPVC D21 dày 13mm~m~0.46~101~0~16100~0~1~1~0~17710~BongKhoang~Báo giá BKRE~0žZ999~Vật liệu khác~%~0.1~0.1~0~16261~0~1~1~0~0~VatLieuKhac~~0</t>
        </is>
      </c>
      <c r="AG53" s="8" t="inlineStr">
        <is>
          <t>N3~Nhân công nhóm 3~công~7.98~7.98~0~427000~0~1~1~0~0~N3~Được tính toán, rồi Link từ sheet Nhân công sang~0</t>
        </is>
      </c>
      <c r="AH53" s="8" t="inlineStr"/>
      <c r="AI53" s="8" t="inlineStr"/>
      <c r="AJ53" s="8" t="inlineStr"/>
      <c r="AK53" s="8" t="inlineStr"/>
      <c r="AL53" s="8" t="inlineStr"/>
      <c r="AM53" s="8" t="inlineStr"/>
      <c r="AN53" s="8" t="inlineStr">
        <is>
          <t>DinhMucBoXD</t>
        </is>
      </c>
    </row>
    <row r="54">
      <c r="A54" s="8" t="n">
        <v>25</v>
      </c>
      <c r="B54" s="8" t="inlineStr"/>
      <c r="C54" s="11" t="inlineStr">
        <is>
          <t>BC.13103</t>
        </is>
      </c>
      <c r="D54" s="8" t="inlineStr"/>
      <c r="E54" s="8" t="inlineStr">
        <is>
          <t>BC.13103</t>
        </is>
      </c>
      <c r="F54" s="8" t="inlineStr">
        <is>
          <t>Bảo ôn ống uPVC D27 dày 13mm</t>
        </is>
      </c>
      <c r="G54" s="12">
        <f>HYPERLINK("tt38://pl3/204", "👉 Phụ lục III - Trang 204 (Khớp nhóm BC.1310)")</f>
        <v/>
      </c>
      <c r="H54" s="8" t="inlineStr">
        <is>
          <t>100m</t>
        </is>
      </c>
      <c r="I54" s="8" t="inlineStr"/>
      <c r="J54" s="8" t="inlineStr"/>
      <c r="K54" s="8" t="inlineStr"/>
      <c r="L54" s="8" t="inlineStr"/>
      <c r="M54" s="8" t="inlineStr"/>
      <c r="N54" s="8" t="inlineStr"/>
      <c r="O54" s="8" t="inlineStr"/>
      <c r="P54" s="8" t="inlineStr"/>
      <c r="Q54" s="8" t="n">
        <v>17.6</v>
      </c>
      <c r="R54" s="8" t="inlineStr"/>
      <c r="S54" s="8" t="inlineStr"/>
      <c r="T54" s="8" t="inlineStr"/>
      <c r="U54" s="8" t="inlineStr"/>
      <c r="V54" s="8" t="n">
        <v>0</v>
      </c>
      <c r="W54" s="8" t="n">
        <v>0</v>
      </c>
      <c r="X54" s="8" t="n">
        <v>0</v>
      </c>
      <c r="Y54" s="8" t="n">
        <v>0</v>
      </c>
      <c r="Z54" s="8" t="inlineStr"/>
      <c r="AA54" s="8" t="inlineStr"/>
      <c r="AB54" s="8" t="inlineStr"/>
      <c r="AC54" s="8" t="inlineStr"/>
      <c r="AD54" s="8" t="inlineStr">
        <is>
          <t>Định mức 38/2026/TT-BXD - Phần LD</t>
        </is>
      </c>
      <c r="AE54" s="8" t="inlineStr">
        <is>
          <t>GM38_2026</t>
        </is>
      </c>
      <c r="AF54" s="8" t="inlineStr">
        <is>
          <t>A33.1140~Bảo ôn ống uPVC D27 dày 13mm~m~0.51~101~0~19500~0~1~1~0~21450~BongKhoang~Báo giá BKRE~0žZ999~Vật liệu khác~%~0.1~0.1~0~19695~0~1~1~0~0~VatLieuKhac~~0</t>
        </is>
      </c>
      <c r="AG54" s="8" t="inlineStr">
        <is>
          <t>N3~Nhân công nhóm 3~công~8.56~8.56~0~427000~0~1~1~0~0~N3~Được tính toán, rồi Link từ sheet Nhân công sang~0</t>
        </is>
      </c>
      <c r="AH54" s="8" t="inlineStr"/>
      <c r="AI54" s="8" t="inlineStr"/>
      <c r="AJ54" s="8" t="inlineStr"/>
      <c r="AK54" s="8" t="inlineStr"/>
      <c r="AL54" s="8" t="inlineStr"/>
      <c r="AM54" s="8" t="inlineStr"/>
      <c r="AN54" s="8" t="inlineStr">
        <is>
          <t>DinhMucBoXD</t>
        </is>
      </c>
    </row>
    <row r="55">
      <c r="A55" s="8" t="n">
        <v>26</v>
      </c>
      <c r="B55" s="8" t="inlineStr"/>
      <c r="C55" s="11" t="inlineStr">
        <is>
          <t>BC.13104</t>
        </is>
      </c>
      <c r="D55" s="8" t="inlineStr"/>
      <c r="E55" s="8" t="inlineStr">
        <is>
          <t>BC.13104</t>
        </is>
      </c>
      <c r="F55" s="8" t="inlineStr">
        <is>
          <t>Bảo ôn ống uPVC D34 dày 13mm</t>
        </is>
      </c>
      <c r="G55" s="12">
        <f>HYPERLINK("tt38://pl3/204", "👉 Phụ lục III - Trang 204 (Khớp nhóm BC.1310)")</f>
        <v/>
      </c>
      <c r="H55" s="8" t="inlineStr">
        <is>
          <t>100m</t>
        </is>
      </c>
      <c r="I55" s="8" t="inlineStr"/>
      <c r="J55" s="8" t="inlineStr"/>
      <c r="K55" s="8" t="inlineStr"/>
      <c r="L55" s="8" t="inlineStr"/>
      <c r="M55" s="8" t="inlineStr"/>
      <c r="N55" s="8" t="inlineStr"/>
      <c r="O55" s="8" t="inlineStr"/>
      <c r="P55" s="8" t="inlineStr"/>
      <c r="Q55" s="8" t="n">
        <v>3</v>
      </c>
      <c r="R55" s="8" t="inlineStr"/>
      <c r="S55" s="8" t="inlineStr"/>
      <c r="T55" s="8" t="inlineStr"/>
      <c r="U55" s="8" t="inlineStr"/>
      <c r="V55" s="8" t="n">
        <v>0</v>
      </c>
      <c r="W55" s="8" t="n">
        <v>0</v>
      </c>
      <c r="X55" s="8" t="n">
        <v>0</v>
      </c>
      <c r="Y55" s="8" t="n">
        <v>0</v>
      </c>
      <c r="Z55" s="8" t="inlineStr"/>
      <c r="AA55" s="8" t="inlineStr"/>
      <c r="AB55" s="8" t="inlineStr"/>
      <c r="AC55" s="8" t="inlineStr"/>
      <c r="AD55" s="8" t="inlineStr">
        <is>
          <t>Định mức 38/2026/TT-BXD - Phần LD</t>
        </is>
      </c>
      <c r="AE55" s="8" t="inlineStr">
        <is>
          <t>GM38_2026</t>
        </is>
      </c>
      <c r="AF55" s="8" t="inlineStr">
        <is>
          <t>A33.1140~Bảo ôn ống uPVC D34 dày 13mm~m~0.58~101~0~22900~0~1~1~0~25190~BongKhoang~Báo giá BKRE~0žZ999~Vật liệu khác~%~0.1~0.1~0~23129~0~1~1~0~0~VatLieuKhac~~0</t>
        </is>
      </c>
      <c r="AG55" s="8" t="inlineStr">
        <is>
          <t>N3~Nhân công nhóm 3~công~9.1~9.1~0~427000~0~1~1~0~0~N3~Được tính toán, rồi Link từ sheet Nhân công sang~0</t>
        </is>
      </c>
      <c r="AH55" s="8" t="inlineStr"/>
      <c r="AI55" s="8" t="inlineStr"/>
      <c r="AJ55" s="8" t="inlineStr"/>
      <c r="AK55" s="8" t="inlineStr"/>
      <c r="AL55" s="8" t="inlineStr"/>
      <c r="AM55" s="8" t="inlineStr"/>
      <c r="AN55" s="8" t="inlineStr">
        <is>
          <t>DinhMucBoXD</t>
        </is>
      </c>
    </row>
    <row r="56">
      <c r="A56" s="8" t="n">
        <v>27</v>
      </c>
      <c r="B56" s="8" t="inlineStr"/>
      <c r="C56" s="11" t="inlineStr">
        <is>
          <t>BC.13105</t>
        </is>
      </c>
      <c r="D56" s="8" t="inlineStr"/>
      <c r="E56" s="8" t="inlineStr">
        <is>
          <t>BC.13105</t>
        </is>
      </c>
      <c r="F56" s="8" t="inlineStr">
        <is>
          <t>Bảo ôn ống uPVC D42 dày 13mm</t>
        </is>
      </c>
      <c r="G56" s="12">
        <f>HYPERLINK("tt38://pl3/204", "👉 Phụ lục III - Trang 204 (Khớp nhóm BC.1310)")</f>
        <v/>
      </c>
      <c r="H56" s="8" t="inlineStr">
        <is>
          <t>100m</t>
        </is>
      </c>
      <c r="I56" s="8" t="inlineStr"/>
      <c r="J56" s="8" t="inlineStr"/>
      <c r="K56" s="8" t="inlineStr"/>
      <c r="L56" s="8" t="inlineStr"/>
      <c r="M56" s="8" t="inlineStr"/>
      <c r="N56" s="8" t="inlineStr"/>
      <c r="O56" s="8" t="inlineStr"/>
      <c r="P56" s="8" t="inlineStr"/>
      <c r="Q56" s="8" t="n">
        <v>3</v>
      </c>
      <c r="R56" s="8" t="inlineStr"/>
      <c r="S56" s="8" t="inlineStr"/>
      <c r="T56" s="8" t="inlineStr"/>
      <c r="U56" s="8" t="inlineStr"/>
      <c r="V56" s="8" t="n">
        <v>0</v>
      </c>
      <c r="W56" s="8" t="n">
        <v>0</v>
      </c>
      <c r="X56" s="8" t="n">
        <v>0</v>
      </c>
      <c r="Y56" s="8" t="n">
        <v>0</v>
      </c>
      <c r="Z56" s="8" t="inlineStr"/>
      <c r="AA56" s="8" t="inlineStr"/>
      <c r="AB56" s="8" t="inlineStr"/>
      <c r="AC56" s="8" t="inlineStr"/>
      <c r="AD56" s="8" t="inlineStr">
        <is>
          <t>Định mức 38/2026/TT-BXD - Phần LD</t>
        </is>
      </c>
      <c r="AE56" s="8" t="inlineStr">
        <is>
          <t>GM38_2026</t>
        </is>
      </c>
      <c r="AF56" s="8" t="inlineStr">
        <is>
          <t>A33.1140~Bảo ôn ống uPVC D42 dày 13mm~m~0.65~101~0~29200~0~1~1~0~32120~BongKhoang~Báo giá BKRE~0žZ999~Vật liệu khác~%~0.1~0.1~0~29492~0~1~1~0~0~VatLieuKhac~~0</t>
        </is>
      </c>
      <c r="AG56" s="8" t="inlineStr">
        <is>
          <t>N3~Nhân công nhóm 3~công~10~10~0~427000~0~1~1~0~0~N3~Được tính toán, rồi Link từ sheet Nhân công sang~0</t>
        </is>
      </c>
      <c r="AH56" s="8" t="inlineStr"/>
      <c r="AI56" s="8" t="inlineStr"/>
      <c r="AJ56" s="8" t="inlineStr"/>
      <c r="AK56" s="8" t="inlineStr"/>
      <c r="AL56" s="8" t="inlineStr"/>
      <c r="AM56" s="8" t="inlineStr"/>
      <c r="AN56" s="8" t="inlineStr">
        <is>
          <t>DinhMucBoXD</t>
        </is>
      </c>
    </row>
    <row r="57">
      <c r="A57" s="8" t="n">
        <v>28</v>
      </c>
      <c r="B57" s="8" t="inlineStr"/>
      <c r="C57" s="11" t="inlineStr">
        <is>
          <t>BC.13106</t>
        </is>
      </c>
      <c r="D57" s="8" t="inlineStr"/>
      <c r="E57" s="8" t="inlineStr">
        <is>
          <t>BC.13106</t>
        </is>
      </c>
      <c r="F57" s="8" t="inlineStr">
        <is>
          <t>Bảo ôn ống uPVC D48 dày 13mm</t>
        </is>
      </c>
      <c r="G57" s="12">
        <f>HYPERLINK("tt38://pl3/204", "👉 Phụ lục III - Trang 204 (Khớp nhóm BC.1310)")</f>
        <v/>
      </c>
      <c r="H57" s="8" t="inlineStr">
        <is>
          <t>100m</t>
        </is>
      </c>
      <c r="I57" s="8" t="inlineStr"/>
      <c r="J57" s="8" t="inlineStr"/>
      <c r="K57" s="8" t="inlineStr"/>
      <c r="L57" s="8" t="inlineStr"/>
      <c r="M57" s="8" t="inlineStr"/>
      <c r="N57" s="8" t="inlineStr"/>
      <c r="O57" s="8" t="inlineStr"/>
      <c r="P57" s="8" t="inlineStr"/>
      <c r="Q57" s="8" t="n">
        <v>2.5</v>
      </c>
      <c r="R57" s="8" t="inlineStr"/>
      <c r="S57" s="8" t="inlineStr"/>
      <c r="T57" s="8" t="inlineStr"/>
      <c r="U57" s="8" t="inlineStr"/>
      <c r="V57" s="8" t="n">
        <v>0</v>
      </c>
      <c r="W57" s="8" t="n">
        <v>0</v>
      </c>
      <c r="X57" s="8" t="n">
        <v>0</v>
      </c>
      <c r="Y57" s="8" t="n">
        <v>0</v>
      </c>
      <c r="Z57" s="8" t="inlineStr"/>
      <c r="AA57" s="8" t="inlineStr"/>
      <c r="AB57" s="8" t="inlineStr"/>
      <c r="AC57" s="8" t="inlineStr"/>
      <c r="AD57" s="8" t="inlineStr">
        <is>
          <t>Định mức 38/2026/TT-BXD - Phần LD</t>
        </is>
      </c>
      <c r="AE57" s="8" t="inlineStr">
        <is>
          <t>GM38_2026</t>
        </is>
      </c>
      <c r="AF57" s="8" t="inlineStr">
        <is>
          <t>A33.1140~Bảo ôn ống uPVC D48 dày 13mm~m~0.75~101~0~32100~0~1~1~0~35310~BongKhoang~Báo giá BKRE~0žZ999~Vật liệu khác~%~0.1~0.1~0~32421~0~1~1~0~0~VatLieuKhac~~0</t>
        </is>
      </c>
      <c r="AG57" s="8" t="inlineStr">
        <is>
          <t>N3~Nhân công nhóm 3~công~10.6~10.6~0~427000~0~1~1~0~0~N3~Được tính toán, rồi Link từ sheet Nhân công sang~0</t>
        </is>
      </c>
      <c r="AH57" s="8" t="inlineStr"/>
      <c r="AI57" s="8" t="inlineStr"/>
      <c r="AJ57" s="8" t="inlineStr"/>
      <c r="AK57" s="8" t="inlineStr"/>
      <c r="AL57" s="8" t="inlineStr"/>
      <c r="AM57" s="8" t="inlineStr"/>
      <c r="AN57" s="8" t="inlineStr">
        <is>
          <t>DinhMucBoXD</t>
        </is>
      </c>
    </row>
    <row r="58">
      <c r="A58" s="8" t="inlineStr"/>
      <c r="B58" s="8" t="inlineStr"/>
      <c r="C58" s="8" t="inlineStr"/>
      <c r="D58" s="8" t="inlineStr"/>
      <c r="E58" s="8" t="inlineStr">
        <is>
          <t>T*</t>
        </is>
      </c>
      <c r="F58" s="8" t="inlineStr">
        <is>
          <t>Tổng: Ống nước ngưng</t>
        </is>
      </c>
      <c r="H58" s="8" t="inlineStr"/>
      <c r="I58" s="8" t="inlineStr"/>
      <c r="J58" s="8" t="inlineStr"/>
      <c r="K58" s="8" t="inlineStr"/>
      <c r="L58" s="8" t="inlineStr"/>
      <c r="M58" s="8" t="inlineStr"/>
      <c r="N58" s="8" t="inlineStr"/>
      <c r="O58" s="8" t="inlineStr"/>
      <c r="P58" s="8" t="inlineStr"/>
      <c r="Q58" s="8" t="inlineStr"/>
      <c r="R58" s="8" t="inlineStr"/>
      <c r="S58" s="8" t="inlineStr"/>
      <c r="T58" s="8" t="inlineStr"/>
      <c r="U58" s="8" t="inlineStr"/>
      <c r="V58" s="8" t="n">
        <v>0</v>
      </c>
      <c r="W58" s="8" t="n">
        <v>0</v>
      </c>
      <c r="X58" s="8" t="n">
        <v>0</v>
      </c>
      <c r="Y58" s="8" t="n">
        <v>0</v>
      </c>
      <c r="Z58" s="8" t="inlineStr"/>
      <c r="AA58" s="8" t="inlineStr"/>
      <c r="AB58" s="8" t="inlineStr"/>
      <c r="AC58" s="8" t="inlineStr"/>
      <c r="AD58" s="8" t="inlineStr"/>
      <c r="AE58" s="8" t="inlineStr"/>
      <c r="AF58" s="8" t="inlineStr"/>
      <c r="AG58" s="8" t="inlineStr"/>
      <c r="AH58" s="8" t="inlineStr"/>
      <c r="AI58" s="8" t="inlineStr"/>
      <c r="AJ58" s="8" t="inlineStr"/>
      <c r="AK58" s="8" t="inlineStr"/>
      <c r="AL58" s="8" t="inlineStr"/>
      <c r="AM58" s="8" t="inlineStr"/>
      <c r="AN58" s="8" t="inlineStr"/>
    </row>
    <row r="59">
      <c r="A59" s="8" t="inlineStr"/>
      <c r="B59" s="8" t="inlineStr"/>
      <c r="C59" s="8" t="inlineStr"/>
      <c r="D59" s="8" t="inlineStr"/>
      <c r="E59" s="8" t="inlineStr">
        <is>
          <t>*</t>
        </is>
      </c>
      <c r="F59" s="8" t="inlineStr">
        <is>
          <t>Dây điện</t>
        </is>
      </c>
      <c r="H59" s="8" t="inlineStr"/>
      <c r="I59" s="8" t="inlineStr"/>
      <c r="J59" s="8" t="inlineStr"/>
      <c r="K59" s="8" t="inlineStr"/>
      <c r="L59" s="8" t="inlineStr"/>
      <c r="M59" s="8" t="inlineStr"/>
      <c r="N59" s="8" t="inlineStr"/>
      <c r="O59" s="8" t="inlineStr"/>
      <c r="P59" s="8" t="inlineStr"/>
      <c r="Q59" s="8" t="inlineStr"/>
      <c r="R59" s="8" t="inlineStr"/>
      <c r="S59" s="8" t="inlineStr"/>
      <c r="T59" s="8" t="inlineStr"/>
      <c r="U59" s="8" t="inlineStr"/>
      <c r="V59" s="8" t="inlineStr"/>
      <c r="W59" s="8" t="inlineStr"/>
      <c r="X59" s="8" t="inlineStr"/>
      <c r="Y59" s="8" t="inlineStr"/>
      <c r="Z59" s="8" t="inlineStr"/>
      <c r="AA59" s="8" t="inlineStr"/>
      <c r="AB59" s="8" t="inlineStr"/>
      <c r="AC59" s="8" t="inlineStr"/>
      <c r="AD59" s="8" t="inlineStr"/>
      <c r="AE59" s="8" t="inlineStr"/>
      <c r="AF59" s="8" t="inlineStr"/>
      <c r="AG59" s="8" t="inlineStr"/>
      <c r="AH59" s="8" t="inlineStr"/>
      <c r="AI59" s="8" t="inlineStr"/>
      <c r="AJ59" s="8" t="inlineStr"/>
      <c r="AK59" s="8" t="inlineStr"/>
      <c r="AL59" s="8" t="inlineStr"/>
      <c r="AM59" s="8" t="inlineStr"/>
      <c r="AN59" s="8" t="inlineStr"/>
    </row>
    <row r="60">
      <c r="A60" s="8" t="n">
        <v>29</v>
      </c>
      <c r="B60" s="8" t="inlineStr"/>
      <c r="C60" s="11" t="inlineStr">
        <is>
          <t>BA.16201</t>
        </is>
      </c>
      <c r="D60" s="8" t="inlineStr"/>
      <c r="E60" s="8" t="inlineStr">
        <is>
          <t>BA.16201</t>
        </is>
      </c>
      <c r="F60" s="8" t="inlineStr">
        <is>
          <t>Dây điện_Cu/PVC_2x(1x0.75)mm2</t>
        </is>
      </c>
      <c r="G60" s="12">
        <f>HYPERLINK("tt38://pl3/14", "👉 Phụ lục III - Trang 14 (Khớp nhóm BA.1620)")</f>
        <v/>
      </c>
      <c r="H60" s="8" t="inlineStr">
        <is>
          <t>m</t>
        </is>
      </c>
      <c r="I60" s="8" t="inlineStr"/>
      <c r="J60" s="8" t="inlineStr"/>
      <c r="K60" s="8" t="inlineStr"/>
      <c r="L60" s="8" t="inlineStr"/>
      <c r="M60" s="8" t="inlineStr"/>
      <c r="N60" s="8" t="inlineStr"/>
      <c r="O60" s="8" t="inlineStr"/>
      <c r="P60" s="8" t="inlineStr"/>
      <c r="Q60" s="8" t="n">
        <v>1300</v>
      </c>
      <c r="R60" s="8" t="inlineStr"/>
      <c r="S60" s="8" t="inlineStr"/>
      <c r="T60" s="8" t="inlineStr"/>
      <c r="U60" s="8" t="inlineStr"/>
      <c r="V60" s="8" t="n">
        <v>0</v>
      </c>
      <c r="W60" s="8" t="n">
        <v>0</v>
      </c>
      <c r="X60" s="8" t="n">
        <v>0</v>
      </c>
      <c r="Y60" s="8" t="n">
        <v>0</v>
      </c>
      <c r="Z60" s="8" t="inlineStr"/>
      <c r="AA60" s="8" t="inlineStr"/>
      <c r="AB60" s="8" t="inlineStr"/>
      <c r="AC60" s="8" t="inlineStr"/>
      <c r="AD60" s="8" t="inlineStr">
        <is>
          <t>Định mức 38/2026/TT-BXD - Phần LD</t>
        </is>
      </c>
      <c r="AE60" s="8" t="inlineStr">
        <is>
          <t>GM38_2026</t>
        </is>
      </c>
      <c r="AF60" s="8" t="inlineStr">
        <is>
          <t>A33.0074~Dây điện_Cu/PVC_2x(1x0.75)mm2~m~1.01~1.01~0~8658~0~1~1~0~9523.8~DayDanDien2x1~CBG quý 2/2026~0žZ999~Vật liệu khác~%~3~3~0~87.4458~0~1~1~0~0~VatLieuKhac~~0</t>
        </is>
      </c>
      <c r="AG60" s="8" t="inlineStr">
        <is>
          <t>N3~Nhân công nhóm 3~công~0.023~0.023~0~427000~0~1~1~0~0~N3~Được tính toán, rồi Link từ sheet Nhân công sang~0</t>
        </is>
      </c>
      <c r="AH60" s="8" t="inlineStr"/>
      <c r="AI60" s="8" t="inlineStr"/>
      <c r="AJ60" s="8" t="inlineStr"/>
      <c r="AK60" s="8" t="inlineStr"/>
      <c r="AL60" s="8" t="inlineStr"/>
      <c r="AM60" s="8" t="inlineStr"/>
      <c r="AN60" s="8" t="inlineStr">
        <is>
          <t>DinhMucBoXD</t>
        </is>
      </c>
    </row>
    <row r="61">
      <c r="A61" s="8" t="n">
        <v>30</v>
      </c>
      <c r="B61" s="8" t="inlineStr"/>
      <c r="C61" s="11" t="inlineStr">
        <is>
          <t>BA.16202</t>
        </is>
      </c>
      <c r="D61" s="8" t="inlineStr"/>
      <c r="E61" s="8" t="inlineStr">
        <is>
          <t>BA.16202</t>
        </is>
      </c>
      <c r="F61" s="8" t="inlineStr">
        <is>
          <t>Dây điện_Cu/PVC_2x(1x1.5)mm2</t>
        </is>
      </c>
      <c r="G61" s="12">
        <f>HYPERLINK("tt38://pl3/14", "👉 Phụ lục III - Trang 14 (Khớp nhóm BA.1620)")</f>
        <v/>
      </c>
      <c r="H61" s="8" t="inlineStr">
        <is>
          <t>m</t>
        </is>
      </c>
      <c r="I61" s="8" t="inlineStr"/>
      <c r="J61" s="8" t="inlineStr"/>
      <c r="K61" s="8" t="inlineStr"/>
      <c r="L61" s="8" t="inlineStr"/>
      <c r="M61" s="8" t="inlineStr"/>
      <c r="N61" s="8" t="inlineStr"/>
      <c r="O61" s="8" t="inlineStr"/>
      <c r="P61" s="8" t="inlineStr"/>
      <c r="Q61" s="8" t="n">
        <v>4660</v>
      </c>
      <c r="R61" s="8" t="inlineStr"/>
      <c r="S61" s="8" t="inlineStr"/>
      <c r="T61" s="8" t="inlineStr"/>
      <c r="U61" s="8" t="inlineStr"/>
      <c r="V61" s="8" t="n">
        <v>0</v>
      </c>
      <c r="W61" s="8" t="n">
        <v>0</v>
      </c>
      <c r="X61" s="8" t="n">
        <v>0</v>
      </c>
      <c r="Y61" s="8" t="n">
        <v>0</v>
      </c>
      <c r="Z61" s="8" t="inlineStr"/>
      <c r="AA61" s="8" t="inlineStr"/>
      <c r="AB61" s="8" t="inlineStr"/>
      <c r="AC61" s="8" t="inlineStr"/>
      <c r="AD61" s="8" t="inlineStr">
        <is>
          <t>Định mức 38/2026/TT-BXD - Phần LD</t>
        </is>
      </c>
      <c r="AE61" s="8" t="inlineStr">
        <is>
          <t>GM38_2026</t>
        </is>
      </c>
      <c r="AF61" s="8" t="inlineStr">
        <is>
          <t>A33.0075~Dây điện_Cu/PVC_2x(1x1.5)mm2~m~1.01~1.01~0~15055~0~1~1~0~16560.5~DayDanDien2x4~CBG quý 2/2026~0žZ999~Vật liệu khác~%~3~3~0~152.0555~0~1~1~0~0~VatLieuKhac~~0</t>
        </is>
      </c>
      <c r="AG61" s="8" t="inlineStr">
        <is>
          <t>N3~Nhân công nhóm 3~công~0.028~0.028~0~427000~0~1~1~0~0~N3~Được tính toán, rồi Link từ sheet Nhân công sang~0</t>
        </is>
      </c>
      <c r="AH61" s="8" t="inlineStr"/>
      <c r="AI61" s="8" t="inlineStr"/>
      <c r="AJ61" s="8" t="inlineStr"/>
      <c r="AK61" s="8" t="inlineStr"/>
      <c r="AL61" s="8" t="inlineStr"/>
      <c r="AM61" s="8" t="inlineStr"/>
      <c r="AN61" s="8" t="inlineStr">
        <is>
          <t>DinhMucBoXD</t>
        </is>
      </c>
    </row>
    <row r="62">
      <c r="A62" s="8" t="n">
        <v>31</v>
      </c>
      <c r="B62" s="8" t="inlineStr"/>
      <c r="C62" s="11" t="inlineStr">
        <is>
          <t>BA.16202</t>
        </is>
      </c>
      <c r="D62" s="8" t="inlineStr"/>
      <c r="E62" s="8" t="inlineStr">
        <is>
          <t>BA.16202</t>
        </is>
      </c>
      <c r="F62" s="8" t="inlineStr">
        <is>
          <t>Dây điện_Cu/PVC_2x(1x2.5)mm2</t>
        </is>
      </c>
      <c r="G62" s="12">
        <f>HYPERLINK("tt38://pl3/14", "👉 Phụ lục III - Trang 14 (Khớp nhóm BA.1620)")</f>
        <v/>
      </c>
      <c r="H62" s="8" t="inlineStr">
        <is>
          <t>m</t>
        </is>
      </c>
      <c r="I62" s="8" t="inlineStr"/>
      <c r="J62" s="8" t="inlineStr"/>
      <c r="K62" s="8" t="inlineStr"/>
      <c r="L62" s="8" t="inlineStr"/>
      <c r="M62" s="8" t="inlineStr"/>
      <c r="N62" s="8" t="inlineStr"/>
      <c r="O62" s="8" t="inlineStr"/>
      <c r="P62" s="8" t="inlineStr"/>
      <c r="Q62" s="8" t="n">
        <v>4660</v>
      </c>
      <c r="R62" s="8" t="inlineStr"/>
      <c r="S62" s="8" t="inlineStr"/>
      <c r="T62" s="8" t="inlineStr"/>
      <c r="U62" s="8" t="inlineStr"/>
      <c r="V62" s="8" t="n">
        <v>0</v>
      </c>
      <c r="W62" s="8" t="n">
        <v>0</v>
      </c>
      <c r="X62" s="8" t="n">
        <v>0</v>
      </c>
      <c r="Y62" s="8" t="n">
        <v>0</v>
      </c>
      <c r="Z62" s="8" t="inlineStr"/>
      <c r="AA62" s="8" t="inlineStr"/>
      <c r="AB62" s="8" t="inlineStr"/>
      <c r="AC62" s="8" t="inlineStr"/>
      <c r="AD62" s="8" t="inlineStr">
        <is>
          <t>Định mức 38/2026/TT-BXD - Phần LD</t>
        </is>
      </c>
      <c r="AE62" s="8" t="inlineStr">
        <is>
          <t>GM38_2026</t>
        </is>
      </c>
      <c r="AF62" s="8" t="inlineStr">
        <is>
          <t>A33.0075~Dây điện_Cu/PVC_2x(1x2.5)mm2~m~1.01~1.01~0~24591~0~1~1~0~27050.1~DayDanDien2x4~CBG quý 2/2026~0žZ999~Vật liệu khác~%~3~3~0~248.3691~0~1~1~0~0~VatLieuKhac~~0</t>
        </is>
      </c>
      <c r="AG62" s="8" t="inlineStr">
        <is>
          <t>N3~Nhân công nhóm 3~công~0.028~0.028~0~427000~0~1~1~0~0~N3~Được tính toán, rồi Link từ sheet Nhân công sang~0</t>
        </is>
      </c>
      <c r="AH62" s="8" t="inlineStr"/>
      <c r="AI62" s="8" t="inlineStr"/>
      <c r="AJ62" s="8" t="inlineStr"/>
      <c r="AK62" s="8" t="inlineStr"/>
      <c r="AL62" s="8" t="inlineStr"/>
      <c r="AM62" s="8" t="inlineStr"/>
      <c r="AN62" s="8" t="inlineStr">
        <is>
          <t>DinhMucBoXD</t>
        </is>
      </c>
    </row>
    <row r="63">
      <c r="A63" s="8" t="n">
        <v>32</v>
      </c>
      <c r="B63" s="8" t="inlineStr"/>
      <c r="C63" s="11" t="inlineStr">
        <is>
          <t>BA.16202</t>
        </is>
      </c>
      <c r="D63" s="8" t="inlineStr"/>
      <c r="E63" s="8" t="inlineStr">
        <is>
          <t>BA.16202</t>
        </is>
      </c>
      <c r="F63" s="8" t="inlineStr">
        <is>
          <t>Dây điện_Cu/PVC_2x(1x4.0)mm2</t>
        </is>
      </c>
      <c r="G63" s="12">
        <f>HYPERLINK("tt38://pl3/14", "👉 Phụ lục III - Trang 14 (Khớp nhóm BA.1620)")</f>
        <v/>
      </c>
      <c r="H63" s="8" t="inlineStr">
        <is>
          <t>m</t>
        </is>
      </c>
      <c r="I63" s="8" t="inlineStr"/>
      <c r="J63" s="8" t="inlineStr"/>
      <c r="K63" s="8" t="inlineStr"/>
      <c r="L63" s="8" t="inlineStr"/>
      <c r="M63" s="8" t="inlineStr"/>
      <c r="N63" s="8" t="inlineStr"/>
      <c r="O63" s="8" t="inlineStr"/>
      <c r="P63" s="8" t="inlineStr"/>
      <c r="Q63" s="8" t="n">
        <v>4000</v>
      </c>
      <c r="R63" s="8" t="inlineStr"/>
      <c r="S63" s="8" t="inlineStr"/>
      <c r="T63" s="8" t="inlineStr"/>
      <c r="U63" s="8" t="inlineStr"/>
      <c r="V63" s="8" t="n">
        <v>0</v>
      </c>
      <c r="W63" s="8" t="n">
        <v>0</v>
      </c>
      <c r="X63" s="8" t="n">
        <v>0</v>
      </c>
      <c r="Y63" s="8" t="n">
        <v>0</v>
      </c>
      <c r="Z63" s="8" t="inlineStr"/>
      <c r="AA63" s="8" t="inlineStr"/>
      <c r="AB63" s="8" t="inlineStr"/>
      <c r="AC63" s="8" t="inlineStr"/>
      <c r="AD63" s="8" t="inlineStr">
        <is>
          <t>Định mức 38/2026/TT-BXD - Phần LD</t>
        </is>
      </c>
      <c r="AE63" s="8" t="inlineStr">
        <is>
          <t>GM38_2026</t>
        </is>
      </c>
      <c r="AF63" s="8" t="inlineStr">
        <is>
          <t>A33.0075~Dây điện_Cu/PVC_2x(1x4.0)mm2~m~1.01~1.01~0~39292~0~1~1~0~43221.2~DayDanDien2x4~CBG quý 2/2026~0žZ999~Vật liệu khác~%~3~3~0~396.8492~0~1~1~0~0~VatLieuKhac~~0</t>
        </is>
      </c>
      <c r="AG63" s="8" t="inlineStr">
        <is>
          <t>N3~Nhân công nhóm 3~công~0.028~0.028~0~427000~0~1~1~0~0~N3~Được tính toán, rồi Link từ sheet Nhân công sang~0</t>
        </is>
      </c>
      <c r="AH63" s="8" t="inlineStr"/>
      <c r="AI63" s="8" t="inlineStr"/>
      <c r="AJ63" s="8" t="inlineStr"/>
      <c r="AK63" s="8" t="inlineStr"/>
      <c r="AL63" s="8" t="inlineStr"/>
      <c r="AM63" s="8" t="inlineStr"/>
      <c r="AN63" s="8" t="inlineStr">
        <is>
          <t>DinhMucBoXD</t>
        </is>
      </c>
    </row>
    <row r="64">
      <c r="A64" s="8" t="inlineStr"/>
      <c r="B64" s="8" t="inlineStr"/>
      <c r="C64" s="8" t="inlineStr"/>
      <c r="D64" s="8" t="inlineStr"/>
      <c r="E64" s="8" t="inlineStr">
        <is>
          <t>T*</t>
        </is>
      </c>
      <c r="F64" s="8" t="inlineStr">
        <is>
          <t>Tổng: Dây điện</t>
        </is>
      </c>
      <c r="H64" s="8" t="inlineStr"/>
      <c r="I64" s="8" t="inlineStr"/>
      <c r="J64" s="8" t="inlineStr"/>
      <c r="K64" s="8" t="inlineStr"/>
      <c r="L64" s="8" t="inlineStr"/>
      <c r="M64" s="8" t="inlineStr"/>
      <c r="N64" s="8" t="inlineStr"/>
      <c r="O64" s="8" t="inlineStr"/>
      <c r="P64" s="8" t="inlineStr"/>
      <c r="Q64" s="8" t="inlineStr"/>
      <c r="R64" s="8" t="inlineStr"/>
      <c r="S64" s="8" t="inlineStr"/>
      <c r="T64" s="8" t="inlineStr"/>
      <c r="U64" s="8" t="inlineStr"/>
      <c r="V64" s="8" t="n">
        <v>0</v>
      </c>
      <c r="W64" s="8" t="n">
        <v>0</v>
      </c>
      <c r="X64" s="8" t="n">
        <v>0</v>
      </c>
      <c r="Y64" s="8" t="n">
        <v>0</v>
      </c>
      <c r="Z64" s="8" t="inlineStr"/>
      <c r="AA64" s="8" t="inlineStr"/>
      <c r="AB64" s="8" t="inlineStr"/>
      <c r="AC64" s="8" t="inlineStr"/>
      <c r="AD64" s="8" t="inlineStr"/>
      <c r="AE64" s="8" t="inlineStr"/>
      <c r="AF64" s="8" t="inlineStr"/>
      <c r="AG64" s="8" t="inlineStr"/>
      <c r="AH64" s="8" t="inlineStr"/>
      <c r="AI64" s="8" t="inlineStr"/>
      <c r="AJ64" s="8" t="inlineStr"/>
      <c r="AK64" s="8" t="inlineStr"/>
      <c r="AL64" s="8" t="inlineStr"/>
      <c r="AM64" s="8" t="inlineStr"/>
      <c r="AN64" s="8" t="inlineStr"/>
    </row>
    <row r="65">
      <c r="A65" s="8" t="inlineStr"/>
      <c r="B65" s="8" t="inlineStr"/>
      <c r="C65" s="8" t="inlineStr"/>
      <c r="D65" s="8" t="inlineStr"/>
      <c r="E65" s="8" t="inlineStr">
        <is>
          <t>THM</t>
        </is>
      </c>
      <c r="F65" s="8" t="inlineStr">
        <is>
          <t>Tổng cộng: HẠNG MỤC: ĐIỀU HÒA KHÔNG KHÍ &amp; THÔNG GIÓ - VẬT TƯ XÂY LẮP</t>
        </is>
      </c>
      <c r="H65" s="8" t="inlineStr"/>
      <c r="I65" s="8" t="inlineStr"/>
      <c r="J65" s="8" t="inlineStr"/>
      <c r="K65" s="8" t="inlineStr"/>
      <c r="L65" s="8" t="inlineStr"/>
      <c r="M65" s="8" t="inlineStr"/>
      <c r="N65" s="8" t="inlineStr"/>
      <c r="O65" s="8" t="inlineStr"/>
      <c r="P65" s="8" t="inlineStr"/>
      <c r="Q65" s="8" t="inlineStr"/>
      <c r="R65" s="8" t="inlineStr"/>
      <c r="S65" s="8" t="inlineStr"/>
      <c r="T65" s="8" t="inlineStr"/>
      <c r="U65" s="8" t="inlineStr"/>
      <c r="V65" s="8" t="n">
        <v>0</v>
      </c>
      <c r="W65" s="8" t="n">
        <v>0</v>
      </c>
      <c r="X65" s="8" t="n">
        <v>0</v>
      </c>
      <c r="Y65" s="8" t="n">
        <v>0</v>
      </c>
      <c r="Z65" s="8" t="inlineStr"/>
      <c r="AA65" s="8" t="inlineStr"/>
      <c r="AB65" s="8" t="inlineStr"/>
      <c r="AC65" s="8" t="inlineStr"/>
      <c r="AD65" s="8" t="inlineStr"/>
      <c r="AE65" s="8" t="inlineStr"/>
      <c r="AF65" s="8" t="inlineStr"/>
      <c r="AG65" s="8" t="inlineStr"/>
      <c r="AH65" s="8" t="inlineStr"/>
      <c r="AI65" s="8" t="inlineStr"/>
      <c r="AJ65" s="8" t="inlineStr"/>
      <c r="AK65" s="8" t="inlineStr"/>
      <c r="AL65" s="8" t="inlineStr"/>
      <c r="AM65" s="8" t="inlineStr"/>
      <c r="AN65" s="8" t="inlineStr"/>
    </row>
  </sheetData>
  <hyperlinks>
    <hyperlink xmlns:r="http://schemas.openxmlformats.org/officeDocument/2006/relationships" ref="C7" r:id="rId1"/>
    <hyperlink xmlns:r="http://schemas.openxmlformats.org/officeDocument/2006/relationships" ref="G7" r:id="rId2"/>
    <hyperlink xmlns:r="http://schemas.openxmlformats.org/officeDocument/2006/relationships" ref="C14" r:id="rId3"/>
    <hyperlink xmlns:r="http://schemas.openxmlformats.org/officeDocument/2006/relationships" ref="G14" r:id="rId4"/>
    <hyperlink xmlns:r="http://schemas.openxmlformats.org/officeDocument/2006/relationships" ref="C15" r:id="rId5"/>
    <hyperlink xmlns:r="http://schemas.openxmlformats.org/officeDocument/2006/relationships" ref="G15" r:id="rId6"/>
    <hyperlink xmlns:r="http://schemas.openxmlformats.org/officeDocument/2006/relationships" ref="C16" r:id="rId7"/>
    <hyperlink xmlns:r="http://schemas.openxmlformats.org/officeDocument/2006/relationships" ref="G16" r:id="rId8"/>
    <hyperlink xmlns:r="http://schemas.openxmlformats.org/officeDocument/2006/relationships" ref="C17" r:id="rId9"/>
    <hyperlink xmlns:r="http://schemas.openxmlformats.org/officeDocument/2006/relationships" ref="G17" r:id="rId10"/>
    <hyperlink xmlns:r="http://schemas.openxmlformats.org/officeDocument/2006/relationships" ref="C18" r:id="rId11"/>
    <hyperlink xmlns:r="http://schemas.openxmlformats.org/officeDocument/2006/relationships" ref="G18" r:id="rId12"/>
    <hyperlink xmlns:r="http://schemas.openxmlformats.org/officeDocument/2006/relationships" ref="C19" r:id="rId13"/>
    <hyperlink xmlns:r="http://schemas.openxmlformats.org/officeDocument/2006/relationships" ref="G19" r:id="rId14"/>
    <hyperlink xmlns:r="http://schemas.openxmlformats.org/officeDocument/2006/relationships" ref="C20" r:id="rId15"/>
    <hyperlink xmlns:r="http://schemas.openxmlformats.org/officeDocument/2006/relationships" ref="G20" r:id="rId16"/>
    <hyperlink xmlns:r="http://schemas.openxmlformats.org/officeDocument/2006/relationships" ref="C21" r:id="rId17"/>
    <hyperlink xmlns:r="http://schemas.openxmlformats.org/officeDocument/2006/relationships" ref="G21" r:id="rId18"/>
    <hyperlink xmlns:r="http://schemas.openxmlformats.org/officeDocument/2006/relationships" ref="C22" r:id="rId19"/>
    <hyperlink xmlns:r="http://schemas.openxmlformats.org/officeDocument/2006/relationships" ref="G22" r:id="rId20"/>
    <hyperlink xmlns:r="http://schemas.openxmlformats.org/officeDocument/2006/relationships" ref="C23" r:id="rId21"/>
    <hyperlink xmlns:r="http://schemas.openxmlformats.org/officeDocument/2006/relationships" ref="G23" r:id="rId22"/>
    <hyperlink xmlns:r="http://schemas.openxmlformats.org/officeDocument/2006/relationships" ref="C24" r:id="rId23"/>
    <hyperlink xmlns:r="http://schemas.openxmlformats.org/officeDocument/2006/relationships" ref="G24" r:id="rId24"/>
    <hyperlink xmlns:r="http://schemas.openxmlformats.org/officeDocument/2006/relationships" ref="C28" r:id="rId25"/>
    <hyperlink xmlns:r="http://schemas.openxmlformats.org/officeDocument/2006/relationships" ref="G28" r:id="rId26"/>
    <hyperlink xmlns:r="http://schemas.openxmlformats.org/officeDocument/2006/relationships" ref="C29" r:id="rId27"/>
    <hyperlink xmlns:r="http://schemas.openxmlformats.org/officeDocument/2006/relationships" ref="G29" r:id="rId28"/>
    <hyperlink xmlns:r="http://schemas.openxmlformats.org/officeDocument/2006/relationships" ref="C30" r:id="rId29"/>
    <hyperlink xmlns:r="http://schemas.openxmlformats.org/officeDocument/2006/relationships" ref="G30" r:id="rId30"/>
    <hyperlink xmlns:r="http://schemas.openxmlformats.org/officeDocument/2006/relationships" ref="C31" r:id="rId31"/>
    <hyperlink xmlns:r="http://schemas.openxmlformats.org/officeDocument/2006/relationships" ref="G31" r:id="rId32"/>
    <hyperlink xmlns:r="http://schemas.openxmlformats.org/officeDocument/2006/relationships" ref="C32" r:id="rId33"/>
    <hyperlink xmlns:r="http://schemas.openxmlformats.org/officeDocument/2006/relationships" ref="G32" r:id="rId34"/>
    <hyperlink xmlns:r="http://schemas.openxmlformats.org/officeDocument/2006/relationships" ref="C33" r:id="rId35"/>
    <hyperlink xmlns:r="http://schemas.openxmlformats.org/officeDocument/2006/relationships" ref="G33" r:id="rId36"/>
    <hyperlink xmlns:r="http://schemas.openxmlformats.org/officeDocument/2006/relationships" ref="C34" r:id="rId37"/>
    <hyperlink xmlns:r="http://schemas.openxmlformats.org/officeDocument/2006/relationships" ref="G34" r:id="rId38"/>
    <hyperlink xmlns:r="http://schemas.openxmlformats.org/officeDocument/2006/relationships" ref="C35" r:id="rId39"/>
    <hyperlink xmlns:r="http://schemas.openxmlformats.org/officeDocument/2006/relationships" ref="G35" r:id="rId40"/>
    <hyperlink xmlns:r="http://schemas.openxmlformats.org/officeDocument/2006/relationships" ref="C36" r:id="rId41"/>
    <hyperlink xmlns:r="http://schemas.openxmlformats.org/officeDocument/2006/relationships" ref="G36" r:id="rId42"/>
    <hyperlink xmlns:r="http://schemas.openxmlformats.org/officeDocument/2006/relationships" ref="C37" r:id="rId43"/>
    <hyperlink xmlns:r="http://schemas.openxmlformats.org/officeDocument/2006/relationships" ref="G37" r:id="rId44"/>
    <hyperlink xmlns:r="http://schemas.openxmlformats.org/officeDocument/2006/relationships" ref="C38" r:id="rId45"/>
    <hyperlink xmlns:r="http://schemas.openxmlformats.org/officeDocument/2006/relationships" ref="G38" r:id="rId46"/>
    <hyperlink xmlns:r="http://schemas.openxmlformats.org/officeDocument/2006/relationships" ref="C39" r:id="rId47"/>
    <hyperlink xmlns:r="http://schemas.openxmlformats.org/officeDocument/2006/relationships" ref="G39" r:id="rId48"/>
    <hyperlink xmlns:r="http://schemas.openxmlformats.org/officeDocument/2006/relationships" ref="C40" r:id="rId49"/>
    <hyperlink xmlns:r="http://schemas.openxmlformats.org/officeDocument/2006/relationships" ref="G40" r:id="rId50"/>
    <hyperlink xmlns:r="http://schemas.openxmlformats.org/officeDocument/2006/relationships" ref="C41" r:id="rId51"/>
    <hyperlink xmlns:r="http://schemas.openxmlformats.org/officeDocument/2006/relationships" ref="G41" r:id="rId52"/>
    <hyperlink xmlns:r="http://schemas.openxmlformats.org/officeDocument/2006/relationships" ref="C42" r:id="rId53"/>
    <hyperlink xmlns:r="http://schemas.openxmlformats.org/officeDocument/2006/relationships" ref="G42" r:id="rId54"/>
    <hyperlink xmlns:r="http://schemas.openxmlformats.org/officeDocument/2006/relationships" ref="C43" r:id="rId55"/>
    <hyperlink xmlns:r="http://schemas.openxmlformats.org/officeDocument/2006/relationships" ref="G43" r:id="rId56"/>
    <hyperlink xmlns:r="http://schemas.openxmlformats.org/officeDocument/2006/relationships" ref="C44" r:id="rId57"/>
    <hyperlink xmlns:r="http://schemas.openxmlformats.org/officeDocument/2006/relationships" ref="G44" r:id="rId58"/>
    <hyperlink xmlns:r="http://schemas.openxmlformats.org/officeDocument/2006/relationships" ref="C45" r:id="rId59"/>
    <hyperlink xmlns:r="http://schemas.openxmlformats.org/officeDocument/2006/relationships" ref="G45" r:id="rId60"/>
    <hyperlink xmlns:r="http://schemas.openxmlformats.org/officeDocument/2006/relationships" ref="C48" r:id="rId61"/>
    <hyperlink xmlns:r="http://schemas.openxmlformats.org/officeDocument/2006/relationships" ref="G48" r:id="rId62"/>
    <hyperlink xmlns:r="http://schemas.openxmlformats.org/officeDocument/2006/relationships" ref="C49" r:id="rId63"/>
    <hyperlink xmlns:r="http://schemas.openxmlformats.org/officeDocument/2006/relationships" ref="G49" r:id="rId64"/>
    <hyperlink xmlns:r="http://schemas.openxmlformats.org/officeDocument/2006/relationships" ref="C50" r:id="rId65"/>
    <hyperlink xmlns:r="http://schemas.openxmlformats.org/officeDocument/2006/relationships" ref="G50" r:id="rId66"/>
    <hyperlink xmlns:r="http://schemas.openxmlformats.org/officeDocument/2006/relationships" ref="C51" r:id="rId67"/>
    <hyperlink xmlns:r="http://schemas.openxmlformats.org/officeDocument/2006/relationships" ref="G51" r:id="rId68"/>
    <hyperlink xmlns:r="http://schemas.openxmlformats.org/officeDocument/2006/relationships" ref="C52" r:id="rId69"/>
    <hyperlink xmlns:r="http://schemas.openxmlformats.org/officeDocument/2006/relationships" ref="G52" r:id="rId70"/>
    <hyperlink xmlns:r="http://schemas.openxmlformats.org/officeDocument/2006/relationships" ref="C53" r:id="rId71"/>
    <hyperlink xmlns:r="http://schemas.openxmlformats.org/officeDocument/2006/relationships" ref="G53" r:id="rId72"/>
    <hyperlink xmlns:r="http://schemas.openxmlformats.org/officeDocument/2006/relationships" ref="C54" r:id="rId73"/>
    <hyperlink xmlns:r="http://schemas.openxmlformats.org/officeDocument/2006/relationships" ref="G54" r:id="rId74"/>
    <hyperlink xmlns:r="http://schemas.openxmlformats.org/officeDocument/2006/relationships" ref="C55" r:id="rId75"/>
    <hyperlink xmlns:r="http://schemas.openxmlformats.org/officeDocument/2006/relationships" ref="G55" r:id="rId76"/>
    <hyperlink xmlns:r="http://schemas.openxmlformats.org/officeDocument/2006/relationships" ref="C56" r:id="rId77"/>
    <hyperlink xmlns:r="http://schemas.openxmlformats.org/officeDocument/2006/relationships" ref="G56" r:id="rId78"/>
    <hyperlink xmlns:r="http://schemas.openxmlformats.org/officeDocument/2006/relationships" ref="C57" r:id="rId79"/>
    <hyperlink xmlns:r="http://schemas.openxmlformats.org/officeDocument/2006/relationships" ref="G57" r:id="rId80"/>
    <hyperlink xmlns:r="http://schemas.openxmlformats.org/officeDocument/2006/relationships" ref="C60" r:id="rId81"/>
    <hyperlink xmlns:r="http://schemas.openxmlformats.org/officeDocument/2006/relationships" ref="G60" r:id="rId82"/>
    <hyperlink xmlns:r="http://schemas.openxmlformats.org/officeDocument/2006/relationships" ref="C61" r:id="rId83"/>
    <hyperlink xmlns:r="http://schemas.openxmlformats.org/officeDocument/2006/relationships" ref="G61" r:id="rId84"/>
    <hyperlink xmlns:r="http://schemas.openxmlformats.org/officeDocument/2006/relationships" ref="C62" r:id="rId85"/>
    <hyperlink xmlns:r="http://schemas.openxmlformats.org/officeDocument/2006/relationships" ref="G62" r:id="rId86"/>
    <hyperlink xmlns:r="http://schemas.openxmlformats.org/officeDocument/2006/relationships" ref="C63" r:id="rId87"/>
    <hyperlink xmlns:r="http://schemas.openxmlformats.org/officeDocument/2006/relationships" ref="G63" r:id="rId88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65"/>
  <sheetViews>
    <sheetView workbookViewId="0">
      <selection activeCell="A1" sqref="A1"/>
    </sheetView>
  </sheetViews>
  <sheetFormatPr baseColWidth="8" defaultRowHeight="15"/>
  <cols>
    <col width="50" customWidth="1" min="1" max="1"/>
    <col width="13" customWidth="1" min="2" max="2"/>
    <col width="33" customWidth="1" min="3" max="3"/>
    <col width="38" customWidth="1" min="4" max="4"/>
    <col width="12" customWidth="1" min="5" max="5"/>
    <col width="15" customWidth="1" min="6" max="6"/>
    <col width="17" customWidth="1" min="7" max="7"/>
    <col width="12" customWidth="1" min="8" max="8"/>
    <col width="12" customWidth="1" min="9" max="9"/>
    <col width="19" customWidth="1" min="10" max="10"/>
    <col width="24" customWidth="1" min="11" max="11"/>
    <col width="29" customWidth="1" min="12" max="12"/>
  </cols>
  <sheetData>
    <row r="1">
      <c r="A1" s="8" t="inlineStr">
        <is>
          <t>BẢNG GIÁ THÔNG BÁO CÔNG TRÌNH</t>
        </is>
      </c>
      <c r="B1" s="8" t="inlineStr"/>
      <c r="C1" s="8" t="inlineStr"/>
      <c r="E1" s="8" t="inlineStr"/>
      <c r="F1" s="8" t="inlineStr"/>
      <c r="G1" s="8" t="inlineStr"/>
      <c r="H1" s="8" t="inlineStr"/>
      <c r="I1" s="8" t="inlineStr"/>
      <c r="J1" s="8" t="inlineStr"/>
      <c r="K1" s="8" t="inlineStr"/>
      <c r="L1" s="8" t="inlineStr"/>
    </row>
    <row r="2">
      <c r="A2" s="8" t="inlineStr">
        <is>
          <t>DỰ ÁN: XÂY DỰNG NHÀ Ở CHO LỰC LƯỢNG VŨ TRANG CÔNG AN NHÂN DÂN TẠI Ô ĐẤT NO1 THUỘC LÔ ĐẤT D12 KHU ĐÔ THỊ MỚI CẦU GIẤY,
 PHƯỜNG CẦU GIẤY, THÀNH PHỐ HÀ NỘI</t>
        </is>
      </c>
      <c r="B2" s="8" t="inlineStr"/>
      <c r="C2" s="8" t="inlineStr"/>
      <c r="E2" s="8" t="inlineStr"/>
      <c r="F2" s="8" t="inlineStr"/>
      <c r="G2" s="8" t="inlineStr"/>
      <c r="H2" s="8" t="inlineStr"/>
      <c r="I2" s="8" t="inlineStr"/>
      <c r="J2" s="8" t="inlineStr"/>
      <c r="K2" s="8" t="inlineStr"/>
      <c r="L2" s="8" t="inlineStr"/>
    </row>
    <row r="3">
      <c r="A3" s="8" t="inlineStr"/>
      <c r="B3" s="8" t="inlineStr"/>
      <c r="C3" s="8" t="inlineStr"/>
      <c r="E3" s="8" t="inlineStr"/>
      <c r="F3" s="8" t="inlineStr"/>
      <c r="G3" s="8" t="inlineStr"/>
      <c r="H3" s="8" t="inlineStr"/>
      <c r="I3" s="8" t="inlineStr"/>
      <c r="J3" s="8" t="inlineStr"/>
      <c r="K3" s="8" t="inlineStr"/>
      <c r="L3" s="8" t="inlineStr"/>
    </row>
    <row r="4">
      <c r="A4" s="8" t="inlineStr">
        <is>
          <t>STT</t>
        </is>
      </c>
      <c r="B4" s="8" t="inlineStr">
        <is>
          <t>Mã số</t>
        </is>
      </c>
      <c r="C4" s="8" t="inlineStr">
        <is>
          <t>Tên vật tư</t>
        </is>
      </c>
      <c r="D4" s="10" t="inlineStr">
        <is>
          <t>LINK TRA CỨU TT 38/2026/TT-BXD</t>
        </is>
      </c>
      <c r="E4" s="8" t="inlineStr">
        <is>
          <t>Đơn vị</t>
        </is>
      </c>
      <c r="F4" s="8" t="inlineStr">
        <is>
          <t>Giá gốc
(đ)</t>
        </is>
      </c>
      <c r="G4" s="8" t="inlineStr">
        <is>
          <t>Giá tháng
(đ)</t>
        </is>
      </c>
      <c r="H4" s="8" t="inlineStr">
        <is>
          <t>Hệ số</t>
        </is>
      </c>
      <c r="I4" s="8" t="inlineStr">
        <is>
          <t>Chính</t>
        </is>
      </c>
      <c r="J4" s="8" t="inlineStr">
        <is>
          <t>Giá sau VAT
(đ)</t>
        </is>
      </c>
      <c r="K4" s="8" t="inlineStr">
        <is>
          <t>Mã chuẩn</t>
        </is>
      </c>
      <c r="L4" s="8" t="inlineStr">
        <is>
          <t>Ghi chú, Nguồn gốc xuất xứ</t>
        </is>
      </c>
    </row>
    <row r="5">
      <c r="A5" s="8" t="inlineStr">
        <is>
          <t>I</t>
        </is>
      </c>
      <c r="B5" s="8" t="inlineStr"/>
      <c r="C5" s="8" t="inlineStr">
        <is>
          <t>VẬT LIỆU</t>
        </is>
      </c>
      <c r="E5" s="8" t="inlineStr"/>
      <c r="F5" s="8" t="inlineStr"/>
      <c r="G5" s="8" t="inlineStr"/>
      <c r="H5" s="8" t="inlineStr"/>
      <c r="I5" s="8" t="inlineStr"/>
      <c r="J5" s="8" t="inlineStr"/>
      <c r="K5" s="8" t="inlineStr"/>
      <c r="L5" s="8" t="inlineStr"/>
    </row>
    <row r="6">
      <c r="A6" s="8" t="n">
        <v>1</v>
      </c>
      <c r="B6" s="8" t="inlineStr">
        <is>
          <t>A33.085203</t>
        </is>
      </c>
      <c r="C6" s="8" t="inlineStr">
        <is>
          <t>Bảo ôn ống đồng D12.7 dày 19mm</t>
        </is>
      </c>
      <c r="E6" s="8" t="inlineStr">
        <is>
          <t>m</t>
        </is>
      </c>
      <c r="F6" s="8" t="n">
        <v>0</v>
      </c>
      <c r="G6" s="8" t="n">
        <v>21000</v>
      </c>
      <c r="H6" s="8" t="n">
        <v>1</v>
      </c>
      <c r="I6" s="8" t="b">
        <v>1</v>
      </c>
      <c r="J6" s="8" t="n">
        <v>23100</v>
      </c>
      <c r="K6" s="8" t="inlineStr">
        <is>
          <t>OngCachNhietXopD=12,7</t>
        </is>
      </c>
      <c r="L6" s="8" t="inlineStr">
        <is>
          <t>Báo giá BKRE</t>
        </is>
      </c>
    </row>
    <row r="7">
      <c r="A7" s="8" t="n">
        <v>2</v>
      </c>
      <c r="B7" s="8" t="inlineStr">
        <is>
          <t>A33.085204</t>
        </is>
      </c>
      <c r="C7" s="8" t="inlineStr">
        <is>
          <t>Bảo ôn ống đồng D15.9 dày 19mm</t>
        </is>
      </c>
      <c r="E7" s="8" t="inlineStr">
        <is>
          <t>m</t>
        </is>
      </c>
      <c r="F7" s="8" t="n">
        <v>0</v>
      </c>
      <c r="G7" s="8" t="n">
        <v>22900</v>
      </c>
      <c r="H7" s="8" t="n">
        <v>1</v>
      </c>
      <c r="I7" s="8" t="b">
        <v>1</v>
      </c>
      <c r="J7" s="8" t="n">
        <v>25190</v>
      </c>
      <c r="K7" s="8" t="inlineStr">
        <is>
          <t>OngCachNhietXopD=15,9</t>
        </is>
      </c>
      <c r="L7" s="8" t="inlineStr">
        <is>
          <t>Báo giá BKRE</t>
        </is>
      </c>
    </row>
    <row r="8">
      <c r="A8" s="8" t="n">
        <v>3</v>
      </c>
      <c r="B8" s="8" t="inlineStr">
        <is>
          <t>A33.085205</t>
        </is>
      </c>
      <c r="C8" s="8" t="inlineStr">
        <is>
          <t>Bảo ôn ống đồng D19.1 dày 19mm</t>
        </is>
      </c>
      <c r="E8" s="8" t="inlineStr">
        <is>
          <t>m</t>
        </is>
      </c>
      <c r="F8" s="8" t="n">
        <v>0</v>
      </c>
      <c r="G8" s="8" t="n">
        <v>25300</v>
      </c>
      <c r="H8" s="8" t="n">
        <v>1</v>
      </c>
      <c r="I8" s="8" t="b">
        <v>1</v>
      </c>
      <c r="J8" s="8" t="n">
        <v>27830</v>
      </c>
      <c r="K8" s="8" t="inlineStr">
        <is>
          <t>OngCachNhietXopD=19,1</t>
        </is>
      </c>
      <c r="L8" s="8" t="inlineStr">
        <is>
          <t>Báo giá BKRE</t>
        </is>
      </c>
    </row>
    <row r="9">
      <c r="A9" s="8" t="n">
        <v>4</v>
      </c>
      <c r="B9" s="8" t="inlineStr">
        <is>
          <t>A33.085206</t>
        </is>
      </c>
      <c r="C9" s="8" t="inlineStr">
        <is>
          <t>Bảo ôn ống đồng D22.2 dày 19mm</t>
        </is>
      </c>
      <c r="E9" s="8" t="inlineStr">
        <is>
          <t>m</t>
        </is>
      </c>
      <c r="F9" s="8" t="n">
        <v>0</v>
      </c>
      <c r="G9" s="8" t="n">
        <v>27200</v>
      </c>
      <c r="H9" s="8" t="n">
        <v>1</v>
      </c>
      <c r="I9" s="8" t="b">
        <v>1</v>
      </c>
      <c r="J9" s="8" t="n">
        <v>29920</v>
      </c>
      <c r="K9" s="8" t="inlineStr">
        <is>
          <t>OngCachNhietXopD=22,2</t>
        </is>
      </c>
      <c r="L9" s="8" t="inlineStr">
        <is>
          <t>Báo giá BKRE</t>
        </is>
      </c>
    </row>
    <row r="10">
      <c r="A10" s="8" t="n">
        <v>5</v>
      </c>
      <c r="B10" s="8" t="inlineStr">
        <is>
          <t>A33.085208</t>
        </is>
      </c>
      <c r="C10" s="8" t="inlineStr">
        <is>
          <t>Bảo ôn ống đồng D28.6 dày 19mm</t>
        </is>
      </c>
      <c r="E10" s="8" t="inlineStr">
        <is>
          <t>m</t>
        </is>
      </c>
      <c r="F10" s="8" t="n">
        <v>0</v>
      </c>
      <c r="G10" s="8" t="n">
        <v>33000</v>
      </c>
      <c r="H10" s="8" t="n">
        <v>1</v>
      </c>
      <c r="I10" s="8" t="b">
        <v>1</v>
      </c>
      <c r="J10" s="8" t="n">
        <v>36300</v>
      </c>
      <c r="K10" s="8" t="inlineStr">
        <is>
          <t>OngCachNhietXopD=28,6</t>
        </is>
      </c>
      <c r="L10" s="8" t="inlineStr">
        <is>
          <t>Báo giá BKRE</t>
        </is>
      </c>
    </row>
    <row r="11">
      <c r="A11" s="8" t="n">
        <v>6</v>
      </c>
      <c r="B11" s="8" t="inlineStr">
        <is>
          <t>A33.085210</t>
        </is>
      </c>
      <c r="C11" s="8" t="inlineStr">
        <is>
          <t>Bảo ôn ống đồng D34.9 dày 19mm</t>
        </is>
      </c>
      <c r="E11" s="8" t="inlineStr">
        <is>
          <t>m</t>
        </is>
      </c>
      <c r="F11" s="8" t="n">
        <v>0</v>
      </c>
      <c r="G11" s="8" t="n">
        <v>41800</v>
      </c>
      <c r="H11" s="8" t="n">
        <v>1</v>
      </c>
      <c r="I11" s="8" t="b">
        <v>1</v>
      </c>
      <c r="J11" s="8" t="n">
        <v>45980</v>
      </c>
      <c r="K11" s="8" t="inlineStr">
        <is>
          <t>OngCachNhietXopD=34,9</t>
        </is>
      </c>
      <c r="L11" s="8" t="inlineStr">
        <is>
          <t>Báo giá BKRE</t>
        </is>
      </c>
    </row>
    <row r="12">
      <c r="A12" s="8" t="n">
        <v>7</v>
      </c>
      <c r="B12" s="8" t="inlineStr">
        <is>
          <t>A33.085212</t>
        </is>
      </c>
      <c r="C12" s="8" t="inlineStr">
        <is>
          <t>Bảo ôn ống đồng D41.3 dày 19mm</t>
        </is>
      </c>
      <c r="E12" s="8" t="inlineStr">
        <is>
          <t>m</t>
        </is>
      </c>
      <c r="F12" s="8" t="n">
        <v>0</v>
      </c>
      <c r="G12" s="8" t="n">
        <v>48100</v>
      </c>
      <c r="H12" s="8" t="n">
        <v>1</v>
      </c>
      <c r="I12" s="8" t="b">
        <v>1</v>
      </c>
      <c r="J12" s="8" t="n">
        <v>52910</v>
      </c>
      <c r="K12" s="8" t="inlineStr">
        <is>
          <t>OngCachNhietXopD=41,3</t>
        </is>
      </c>
      <c r="L12" s="8" t="inlineStr">
        <is>
          <t>Báo giá BKRE</t>
        </is>
      </c>
    </row>
    <row r="13">
      <c r="A13" s="8" t="n">
        <v>8</v>
      </c>
      <c r="B13" s="8" t="inlineStr">
        <is>
          <t>A33.085201</t>
        </is>
      </c>
      <c r="C13" s="8" t="inlineStr">
        <is>
          <t>Bảo ôn ống đồng D6.4 dày 19mm</t>
        </is>
      </c>
      <c r="E13" s="8" t="inlineStr">
        <is>
          <t>m</t>
        </is>
      </c>
      <c r="F13" s="8" t="n">
        <v>0</v>
      </c>
      <c r="G13" s="8" t="n">
        <v>17600</v>
      </c>
      <c r="H13" s="8" t="n">
        <v>1</v>
      </c>
      <c r="I13" s="8" t="b">
        <v>1</v>
      </c>
      <c r="J13" s="8" t="n">
        <v>19360</v>
      </c>
      <c r="K13" s="8" t="inlineStr">
        <is>
          <t>OngCachNhietXopD=6,4</t>
        </is>
      </c>
      <c r="L13" s="8" t="inlineStr">
        <is>
          <t>Báo giá BKRE</t>
        </is>
      </c>
    </row>
    <row r="14">
      <c r="A14" s="8" t="n">
        <v>9</v>
      </c>
      <c r="B14" s="8" t="inlineStr">
        <is>
          <t>A33.085202</t>
        </is>
      </c>
      <c r="C14" s="8" t="inlineStr">
        <is>
          <t>Bảo ôn ống đồng D9.5 dày 19mm</t>
        </is>
      </c>
      <c r="E14" s="8" t="inlineStr">
        <is>
          <t>m</t>
        </is>
      </c>
      <c r="F14" s="8" t="n">
        <v>0</v>
      </c>
      <c r="G14" s="8" t="n">
        <v>18500</v>
      </c>
      <c r="H14" s="8" t="n">
        <v>1</v>
      </c>
      <c r="I14" s="8" t="b">
        <v>1</v>
      </c>
      <c r="J14" s="8" t="n">
        <v>20350</v>
      </c>
      <c r="K14" s="8" t="inlineStr">
        <is>
          <t>OngCachNhietXopD=9,5</t>
        </is>
      </c>
      <c r="L14" s="8" t="inlineStr">
        <is>
          <t>Báo giá BKRE</t>
        </is>
      </c>
    </row>
    <row r="15">
      <c r="A15" s="8" t="n">
        <v>10</v>
      </c>
      <c r="B15" s="8" t="inlineStr">
        <is>
          <t>A33.1140</t>
        </is>
      </c>
      <c r="C15" s="8" t="inlineStr">
        <is>
          <t>Bảo ôn ống uPVC D21 dày 13mm</t>
        </is>
      </c>
      <c r="E15" s="8" t="inlineStr">
        <is>
          <t>m</t>
        </is>
      </c>
      <c r="F15" s="8" t="n">
        <v>0</v>
      </c>
      <c r="G15" s="8" t="n">
        <v>16100</v>
      </c>
      <c r="H15" s="8" t="n">
        <v>1</v>
      </c>
      <c r="I15" s="8" t="b">
        <v>1</v>
      </c>
      <c r="J15" s="8" t="n">
        <v>17710</v>
      </c>
      <c r="K15" s="8" t="inlineStr">
        <is>
          <t>BongKhoang</t>
        </is>
      </c>
      <c r="L15" s="8" t="inlineStr">
        <is>
          <t>Báo giá BKRE</t>
        </is>
      </c>
    </row>
    <row r="16">
      <c r="A16" s="8" t="n">
        <v>11</v>
      </c>
      <c r="B16" s="8" t="inlineStr">
        <is>
          <t>A33.1140</t>
        </is>
      </c>
      <c r="C16" s="8" t="inlineStr">
        <is>
          <t>Bảo ôn ống uPVC D27 dày 13mm</t>
        </is>
      </c>
      <c r="E16" s="8" t="inlineStr">
        <is>
          <t>m</t>
        </is>
      </c>
      <c r="F16" s="8" t="n">
        <v>0</v>
      </c>
      <c r="G16" s="8" t="n">
        <v>19500</v>
      </c>
      <c r="H16" s="8" t="n">
        <v>1</v>
      </c>
      <c r="I16" s="8" t="b">
        <v>1</v>
      </c>
      <c r="J16" s="8" t="n">
        <v>21450</v>
      </c>
      <c r="K16" s="8" t="inlineStr">
        <is>
          <t>BongKhoang</t>
        </is>
      </c>
      <c r="L16" s="8" t="inlineStr">
        <is>
          <t>Báo giá BKRE</t>
        </is>
      </c>
    </row>
    <row r="17">
      <c r="A17" s="8" t="n">
        <v>12</v>
      </c>
      <c r="B17" s="8" t="inlineStr">
        <is>
          <t>A33.1140</t>
        </is>
      </c>
      <c r="C17" s="8" t="inlineStr">
        <is>
          <t>Bảo ôn ống uPVC D34 dày 13mm</t>
        </is>
      </c>
      <c r="E17" s="8" t="inlineStr">
        <is>
          <t>m</t>
        </is>
      </c>
      <c r="F17" s="8" t="n">
        <v>0</v>
      </c>
      <c r="G17" s="8" t="n">
        <v>22900</v>
      </c>
      <c r="H17" s="8" t="n">
        <v>1</v>
      </c>
      <c r="I17" s="8" t="b">
        <v>1</v>
      </c>
      <c r="J17" s="8" t="n">
        <v>25190</v>
      </c>
      <c r="K17" s="8" t="inlineStr">
        <is>
          <t>BongKhoang</t>
        </is>
      </c>
      <c r="L17" s="8" t="inlineStr">
        <is>
          <t>Báo giá BKRE</t>
        </is>
      </c>
    </row>
    <row r="18">
      <c r="A18" s="8" t="n">
        <v>13</v>
      </c>
      <c r="B18" s="8" t="inlineStr">
        <is>
          <t>A33.1140</t>
        </is>
      </c>
      <c r="C18" s="8" t="inlineStr">
        <is>
          <t>Bảo ôn ống uPVC D42 dày 13mm</t>
        </is>
      </c>
      <c r="E18" s="8" t="inlineStr">
        <is>
          <t>m</t>
        </is>
      </c>
      <c r="F18" s="8" t="n">
        <v>0</v>
      </c>
      <c r="G18" s="8" t="n">
        <v>29200</v>
      </c>
      <c r="H18" s="8" t="n">
        <v>1</v>
      </c>
      <c r="I18" s="8" t="b">
        <v>1</v>
      </c>
      <c r="J18" s="8" t="n">
        <v>32120</v>
      </c>
      <c r="K18" s="8" t="inlineStr">
        <is>
          <t>BongKhoang</t>
        </is>
      </c>
      <c r="L18" s="8" t="inlineStr">
        <is>
          <t>Báo giá BKRE</t>
        </is>
      </c>
    </row>
    <row r="19">
      <c r="A19" s="8" t="n">
        <v>14</v>
      </c>
      <c r="B19" s="8" t="inlineStr">
        <is>
          <t>A33.1140</t>
        </is>
      </c>
      <c r="C19" s="8" t="inlineStr">
        <is>
          <t>Bảo ôn ống uPVC D48 dày 13mm</t>
        </is>
      </c>
      <c r="E19" s="8" t="inlineStr">
        <is>
          <t>m</t>
        </is>
      </c>
      <c r="F19" s="8" t="n">
        <v>0</v>
      </c>
      <c r="G19" s="8" t="n">
        <v>32100</v>
      </c>
      <c r="H19" s="8" t="n">
        <v>1</v>
      </c>
      <c r="I19" s="8" t="b">
        <v>1</v>
      </c>
      <c r="J19" s="8" t="n">
        <v>35310</v>
      </c>
      <c r="K19" s="8" t="inlineStr">
        <is>
          <t>BongKhoang</t>
        </is>
      </c>
      <c r="L19" s="8" t="inlineStr">
        <is>
          <t>Báo giá BKRE</t>
        </is>
      </c>
    </row>
    <row r="20">
      <c r="A20" s="8" t="n">
        <v>15</v>
      </c>
      <c r="B20" s="8" t="inlineStr">
        <is>
          <t>A33.1143</t>
        </is>
      </c>
      <c r="C20" s="8" t="inlineStr">
        <is>
          <t>Băng cuốn bảo ôn</t>
        </is>
      </c>
      <c r="E20" s="8" t="inlineStr">
        <is>
          <t>cuộn</t>
        </is>
      </c>
      <c r="F20" s="8" t="n">
        <v>0</v>
      </c>
      <c r="G20" s="8" t="n">
        <v>15000</v>
      </c>
      <c r="H20" s="8" t="n">
        <v>1</v>
      </c>
      <c r="I20" s="8" t="b">
        <v>1</v>
      </c>
      <c r="J20" s="8" t="n">
        <v>16500</v>
      </c>
      <c r="K20" s="8" t="inlineStr">
        <is>
          <t>BangCuonBaoOn</t>
        </is>
      </c>
      <c r="L20" s="8" t="inlineStr">
        <is>
          <t>Giá gốc</t>
        </is>
      </c>
    </row>
    <row r="21">
      <c r="A21" s="8" t="n">
        <v>16</v>
      </c>
      <c r="B21" s="8" t="inlineStr">
        <is>
          <t>A33.0345</t>
        </is>
      </c>
      <c r="C21" s="8" t="inlineStr">
        <is>
          <t>Cồn rửa</t>
        </is>
      </c>
      <c r="E21" s="8" t="inlineStr">
        <is>
          <t>kg</t>
        </is>
      </c>
      <c r="F21" s="8" t="n">
        <v>0</v>
      </c>
      <c r="G21" s="8" t="n">
        <v>12000</v>
      </c>
      <c r="H21" s="8" t="n">
        <v>1</v>
      </c>
      <c r="I21" s="8" t="b">
        <v>1</v>
      </c>
      <c r="J21" s="8" t="n">
        <v>13200</v>
      </c>
      <c r="K21" s="8" t="inlineStr">
        <is>
          <t>ConRua</t>
        </is>
      </c>
      <c r="L21" s="8" t="inlineStr">
        <is>
          <t>Giá gốc</t>
        </is>
      </c>
    </row>
    <row r="22">
      <c r="A22" s="8" t="n">
        <v>17</v>
      </c>
      <c r="B22" s="8" t="inlineStr">
        <is>
          <t>A33.0002</t>
        </is>
      </c>
      <c r="C22" s="8" t="inlineStr">
        <is>
          <t>Dầu các loại</t>
        </is>
      </c>
      <c r="E22" s="8" t="inlineStr">
        <is>
          <t>kg</t>
        </is>
      </c>
      <c r="F22" s="8" t="n">
        <v>0</v>
      </c>
      <c r="G22" s="8" t="n">
        <v>100000</v>
      </c>
      <c r="H22" s="8" t="n">
        <v>1</v>
      </c>
      <c r="I22" s="8" t="b">
        <v>1</v>
      </c>
      <c r="J22" s="8" t="n">
        <v>110000</v>
      </c>
      <c r="K22" s="8" t="inlineStr">
        <is>
          <t>DauCacLoai</t>
        </is>
      </c>
      <c r="L22" s="8" t="inlineStr">
        <is>
          <t>Giá gốc</t>
        </is>
      </c>
    </row>
    <row r="23">
      <c r="A23" s="8" t="n">
        <v>18</v>
      </c>
      <c r="B23" s="8" t="inlineStr">
        <is>
          <t>A33.0074</t>
        </is>
      </c>
      <c r="C23" s="8" t="inlineStr">
        <is>
          <t>Dây điện_Cu/PVC_2x(1x0.75)mm2</t>
        </is>
      </c>
      <c r="E23" s="8" t="inlineStr">
        <is>
          <t>m</t>
        </is>
      </c>
      <c r="F23" s="8" t="n">
        <v>0</v>
      </c>
      <c r="G23" s="8" t="n">
        <v>8658</v>
      </c>
      <c r="H23" s="8" t="n">
        <v>1</v>
      </c>
      <c r="I23" s="8" t="b">
        <v>1</v>
      </c>
      <c r="J23" s="8" t="n">
        <v>9523.799999999999</v>
      </c>
      <c r="K23" s="8" t="inlineStr">
        <is>
          <t>DayDanDien2x1</t>
        </is>
      </c>
      <c r="L23" s="8" t="inlineStr">
        <is>
          <t>CBG quý 2/2026</t>
        </is>
      </c>
    </row>
    <row r="24">
      <c r="A24" s="8" t="n">
        <v>19</v>
      </c>
      <c r="B24" s="8" t="inlineStr">
        <is>
          <t>A33.0075</t>
        </is>
      </c>
      <c r="C24" s="8" t="inlineStr">
        <is>
          <t>Dây điện_Cu/PVC_2x(1x1.5)mm2</t>
        </is>
      </c>
      <c r="E24" s="8" t="inlineStr">
        <is>
          <t>m</t>
        </is>
      </c>
      <c r="F24" s="8" t="n">
        <v>0</v>
      </c>
      <c r="G24" s="8" t="n">
        <v>15055</v>
      </c>
      <c r="H24" s="8" t="n">
        <v>1</v>
      </c>
      <c r="I24" s="8" t="b">
        <v>1</v>
      </c>
      <c r="J24" s="8" t="n">
        <v>16560.5</v>
      </c>
      <c r="K24" s="8" t="inlineStr">
        <is>
          <t>DayDanDien2x4</t>
        </is>
      </c>
      <c r="L24" s="8" t="inlineStr">
        <is>
          <t>CBG quý 2/2026</t>
        </is>
      </c>
    </row>
    <row r="25">
      <c r="A25" s="8" t="n">
        <v>20</v>
      </c>
      <c r="B25" s="8" t="inlineStr">
        <is>
          <t>A33.0075</t>
        </is>
      </c>
      <c r="C25" s="8" t="inlineStr">
        <is>
          <t>Dây điện_Cu/PVC_2x(1x2.5)mm2</t>
        </is>
      </c>
      <c r="E25" s="8" t="inlineStr">
        <is>
          <t>m</t>
        </is>
      </c>
      <c r="F25" s="8" t="n">
        <v>0</v>
      </c>
      <c r="G25" s="8" t="n">
        <v>24591</v>
      </c>
      <c r="H25" s="8" t="n">
        <v>1</v>
      </c>
      <c r="I25" s="8" t="b">
        <v>1</v>
      </c>
      <c r="J25" s="8" t="n">
        <v>27050.1</v>
      </c>
      <c r="K25" s="8" t="inlineStr">
        <is>
          <t>DayDanDien2x4</t>
        </is>
      </c>
      <c r="L25" s="8" t="inlineStr">
        <is>
          <t>CBG quý 2/2026</t>
        </is>
      </c>
    </row>
    <row r="26">
      <c r="A26" s="8" t="n">
        <v>21</v>
      </c>
      <c r="B26" s="8" t="inlineStr">
        <is>
          <t>A33.0075</t>
        </is>
      </c>
      <c r="C26" s="8" t="inlineStr">
        <is>
          <t>Dây điện_Cu/PVC_2x(1x4.0)mm2</t>
        </is>
      </c>
      <c r="E26" s="8" t="inlineStr">
        <is>
          <t>m</t>
        </is>
      </c>
      <c r="F26" s="8" t="n">
        <v>0</v>
      </c>
      <c r="G26" s="8" t="n">
        <v>39292</v>
      </c>
      <c r="H26" s="8" t="n">
        <v>1</v>
      </c>
      <c r="I26" s="8" t="b">
        <v>1</v>
      </c>
      <c r="J26" s="8" t="n">
        <v>43221.2</v>
      </c>
      <c r="K26" s="8" t="inlineStr">
        <is>
          <t>DayDanDien2x4</t>
        </is>
      </c>
      <c r="L26" s="8" t="inlineStr">
        <is>
          <t>CBG quý 2/2026</t>
        </is>
      </c>
    </row>
    <row r="27">
      <c r="A27" s="8" t="n">
        <v>22</v>
      </c>
      <c r="B27" s="8" t="inlineStr">
        <is>
          <t>A33.0107</t>
        </is>
      </c>
      <c r="C27" s="8" t="inlineStr">
        <is>
          <t>Đá mài, cắt</t>
        </is>
      </c>
      <c r="E27" s="8" t="inlineStr">
        <is>
          <t>viên</t>
        </is>
      </c>
      <c r="F27" s="8" t="n">
        <v>0</v>
      </c>
      <c r="G27" s="8" t="n">
        <v>20000</v>
      </c>
      <c r="H27" s="8" t="n">
        <v>1</v>
      </c>
      <c r="I27" s="8" t="b">
        <v>1</v>
      </c>
      <c r="J27" s="8" t="n">
        <v>22000</v>
      </c>
      <c r="K27" s="8" t="inlineStr">
        <is>
          <t>DaMai</t>
        </is>
      </c>
      <c r="L27" s="8" t="inlineStr">
        <is>
          <t>Giá gốc</t>
        </is>
      </c>
    </row>
    <row r="28">
      <c r="A28" s="8" t="n">
        <v>23</v>
      </c>
      <c r="B28" s="8" t="inlineStr">
        <is>
          <t>A33.0008</t>
        </is>
      </c>
      <c r="C28" s="8" t="inlineStr">
        <is>
          <t>Đồng lá</t>
        </is>
      </c>
      <c r="E28" s="8" t="inlineStr">
        <is>
          <t>kg</t>
        </is>
      </c>
      <c r="F28" s="8" t="n">
        <v>0</v>
      </c>
      <c r="G28" s="8" t="n">
        <v>350000</v>
      </c>
      <c r="H28" s="8" t="n">
        <v>1</v>
      </c>
      <c r="I28" s="8" t="b">
        <v>1</v>
      </c>
      <c r="J28" s="8" t="n">
        <v>385000</v>
      </c>
      <c r="K28" s="8" t="inlineStr">
        <is>
          <t>DongLa</t>
        </is>
      </c>
      <c r="L28" s="8" t="inlineStr">
        <is>
          <t>Giá gốc</t>
        </is>
      </c>
    </row>
    <row r="29">
      <c r="A29" s="8" t="n">
        <v>24</v>
      </c>
      <c r="B29" s="8" t="inlineStr">
        <is>
          <t>A33.0007</t>
        </is>
      </c>
      <c r="C29" s="8" t="inlineStr">
        <is>
          <t>Gỗ nhóm 4</t>
        </is>
      </c>
      <c r="E29" s="8" t="inlineStr">
        <is>
          <t>m3</t>
        </is>
      </c>
      <c r="F29" s="8" t="n">
        <v>0</v>
      </c>
      <c r="G29" s="8" t="n">
        <v>2000000</v>
      </c>
      <c r="H29" s="8" t="n">
        <v>1</v>
      </c>
      <c r="I29" s="8" t="b">
        <v>1</v>
      </c>
      <c r="J29" s="8" t="n">
        <v>2200000</v>
      </c>
      <c r="K29" s="8" t="inlineStr">
        <is>
          <t>GoNhom4</t>
        </is>
      </c>
      <c r="L29" s="8" t="inlineStr">
        <is>
          <t>Giá gốc</t>
        </is>
      </c>
    </row>
    <row r="30">
      <c r="A30" s="8" t="n">
        <v>25</v>
      </c>
      <c r="B30" s="8" t="inlineStr">
        <is>
          <t>A33.0009</t>
        </is>
      </c>
      <c r="C30" s="8" t="inlineStr">
        <is>
          <t>Giá đỡ máy âm trần</t>
        </is>
      </c>
      <c r="E30" s="8" t="inlineStr">
        <is>
          <t>cái</t>
        </is>
      </c>
      <c r="F30" s="8" t="n">
        <v>0</v>
      </c>
      <c r="G30" s="8" t="n">
        <v>500000</v>
      </c>
      <c r="H30" s="8" t="n">
        <v>1</v>
      </c>
      <c r="I30" s="8" t="b">
        <v>1</v>
      </c>
      <c r="J30" s="8" t="n">
        <v>550000</v>
      </c>
      <c r="K30" s="8" t="inlineStr">
        <is>
          <t>GiaDoMay</t>
        </is>
      </c>
      <c r="L30" s="8" t="inlineStr">
        <is>
          <t>Tạm tính</t>
        </is>
      </c>
    </row>
    <row r="31">
      <c r="A31" s="8" t="n">
        <v>26</v>
      </c>
      <c r="B31" s="8" t="inlineStr">
        <is>
          <t>A33.0009</t>
        </is>
      </c>
      <c r="C31" s="8" t="inlineStr">
        <is>
          <t>Giá đỡ máy cassettle</t>
        </is>
      </c>
      <c r="E31" s="8" t="inlineStr">
        <is>
          <t>cái</t>
        </is>
      </c>
      <c r="F31" s="8" t="n">
        <v>0</v>
      </c>
      <c r="G31" s="8" t="n">
        <v>500000</v>
      </c>
      <c r="H31" s="8" t="n">
        <v>1</v>
      </c>
      <c r="I31" s="8" t="b">
        <v>1</v>
      </c>
      <c r="J31" s="8" t="n">
        <v>550000</v>
      </c>
      <c r="K31" s="8" t="inlineStr">
        <is>
          <t>GiaDoMay</t>
        </is>
      </c>
      <c r="L31" s="8" t="inlineStr">
        <is>
          <t>Tạm tính</t>
        </is>
      </c>
    </row>
    <row r="32">
      <c r="A32" s="8" t="n">
        <v>27</v>
      </c>
      <c r="B32" s="8" t="inlineStr">
        <is>
          <t>A33.0009</t>
        </is>
      </c>
      <c r="C32" s="8" t="inlineStr">
        <is>
          <t>Giá đỡ máy treo tường</t>
        </is>
      </c>
      <c r="E32" s="8" t="inlineStr">
        <is>
          <t>cái</t>
        </is>
      </c>
      <c r="F32" s="8" t="n">
        <v>0</v>
      </c>
      <c r="G32" s="8" t="n">
        <v>300000</v>
      </c>
      <c r="H32" s="8" t="n">
        <v>1</v>
      </c>
      <c r="I32" s="8" t="b">
        <v>1</v>
      </c>
      <c r="J32" s="8" t="n">
        <v>330000</v>
      </c>
      <c r="K32" s="8" t="inlineStr">
        <is>
          <t>GiaDoMay</t>
        </is>
      </c>
      <c r="L32" s="8" t="inlineStr">
        <is>
          <t>Tạm tính</t>
        </is>
      </c>
    </row>
    <row r="33">
      <c r="A33" s="8" t="n">
        <v>28</v>
      </c>
      <c r="B33" s="8" t="inlineStr">
        <is>
          <t>A33.0005</t>
        </is>
      </c>
      <c r="C33" s="8" t="inlineStr">
        <is>
          <t>Khí gas</t>
        </is>
      </c>
      <c r="E33" s="8" t="inlineStr">
        <is>
          <t>kg</t>
        </is>
      </c>
      <c r="F33" s="8" t="n">
        <v>0</v>
      </c>
      <c r="G33" s="8" t="n">
        <v>37803</v>
      </c>
      <c r="H33" s="8" t="n">
        <v>1</v>
      </c>
      <c r="I33" s="8" t="b">
        <v>1</v>
      </c>
      <c r="J33" s="8" t="n">
        <v>41583.3</v>
      </c>
      <c r="K33" s="8" t="inlineStr">
        <is>
          <t>KhiGas</t>
        </is>
      </c>
      <c r="L33" s="8" t="inlineStr">
        <is>
          <t>Giá gốc</t>
        </is>
      </c>
    </row>
    <row r="34">
      <c r="A34" s="8" t="n">
        <v>29</v>
      </c>
      <c r="B34" s="8" t="inlineStr">
        <is>
          <t>A24.0931</t>
        </is>
      </c>
      <c r="C34" s="8" t="inlineStr">
        <is>
          <t>Khí gas</t>
        </is>
      </c>
      <c r="E34" s="8" t="inlineStr">
        <is>
          <t>kg</t>
        </is>
      </c>
      <c r="F34" s="8" t="n">
        <v>0</v>
      </c>
      <c r="G34" s="8" t="n">
        <v>37803</v>
      </c>
      <c r="H34" s="8" t="n">
        <v>1</v>
      </c>
      <c r="I34" s="8" t="b">
        <v>1</v>
      </c>
      <c r="J34" s="8" t="n">
        <v>41583.3</v>
      </c>
      <c r="K34" s="8" t="inlineStr">
        <is>
          <t>KhiGa</t>
        </is>
      </c>
      <c r="L34" s="8" t="inlineStr">
        <is>
          <t>Giá gốc</t>
        </is>
      </c>
    </row>
    <row r="35">
      <c r="A35" s="8" t="n">
        <v>30</v>
      </c>
      <c r="B35" s="8" t="inlineStr">
        <is>
          <t>A33.0001</t>
        </is>
      </c>
      <c r="C35" s="8" t="inlineStr">
        <is>
          <t>Mỡ các loại</t>
        </is>
      </c>
      <c r="E35" s="8" t="inlineStr">
        <is>
          <t>kg</t>
        </is>
      </c>
      <c r="F35" s="8" t="n">
        <v>0</v>
      </c>
      <c r="G35" s="8" t="n">
        <v>90000</v>
      </c>
      <c r="H35" s="8" t="n">
        <v>1</v>
      </c>
      <c r="I35" s="8" t="b">
        <v>1</v>
      </c>
      <c r="J35" s="8" t="n">
        <v>99000</v>
      </c>
      <c r="K35" s="8" t="inlineStr">
        <is>
          <t>Mo</t>
        </is>
      </c>
      <c r="L35" s="8" t="inlineStr">
        <is>
          <t>Giá gốc</t>
        </is>
      </c>
    </row>
    <row r="36">
      <c r="A36" s="8" t="n">
        <v>31</v>
      </c>
      <c r="B36" s="8" t="inlineStr">
        <is>
          <t>A33.0346</t>
        </is>
      </c>
      <c r="C36" s="8" t="inlineStr">
        <is>
          <t>Nhựa dán</t>
        </is>
      </c>
      <c r="E36" s="8" t="inlineStr">
        <is>
          <t>kg</t>
        </is>
      </c>
      <c r="F36" s="8" t="n">
        <v>0</v>
      </c>
      <c r="G36" s="8" t="n">
        <v>86000</v>
      </c>
      <c r="H36" s="8" t="n">
        <v>1</v>
      </c>
      <c r="I36" s="8" t="b">
        <v>1</v>
      </c>
      <c r="J36" s="8" t="n">
        <v>94600</v>
      </c>
      <c r="K36" s="8" t="inlineStr">
        <is>
          <t>NhuaDan</t>
        </is>
      </c>
      <c r="L36" s="8" t="inlineStr">
        <is>
          <t>Giá gốc</t>
        </is>
      </c>
    </row>
    <row r="37">
      <c r="A37" s="8" t="n">
        <v>32</v>
      </c>
      <c r="B37" s="8" t="inlineStr">
        <is>
          <t>A33.0006</t>
        </is>
      </c>
      <c r="C37" s="8" t="inlineStr">
        <is>
          <t>Ô xy</t>
        </is>
      </c>
      <c r="E37" s="8" t="inlineStr">
        <is>
          <t>chai</t>
        </is>
      </c>
      <c r="F37" s="8" t="n">
        <v>0</v>
      </c>
      <c r="G37" s="8" t="n">
        <v>30000</v>
      </c>
      <c r="H37" s="8" t="n">
        <v>1</v>
      </c>
      <c r="I37" s="8" t="b">
        <v>1</v>
      </c>
      <c r="J37" s="8" t="n">
        <v>33000</v>
      </c>
      <c r="K37" s="8" t="inlineStr">
        <is>
          <t>Oxy</t>
        </is>
      </c>
      <c r="L37" s="8" t="inlineStr">
        <is>
          <t>Giá gốc</t>
        </is>
      </c>
    </row>
    <row r="38">
      <c r="A38" s="8" t="n">
        <v>33</v>
      </c>
      <c r="B38" s="8" t="inlineStr">
        <is>
          <t>A33.0001</t>
        </is>
      </c>
      <c r="C38" s="8" t="inlineStr">
        <is>
          <t>Ô xy</t>
        </is>
      </c>
      <c r="E38" s="8" t="inlineStr">
        <is>
          <t>chai</t>
        </is>
      </c>
      <c r="F38" s="8" t="n">
        <v>0</v>
      </c>
      <c r="G38" s="8" t="n">
        <v>30000</v>
      </c>
      <c r="H38" s="8" t="n">
        <v>1</v>
      </c>
      <c r="I38" s="8" t="b">
        <v>1</v>
      </c>
      <c r="J38" s="8" t="n">
        <v>33000</v>
      </c>
      <c r="K38" s="8" t="inlineStr">
        <is>
          <t>Oxy</t>
        </is>
      </c>
      <c r="L38" s="8" t="inlineStr">
        <is>
          <t>Giá gốc</t>
        </is>
      </c>
    </row>
    <row r="39">
      <c r="A39" s="8" t="n">
        <v>34</v>
      </c>
      <c r="B39" s="8" t="inlineStr">
        <is>
          <t>A33.0460</t>
        </is>
      </c>
      <c r="C39" s="8" t="inlineStr">
        <is>
          <t>Ống đồng_D12.7_0.81mm</t>
        </is>
      </c>
      <c r="E39" s="8" t="inlineStr">
        <is>
          <t>m</t>
        </is>
      </c>
      <c r="F39" s="8" t="n">
        <v>0</v>
      </c>
      <c r="G39" s="8" t="n">
        <v>108000</v>
      </c>
      <c r="H39" s="8" t="n">
        <v>1</v>
      </c>
      <c r="I39" s="8" t="b">
        <v>1</v>
      </c>
      <c r="J39" s="8" t="n">
        <v>118800</v>
      </c>
      <c r="K39" s="8" t="inlineStr">
        <is>
          <t>OngDongD=12,7</t>
        </is>
      </c>
      <c r="L39" s="8" t="inlineStr">
        <is>
          <t>Báo giá BKRE</t>
        </is>
      </c>
    </row>
    <row r="40">
      <c r="A40" s="8" t="n">
        <v>35</v>
      </c>
      <c r="B40" s="8" t="inlineStr">
        <is>
          <t>A33.0461</t>
        </is>
      </c>
      <c r="C40" s="8" t="inlineStr">
        <is>
          <t>Ống đồng_D15.9_0.99mm</t>
        </is>
      </c>
      <c r="E40" s="8" t="inlineStr">
        <is>
          <t>m</t>
        </is>
      </c>
      <c r="F40" s="8" t="n">
        <v>0</v>
      </c>
      <c r="G40" s="8" t="n">
        <v>166900</v>
      </c>
      <c r="H40" s="8" t="n">
        <v>1</v>
      </c>
      <c r="I40" s="8" t="b">
        <v>1</v>
      </c>
      <c r="J40" s="8" t="n">
        <v>183590</v>
      </c>
      <c r="K40" s="8" t="inlineStr">
        <is>
          <t>OngDongD=15,9</t>
        </is>
      </c>
      <c r="L40" s="8" t="inlineStr">
        <is>
          <t>Báo giá BKRE</t>
        </is>
      </c>
    </row>
    <row r="41">
      <c r="A41" s="8" t="n">
        <v>36</v>
      </c>
      <c r="B41" s="8" t="inlineStr">
        <is>
          <t>A33.0462</t>
        </is>
      </c>
      <c r="C41" s="8" t="inlineStr">
        <is>
          <t>Ống đồng_D19.1_0.99mm</t>
        </is>
      </c>
      <c r="E41" s="8" t="inlineStr">
        <is>
          <t>m</t>
        </is>
      </c>
      <c r="F41" s="8" t="n">
        <v>0</v>
      </c>
      <c r="G41" s="8" t="n">
        <v>202300</v>
      </c>
      <c r="H41" s="8" t="n">
        <v>1</v>
      </c>
      <c r="I41" s="8" t="b">
        <v>1</v>
      </c>
      <c r="J41" s="8" t="n">
        <v>222530</v>
      </c>
      <c r="K41" s="8" t="inlineStr">
        <is>
          <t>OngDongD=19,1</t>
        </is>
      </c>
      <c r="L41" s="8" t="inlineStr">
        <is>
          <t>Báo giá BKRE</t>
        </is>
      </c>
    </row>
    <row r="42">
      <c r="A42" s="8" t="n">
        <v>37</v>
      </c>
      <c r="B42" s="8" t="inlineStr">
        <is>
          <t>A33.0463</t>
        </is>
      </c>
      <c r="C42" s="8" t="inlineStr">
        <is>
          <t>Ống đồng_D22.2_1.14mm</t>
        </is>
      </c>
      <c r="E42" s="8" t="inlineStr">
        <is>
          <t>m</t>
        </is>
      </c>
      <c r="F42" s="8" t="n">
        <v>0</v>
      </c>
      <c r="G42" s="8" t="n">
        <v>272200</v>
      </c>
      <c r="H42" s="8" t="n">
        <v>1</v>
      </c>
      <c r="I42" s="8" t="b">
        <v>1</v>
      </c>
      <c r="J42" s="8" t="n">
        <v>299420</v>
      </c>
      <c r="K42" s="8" t="inlineStr">
        <is>
          <t>OngDongD=22,2</t>
        </is>
      </c>
      <c r="L42" s="8" t="inlineStr">
        <is>
          <t>Báo giá BKRE</t>
        </is>
      </c>
    </row>
    <row r="43">
      <c r="A43" s="8" t="n">
        <v>38</v>
      </c>
      <c r="B43" s="8" t="inlineStr">
        <is>
          <t>A33.0465</t>
        </is>
      </c>
      <c r="C43" s="8" t="inlineStr">
        <is>
          <t>Ống đồng_D28.6_1.27mm</t>
        </is>
      </c>
      <c r="E43" s="8" t="inlineStr">
        <is>
          <t>m</t>
        </is>
      </c>
      <c r="F43" s="8" t="n">
        <v>0</v>
      </c>
      <c r="G43" s="8" t="n">
        <v>392700</v>
      </c>
      <c r="H43" s="8" t="n">
        <v>1</v>
      </c>
      <c r="I43" s="8" t="b">
        <v>1</v>
      </c>
      <c r="J43" s="8" t="n">
        <v>431970</v>
      </c>
      <c r="K43" s="8" t="inlineStr">
        <is>
          <t>OngDongD=28,6</t>
        </is>
      </c>
      <c r="L43" s="8" t="inlineStr">
        <is>
          <t>Báo giá BKRE</t>
        </is>
      </c>
    </row>
    <row r="44">
      <c r="A44" s="8" t="n">
        <v>39</v>
      </c>
      <c r="B44" s="8" t="inlineStr">
        <is>
          <t>A33.0467</t>
        </is>
      </c>
      <c r="C44" s="8" t="inlineStr">
        <is>
          <t>Ống đồng_D34.9_1.40mm</t>
        </is>
      </c>
      <c r="E44" s="8" t="inlineStr">
        <is>
          <t>m</t>
        </is>
      </c>
      <c r="F44" s="8" t="n">
        <v>0</v>
      </c>
      <c r="G44" s="8" t="n">
        <v>531600</v>
      </c>
      <c r="H44" s="8" t="n">
        <v>1</v>
      </c>
      <c r="I44" s="8" t="b">
        <v>1</v>
      </c>
      <c r="J44" s="8" t="n">
        <v>584760</v>
      </c>
      <c r="K44" s="8" t="inlineStr">
        <is>
          <t>OngDongD=34,9</t>
        </is>
      </c>
      <c r="L44" s="8" t="inlineStr">
        <is>
          <t>Báo giá BKRE</t>
        </is>
      </c>
    </row>
    <row r="45">
      <c r="A45" s="8" t="n">
        <v>40</v>
      </c>
      <c r="B45" s="8" t="inlineStr">
        <is>
          <t>A33.0471</t>
        </is>
      </c>
      <c r="C45" s="8" t="inlineStr">
        <is>
          <t>Ống đồng_D41.3_1.53mm</t>
        </is>
      </c>
      <c r="E45" s="8" t="inlineStr">
        <is>
          <t>m</t>
        </is>
      </c>
      <c r="F45" s="8" t="n">
        <v>0</v>
      </c>
      <c r="G45" s="8" t="n">
        <v>684300</v>
      </c>
      <c r="H45" s="8" t="n">
        <v>1</v>
      </c>
      <c r="I45" s="8" t="b">
        <v>1</v>
      </c>
      <c r="J45" s="8" t="n">
        <v>752730</v>
      </c>
      <c r="K45" s="8" t="inlineStr">
        <is>
          <t>OngDongD=41,3</t>
        </is>
      </c>
      <c r="L45" s="8" t="inlineStr">
        <is>
          <t>Báo giá BKRE</t>
        </is>
      </c>
    </row>
    <row r="46">
      <c r="A46" s="8" t="n">
        <v>41</v>
      </c>
      <c r="B46" s="8" t="inlineStr">
        <is>
          <t>A33.0458</t>
        </is>
      </c>
      <c r="C46" s="8" t="inlineStr">
        <is>
          <t>Ống đồng_D6.4_0.81mm</t>
        </is>
      </c>
      <c r="E46" s="8" t="inlineStr">
        <is>
          <t>m</t>
        </is>
      </c>
      <c r="F46" s="8" t="n">
        <v>0</v>
      </c>
      <c r="G46" s="8" t="n">
        <v>50400</v>
      </c>
      <c r="H46" s="8" t="n">
        <v>1</v>
      </c>
      <c r="I46" s="8" t="b">
        <v>1</v>
      </c>
      <c r="J46" s="8" t="n">
        <v>55440</v>
      </c>
      <c r="K46" s="8" t="inlineStr">
        <is>
          <t>OngDongD=6,4</t>
        </is>
      </c>
      <c r="L46" s="8" t="inlineStr">
        <is>
          <t>Báo giá BKRE</t>
        </is>
      </c>
    </row>
    <row r="47">
      <c r="A47" s="8" t="n">
        <v>42</v>
      </c>
      <c r="B47" s="8" t="inlineStr">
        <is>
          <t>A33.0459</t>
        </is>
      </c>
      <c r="C47" s="8" t="inlineStr">
        <is>
          <t>Ống đồng_D9.5_0.81mm</t>
        </is>
      </c>
      <c r="E47" s="8" t="inlineStr">
        <is>
          <t>m</t>
        </is>
      </c>
      <c r="F47" s="8" t="n">
        <v>0</v>
      </c>
      <c r="G47" s="8" t="n">
        <v>79200</v>
      </c>
      <c r="H47" s="8" t="n">
        <v>1</v>
      </c>
      <c r="I47" s="8" t="b">
        <v>1</v>
      </c>
      <c r="J47" s="8" t="n">
        <v>87120</v>
      </c>
      <c r="K47" s="8" t="inlineStr">
        <is>
          <t>OngDongD=9,5</t>
        </is>
      </c>
      <c r="L47" s="8" t="inlineStr">
        <is>
          <t>Báo giá BKRE</t>
        </is>
      </c>
    </row>
    <row r="48">
      <c r="A48" s="8" t="n">
        <v>43</v>
      </c>
      <c r="B48" s="8" t="inlineStr">
        <is>
          <t>A33.0332</t>
        </is>
      </c>
      <c r="C48" s="8" t="inlineStr">
        <is>
          <t>Ống uPVC_D21</t>
        </is>
      </c>
      <c r="E48" s="8" t="inlineStr">
        <is>
          <t>m</t>
        </is>
      </c>
      <c r="F48" s="8" t="n">
        <v>0</v>
      </c>
      <c r="G48" s="8" t="n">
        <v>8400</v>
      </c>
      <c r="H48" s="8" t="n">
        <v>1</v>
      </c>
      <c r="I48" s="8" t="b">
        <v>1</v>
      </c>
      <c r="J48" s="8" t="n">
        <v>9240</v>
      </c>
      <c r="K48" s="8" t="inlineStr">
        <is>
          <t>OngNhuaPVCMiengBatD=20</t>
        </is>
      </c>
      <c r="L48" s="8" t="inlineStr">
        <is>
          <t>Catalogue BG Tiền Phong</t>
        </is>
      </c>
    </row>
    <row r="49">
      <c r="A49" s="8" t="n">
        <v>44</v>
      </c>
      <c r="B49" s="8" t="inlineStr">
        <is>
          <t>A33.0333</t>
        </is>
      </c>
      <c r="C49" s="8" t="inlineStr">
        <is>
          <t>Ống uPVC_D27</t>
        </is>
      </c>
      <c r="E49" s="8" t="inlineStr">
        <is>
          <t>m</t>
        </is>
      </c>
      <c r="F49" s="8" t="n">
        <v>0</v>
      </c>
      <c r="G49" s="8" t="n">
        <v>11500</v>
      </c>
      <c r="H49" s="8" t="n">
        <v>1</v>
      </c>
      <c r="I49" s="8" t="b">
        <v>1</v>
      </c>
      <c r="J49" s="8" t="n">
        <v>12650</v>
      </c>
      <c r="K49" s="8" t="inlineStr">
        <is>
          <t>OngNhuaPVCMiengBatD=25</t>
        </is>
      </c>
      <c r="L49" s="8" t="inlineStr">
        <is>
          <t>Catalogue BG Tiền Phong</t>
        </is>
      </c>
    </row>
    <row r="50">
      <c r="A50" s="8" t="n">
        <v>45</v>
      </c>
      <c r="B50" s="8" t="inlineStr">
        <is>
          <t>A33.0334</t>
        </is>
      </c>
      <c r="C50" s="8" t="inlineStr">
        <is>
          <t>Ống uPVC_D34</t>
        </is>
      </c>
      <c r="E50" s="8" t="inlineStr">
        <is>
          <t>m</t>
        </is>
      </c>
      <c r="F50" s="8" t="n">
        <v>0</v>
      </c>
      <c r="G50" s="8" t="n">
        <v>14500</v>
      </c>
      <c r="H50" s="8" t="n">
        <v>1</v>
      </c>
      <c r="I50" s="8" t="b">
        <v>1</v>
      </c>
      <c r="J50" s="8" t="n">
        <v>15950</v>
      </c>
      <c r="K50" s="8" t="inlineStr">
        <is>
          <t>OngNhuaPVCMiengBatD=32</t>
        </is>
      </c>
      <c r="L50" s="8" t="inlineStr">
        <is>
          <t>Catalogue BG Tiền Phong</t>
        </is>
      </c>
    </row>
    <row r="51">
      <c r="A51" s="8" t="n">
        <v>46</v>
      </c>
      <c r="B51" s="8" t="inlineStr">
        <is>
          <t>A33.0335</t>
        </is>
      </c>
      <c r="C51" s="8" t="inlineStr">
        <is>
          <t>Ống uPVC_D42</t>
        </is>
      </c>
      <c r="E51" s="8" t="inlineStr">
        <is>
          <t>m</t>
        </is>
      </c>
      <c r="F51" s="8" t="n">
        <v>0</v>
      </c>
      <c r="G51" s="8" t="n">
        <v>22600</v>
      </c>
      <c r="H51" s="8" t="n">
        <v>1</v>
      </c>
      <c r="I51" s="8" t="b">
        <v>1</v>
      </c>
      <c r="J51" s="8" t="n">
        <v>24860</v>
      </c>
      <c r="K51" s="8" t="inlineStr">
        <is>
          <t>OngNhuaPVCMiengBatD=40</t>
        </is>
      </c>
      <c r="L51" s="8" t="inlineStr">
        <is>
          <t>Catalogue BG Tiền Phong</t>
        </is>
      </c>
    </row>
    <row r="52">
      <c r="A52" s="8" t="n">
        <v>47</v>
      </c>
      <c r="B52" s="8" t="inlineStr">
        <is>
          <t>A33.0336</t>
        </is>
      </c>
      <c r="C52" s="8" t="inlineStr">
        <is>
          <t>Ống uPVC_D48</t>
        </is>
      </c>
      <c r="E52" s="8" t="inlineStr">
        <is>
          <t>m</t>
        </is>
      </c>
      <c r="F52" s="8" t="n">
        <v>0</v>
      </c>
      <c r="G52" s="8" t="n">
        <v>27300</v>
      </c>
      <c r="H52" s="8" t="n">
        <v>1</v>
      </c>
      <c r="I52" s="8" t="b">
        <v>1</v>
      </c>
      <c r="J52" s="8" t="n">
        <v>30030</v>
      </c>
      <c r="K52" s="8" t="inlineStr">
        <is>
          <t>OngNhuaPVCMiengBatD=50</t>
        </is>
      </c>
      <c r="L52" s="8" t="inlineStr">
        <is>
          <t>Catalogue BG Tiền Phong</t>
        </is>
      </c>
    </row>
    <row r="53">
      <c r="A53" s="8" t="n">
        <v>48</v>
      </c>
      <c r="B53" s="8" t="inlineStr">
        <is>
          <t>A33.0108</t>
        </is>
      </c>
      <c r="C53" s="8" t="inlineStr">
        <is>
          <t>Que hàn các loại</t>
        </is>
      </c>
      <c r="E53" s="8" t="inlineStr">
        <is>
          <t>kg</t>
        </is>
      </c>
      <c r="F53" s="8" t="n">
        <v>0</v>
      </c>
      <c r="G53" s="8" t="n">
        <v>19800</v>
      </c>
      <c r="H53" s="8" t="n">
        <v>1</v>
      </c>
      <c r="I53" s="8" t="b">
        <v>1</v>
      </c>
      <c r="J53" s="8" t="n">
        <v>21780</v>
      </c>
      <c r="K53" s="8" t="inlineStr">
        <is>
          <t>QueHan</t>
        </is>
      </c>
      <c r="L53" s="8" t="inlineStr">
        <is>
          <t>Giá gốc</t>
        </is>
      </c>
    </row>
    <row r="54">
      <c r="A54" s="8" t="n">
        <v>49</v>
      </c>
      <c r="B54" s="8" t="inlineStr">
        <is>
          <t>A33.0113</t>
        </is>
      </c>
      <c r="C54" s="8" t="inlineStr">
        <is>
          <t>Que hàn đồng</t>
        </is>
      </c>
      <c r="E54" s="8" t="inlineStr">
        <is>
          <t>kg</t>
        </is>
      </c>
      <c r="F54" s="8" t="n">
        <v>0</v>
      </c>
      <c r="G54" s="8" t="n">
        <v>250000</v>
      </c>
      <c r="H54" s="8" t="n">
        <v>1</v>
      </c>
      <c r="I54" s="8" t="b">
        <v>1</v>
      </c>
      <c r="J54" s="8" t="n">
        <v>275000</v>
      </c>
      <c r="K54" s="8" t="inlineStr">
        <is>
          <t>QueHanDong</t>
        </is>
      </c>
      <c r="L54" s="8" t="inlineStr">
        <is>
          <t>Giá gốc</t>
        </is>
      </c>
    </row>
    <row r="55">
      <c r="A55" s="8" t="n">
        <v>50</v>
      </c>
      <c r="B55" s="8" t="inlineStr">
        <is>
          <t>A33.0003</t>
        </is>
      </c>
      <c r="C55" s="8" t="inlineStr">
        <is>
          <t>Thép tấm</t>
        </is>
      </c>
      <c r="E55" s="8" t="inlineStr">
        <is>
          <t>kg</t>
        </is>
      </c>
      <c r="F55" s="8" t="n">
        <v>0</v>
      </c>
      <c r="G55" s="8" t="n">
        <v>14950</v>
      </c>
      <c r="H55" s="8" t="n">
        <v>1</v>
      </c>
      <c r="I55" s="8" t="b">
        <v>1</v>
      </c>
      <c r="J55" s="8" t="n">
        <v>16445</v>
      </c>
      <c r="K55" s="8" t="inlineStr">
        <is>
          <t>ThepTam</t>
        </is>
      </c>
      <c r="L55" s="8" t="inlineStr">
        <is>
          <t>CBG HN Q1.2026 - Thái Nguyên</t>
        </is>
      </c>
    </row>
    <row r="56">
      <c r="A56" s="8" t="n">
        <v>51</v>
      </c>
      <c r="B56" s="8" t="inlineStr">
        <is>
          <t>A33.0469</t>
        </is>
      </c>
      <c r="C56" s="8" t="inlineStr">
        <is>
          <t>Thuốc hàn</t>
        </is>
      </c>
      <c r="E56" s="8" t="inlineStr">
        <is>
          <t>kg</t>
        </is>
      </c>
      <c r="F56" s="8" t="n">
        <v>0</v>
      </c>
      <c r="G56" s="8" t="n">
        <v>27000</v>
      </c>
      <c r="H56" s="8" t="n">
        <v>1</v>
      </c>
      <c r="I56" s="8" t="b">
        <v>1</v>
      </c>
      <c r="J56" s="8" t="n">
        <v>29700</v>
      </c>
      <c r="K56" s="8" t="inlineStr">
        <is>
          <t>ThuocHan</t>
        </is>
      </c>
      <c r="L56" s="8" t="inlineStr">
        <is>
          <t>Giá gốc</t>
        </is>
      </c>
    </row>
    <row r="57">
      <c r="A57" s="8" t="inlineStr">
        <is>
          <t>II</t>
        </is>
      </c>
      <c r="B57" s="8" t="inlineStr"/>
      <c r="C57" s="8" t="inlineStr">
        <is>
          <t>NHÂN CÔNG</t>
        </is>
      </c>
      <c r="E57" s="8" t="inlineStr"/>
      <c r="F57" s="8" t="inlineStr"/>
      <c r="G57" s="8" t="inlineStr"/>
      <c r="H57" s="8" t="inlineStr"/>
      <c r="I57" s="8" t="inlineStr"/>
      <c r="J57" s="8" t="inlineStr"/>
      <c r="K57" s="8" t="inlineStr"/>
      <c r="L57" s="8" t="inlineStr"/>
    </row>
    <row r="58">
      <c r="A58" s="8" t="n">
        <v>1</v>
      </c>
      <c r="B58" s="8" t="inlineStr">
        <is>
          <t>N3</t>
        </is>
      </c>
      <c r="C58" s="8" t="inlineStr">
        <is>
          <t>Nhân công nhóm 3</t>
        </is>
      </c>
      <c r="E58" s="8" t="inlineStr">
        <is>
          <t>công</t>
        </is>
      </c>
      <c r="F58" s="8" t="n">
        <v>0</v>
      </c>
      <c r="G58" s="8" t="n">
        <v>427000</v>
      </c>
      <c r="H58" s="8" t="n">
        <v>1</v>
      </c>
      <c r="I58" s="8" t="b">
        <v>1</v>
      </c>
      <c r="J58" s="8" t="inlineStr"/>
      <c r="K58" s="8" t="inlineStr">
        <is>
          <t>N3</t>
        </is>
      </c>
      <c r="L58" s="8" t="inlineStr">
        <is>
          <t>Được tính toán, rồi Link từ sheet Nhân công sang</t>
        </is>
      </c>
    </row>
    <row r="59">
      <c r="A59" s="8" t="n">
        <v>2</v>
      </c>
      <c r="B59" s="8" t="inlineStr">
        <is>
          <t>N4</t>
        </is>
      </c>
      <c r="C59" s="8" t="inlineStr">
        <is>
          <t>Nhân công nhóm 4</t>
        </is>
      </c>
      <c r="E59" s="8" t="inlineStr">
        <is>
          <t>công</t>
        </is>
      </c>
      <c r="F59" s="8" t="n">
        <v>0</v>
      </c>
      <c r="G59" s="8" t="n">
        <v>454000</v>
      </c>
      <c r="H59" s="8" t="n">
        <v>1</v>
      </c>
      <c r="I59" s="8" t="b">
        <v>1</v>
      </c>
      <c r="J59" s="8" t="inlineStr"/>
      <c r="K59" s="8" t="inlineStr">
        <is>
          <t>N4</t>
        </is>
      </c>
      <c r="L59" s="8" t="inlineStr">
        <is>
          <t>Được tính toán, rồi Link từ sheet Nhân công sang</t>
        </is>
      </c>
    </row>
    <row r="60">
      <c r="A60" s="8" t="inlineStr">
        <is>
          <t>III</t>
        </is>
      </c>
      <c r="B60" s="8" t="inlineStr"/>
      <c r="C60" s="8" t="inlineStr">
        <is>
          <t>MÁY THI CÔNG</t>
        </is>
      </c>
      <c r="E60" s="8" t="inlineStr"/>
      <c r="F60" s="8" t="inlineStr"/>
      <c r="G60" s="8" t="inlineStr"/>
      <c r="H60" s="8" t="inlineStr"/>
      <c r="I60" s="8" t="inlineStr"/>
      <c r="J60" s="8" t="inlineStr"/>
      <c r="K60" s="8" t="inlineStr"/>
      <c r="L60" s="8" t="inlineStr"/>
    </row>
    <row r="61">
      <c r="A61" s="8" t="n">
        <v>1</v>
      </c>
      <c r="B61" s="8" t="inlineStr">
        <is>
          <t>M102.0301</t>
        </is>
      </c>
      <c r="C61" s="8" t="inlineStr">
        <is>
          <t>Cần cẩu bánh xích 5T</t>
        </is>
      </c>
      <c r="E61" s="8" t="inlineStr">
        <is>
          <t>ca</t>
        </is>
      </c>
      <c r="F61" s="8" t="n">
        <v>0</v>
      </c>
      <c r="G61" s="8" t="n">
        <v>2451003</v>
      </c>
      <c r="H61" s="8" t="n">
        <v>1</v>
      </c>
      <c r="I61" s="8" t="b">
        <v>1</v>
      </c>
      <c r="J61" s="8" t="inlineStr"/>
      <c r="K61" s="8" t="inlineStr">
        <is>
          <t>M195</t>
        </is>
      </c>
      <c r="L61" s="8" t="inlineStr">
        <is>
          <t>Được tính toán, rồi Link từ sheet Máy sang</t>
        </is>
      </c>
    </row>
    <row r="62">
      <c r="A62" s="8" t="n">
        <v>2</v>
      </c>
      <c r="B62" s="8" t="inlineStr">
        <is>
          <t>M112.3901</t>
        </is>
      </c>
      <c r="C62" s="8" t="inlineStr">
        <is>
          <t>Máy hàn điện 50 kW</t>
        </is>
      </c>
      <c r="E62" s="8" t="inlineStr">
        <is>
          <t>ca</t>
        </is>
      </c>
      <c r="F62" s="8" t="n">
        <v>0</v>
      </c>
      <c r="G62" s="8" t="n">
        <v>719617</v>
      </c>
      <c r="H62" s="8" t="n">
        <v>1</v>
      </c>
      <c r="I62" s="8" t="b">
        <v>1</v>
      </c>
      <c r="J62" s="8" t="inlineStr"/>
      <c r="K62" s="8" t="inlineStr">
        <is>
          <t>M418</t>
        </is>
      </c>
      <c r="L62" s="8" t="inlineStr">
        <is>
          <t>Được tính toán, rồi Link từ sheet Máy sang</t>
        </is>
      </c>
    </row>
    <row r="63">
      <c r="A63" s="8" t="n">
        <v>3</v>
      </c>
      <c r="B63" s="8" t="inlineStr">
        <is>
          <t>M112.4101</t>
        </is>
      </c>
      <c r="C63" s="8" t="inlineStr">
        <is>
          <t>Máy hàn hơi 1000 l/h</t>
        </is>
      </c>
      <c r="E63" s="8" t="inlineStr">
        <is>
          <t>ca</t>
        </is>
      </c>
      <c r="F63" s="8" t="n">
        <v>0</v>
      </c>
      <c r="G63" s="8" t="n">
        <v>463545</v>
      </c>
      <c r="H63" s="8" t="n">
        <v>1</v>
      </c>
      <c r="I63" s="8" t="b">
        <v>1</v>
      </c>
      <c r="J63" s="8" t="inlineStr"/>
      <c r="K63" s="8" t="inlineStr">
        <is>
          <t>M432</t>
        </is>
      </c>
      <c r="L63" s="8" t="inlineStr">
        <is>
          <t>Được tính toán, rồi Link từ sheet Máy sang</t>
        </is>
      </c>
    </row>
    <row r="64">
      <c r="A64" s="8" t="n">
        <v>4</v>
      </c>
      <c r="B64" s="8" t="inlineStr">
        <is>
          <t>M112.1701</t>
        </is>
      </c>
      <c r="C64" s="8" t="inlineStr">
        <is>
          <t>Máy khoan bê tông cầm tay 0,62 kW</t>
        </is>
      </c>
      <c r="E64" s="8" t="inlineStr">
        <is>
          <t>ca</t>
        </is>
      </c>
      <c r="F64" s="8" t="n">
        <v>0</v>
      </c>
      <c r="G64" s="8" t="n">
        <v>15158</v>
      </c>
      <c r="H64" s="8" t="n">
        <v>1</v>
      </c>
      <c r="I64" s="8" t="b">
        <v>1</v>
      </c>
      <c r="J64" s="8" t="inlineStr"/>
      <c r="K64" s="8" t="inlineStr">
        <is>
          <t>M440</t>
        </is>
      </c>
      <c r="L64" s="8" t="inlineStr">
        <is>
          <t>Được tính toán, rồi Link từ sheet Máy sang</t>
        </is>
      </c>
    </row>
    <row r="65">
      <c r="A65" s="8" t="n">
        <v>5</v>
      </c>
      <c r="B65" s="8" t="inlineStr">
        <is>
          <t>M112.3703</t>
        </is>
      </c>
      <c r="C65" s="8" t="inlineStr">
        <is>
          <t>Máy mài 2,7 kW</t>
        </is>
      </c>
      <c r="E65" s="8" t="inlineStr">
        <is>
          <t>ca</t>
        </is>
      </c>
      <c r="F65" s="8" t="n">
        <v>0</v>
      </c>
      <c r="G65" s="8" t="n">
        <v>19497</v>
      </c>
      <c r="H65" s="8" t="n">
        <v>1</v>
      </c>
      <c r="I65" s="8" t="b">
        <v>1</v>
      </c>
      <c r="J65" s="8" t="inlineStr"/>
      <c r="K65" s="8" t="inlineStr">
        <is>
          <t>M458</t>
        </is>
      </c>
      <c r="L65" s="8" t="inlineStr">
        <is>
          <t>Được tính toán, rồi Link từ sheet Máy sang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12" customWidth="1" min="3" max="3"/>
    <col width="14" customWidth="1" min="4" max="4"/>
    <col width="50" customWidth="1" min="5" max="5"/>
  </cols>
  <sheetData>
    <row r="1">
      <c r="A1" s="8" t="inlineStr">
        <is>
          <t>DỮ LIỆU ĐẦU VÀO TÍNH NHÂN CÔNG, CA MÁY</t>
        </is>
      </c>
      <c r="B1" s="8" t="inlineStr"/>
      <c r="C1" s="8" t="inlineStr"/>
      <c r="D1" s="8" t="inlineStr"/>
      <c r="E1" s="8" t="inlineStr"/>
    </row>
    <row r="2">
      <c r="A2" s="8" t="inlineStr">
        <is>
          <t>DỰ ÁN: XÂY DỰNG NHÀ Ở CHO LỰC LƯỢNG VŨ TRANG CÔNG AN NHÂN DÂN TẠI Ô ĐẤT NO1 THUỘC LÔ ĐẤT D12 KHU ĐÔ THỊ MỚI CẦU GIẤY,
 PHƯỜNG CẦU GIẤY, THÀNH PHỐ HÀ NỘI</t>
        </is>
      </c>
      <c r="B2" s="8" t="inlineStr"/>
      <c r="C2" s="8" t="inlineStr"/>
      <c r="D2" s="8" t="inlineStr"/>
      <c r="E2" s="8" t="inlineStr"/>
    </row>
    <row r="3">
      <c r="A3" s="8" t="inlineStr">
        <is>
          <t>BẢNG 1.  MỨC LƯƠNG, SỐ NGÀY LÀM VIỆC</t>
        </is>
      </c>
      <c r="B3" s="8" t="inlineStr"/>
      <c r="C3" s="8" t="inlineStr"/>
      <c r="D3" s="8" t="inlineStr"/>
      <c r="E3" s="8" t="inlineStr"/>
    </row>
    <row r="4">
      <c r="A4" s="8" t="inlineStr">
        <is>
          <t>STT</t>
        </is>
      </c>
      <c r="B4" s="8" t="inlineStr">
        <is>
          <t>Tên, loại dữ liệu</t>
        </is>
      </c>
      <c r="C4" s="8" t="inlineStr"/>
      <c r="D4" s="8" t="inlineStr">
        <is>
          <t>Giá trị</t>
        </is>
      </c>
      <c r="E4" s="8" t="inlineStr"/>
    </row>
    <row r="5">
      <c r="A5" s="8" t="inlineStr"/>
      <c r="B5" s="8" t="inlineStr">
        <is>
          <t>Mức lương tối thiểu chung (đồng/tháng)</t>
        </is>
      </c>
      <c r="C5" s="8" t="inlineStr"/>
      <c r="D5" s="8" t="n">
        <v>2000000</v>
      </c>
      <c r="E5" s="8" t="inlineStr"/>
    </row>
    <row r="6">
      <c r="A6" s="8" t="n">
        <v>1</v>
      </c>
      <c r="B6" s="8" t="inlineStr">
        <is>
          <t>Mức lương đầu vào LNC (đồng/tháng)</t>
        </is>
      </c>
      <c r="C6" s="8" t="inlineStr"/>
      <c r="D6" s="8" t="n">
        <v>2188536</v>
      </c>
      <c r="E6" s="8" t="inlineStr"/>
    </row>
    <row r="7">
      <c r="A7" s="8" t="n">
        <v>2</v>
      </c>
      <c r="B7" s="8" t="inlineStr">
        <is>
          <t>Số ngày làm việc (ngày/tháng)</t>
        </is>
      </c>
      <c r="C7" s="8" t="inlineStr"/>
      <c r="D7" s="8" t="n">
        <v>26</v>
      </c>
      <c r="E7" s="8" t="inlineStr"/>
    </row>
    <row r="8">
      <c r="A8" s="8" t="n">
        <v>3</v>
      </c>
      <c r="B8" s="8" t="inlineStr">
        <is>
          <t>Hệ số điều chỉnh nhân công</t>
        </is>
      </c>
      <c r="C8" s="8" t="inlineStr"/>
      <c r="D8" s="8" t="n">
        <v>1</v>
      </c>
      <c r="E8" s="8" t="inlineStr"/>
    </row>
    <row r="9">
      <c r="A9" s="8" t="inlineStr">
        <is>
          <t>BẢNG 2.  TỶ LỆ CÁC KHOẢN PHỤ CẤP</t>
        </is>
      </c>
      <c r="B9" s="8" t="inlineStr"/>
      <c r="C9" s="8" t="inlineStr"/>
      <c r="D9" s="8" t="inlineStr"/>
      <c r="E9" s="8" t="inlineStr"/>
    </row>
    <row r="10">
      <c r="A10" s="8" t="inlineStr">
        <is>
          <t>STT</t>
        </is>
      </c>
      <c r="B10" s="8" t="inlineStr">
        <is>
          <t>Loại phụ cấp</t>
        </is>
      </c>
      <c r="C10" s="8" t="inlineStr"/>
      <c r="D10" s="8" t="inlineStr">
        <is>
          <t>Tỷ lệ</t>
        </is>
      </c>
      <c r="E10" s="8" t="inlineStr"/>
    </row>
    <row r="11">
      <c r="A11" s="8" t="n">
        <v>1</v>
      </c>
      <c r="B11" s="8" t="inlineStr">
        <is>
          <t>Phụ cấp lưu động</t>
        </is>
      </c>
      <c r="C11" s="8" t="inlineStr"/>
      <c r="D11" s="8" t="n">
        <v>0</v>
      </c>
      <c r="E11" s="8" t="inlineStr"/>
    </row>
    <row r="12">
      <c r="A12" s="8" t="n">
        <v>2</v>
      </c>
      <c r="B12" s="8" t="inlineStr">
        <is>
          <t>Không ổn định sản xuất</t>
        </is>
      </c>
      <c r="C12" s="8" t="inlineStr"/>
      <c r="D12" s="8" t="n">
        <v>0</v>
      </c>
      <c r="E12" s="8" t="inlineStr"/>
    </row>
    <row r="13">
      <c r="A13" s="8" t="n">
        <v>3</v>
      </c>
      <c r="B13" s="8" t="inlineStr">
        <is>
          <t>Lương phụ nghỉ lễ, tết hoặc nghỉ phép ...</t>
        </is>
      </c>
      <c r="C13" s="8" t="inlineStr"/>
      <c r="D13" s="8" t="n">
        <v>0</v>
      </c>
      <c r="E13" s="8" t="inlineStr"/>
    </row>
    <row r="14">
      <c r="A14" s="8" t="n">
        <v>4</v>
      </c>
      <c r="B14" s="8" t="inlineStr">
        <is>
          <t>Chi phí có thể khoán trực tiếp cho người lao động</t>
        </is>
      </c>
      <c r="C14" s="8" t="inlineStr"/>
      <c r="D14" s="8" t="n">
        <v>0</v>
      </c>
      <c r="E14" s="8" t="inlineStr"/>
    </row>
    <row r="15">
      <c r="A15" s="8" t="n">
        <v>5</v>
      </c>
      <c r="B15" s="8" t="inlineStr">
        <is>
          <t>Phụ cấp khu vực</t>
        </is>
      </c>
      <c r="C15" s="8" t="inlineStr"/>
      <c r="D15" s="8" t="n">
        <v>0</v>
      </c>
      <c r="E15" s="8" t="inlineStr"/>
    </row>
    <row r="16">
      <c r="A16" s="8" t="n">
        <v>6</v>
      </c>
      <c r="B16" s="8" t="inlineStr">
        <is>
          <t>Phụ cấp độc hại</t>
        </is>
      </c>
      <c r="C16" s="8" t="inlineStr"/>
      <c r="D16" s="8" t="n">
        <v>0</v>
      </c>
      <c r="E16" s="8" t="inlineStr"/>
    </row>
    <row r="17">
      <c r="A17" s="8" t="n">
        <v>7</v>
      </c>
      <c r="B17" s="8" t="inlineStr">
        <is>
          <t>Phụ cấp thu hút</t>
        </is>
      </c>
      <c r="C17" s="8" t="inlineStr"/>
      <c r="D17" s="8" t="n">
        <v>0</v>
      </c>
      <c r="E17" s="8" t="inlineStr"/>
    </row>
    <row r="18">
      <c r="A18" s="8" t="n">
        <v>8</v>
      </c>
      <c r="B18" s="8" t="inlineStr">
        <is>
          <t>Phụ cấp trách nhiệm</t>
        </is>
      </c>
      <c r="C18" s="8" t="inlineStr"/>
      <c r="D18" s="8" t="n">
        <v>0</v>
      </c>
      <c r="E18" s="8" t="inlineStr"/>
    </row>
    <row r="19">
      <c r="A19" s="8" t="n">
        <v>9</v>
      </c>
      <c r="B19" s="8" t="inlineStr">
        <is>
          <t>Phụ cấp bảo hiểm</t>
        </is>
      </c>
      <c r="C19" s="8" t="inlineStr"/>
      <c r="D19" s="8" t="n">
        <v>0</v>
      </c>
      <c r="E19" s="8" t="inlineStr"/>
    </row>
    <row r="20">
      <c r="A20" s="8" t="n">
        <v>10</v>
      </c>
      <c r="B20" s="8" t="inlineStr">
        <is>
          <t>Phụ cấp vùng sâu, vùng xa, khó khăn, đắt đỏ</t>
        </is>
      </c>
      <c r="C20" s="8" t="inlineStr"/>
      <c r="D20" s="8" t="n">
        <v>0</v>
      </c>
      <c r="E20" s="8" t="inlineStr"/>
    </row>
    <row r="21">
      <c r="A21" s="8" t="inlineStr">
        <is>
          <t>BẢNG 3.  ĐƠN GIÁ NHIÊN LIỆU, ĐIỆN (TRƯỚC THUẾ VAT)</t>
        </is>
      </c>
      <c r="B21" s="8" t="inlineStr"/>
      <c r="C21" s="8" t="inlineStr"/>
      <c r="D21" s="8" t="inlineStr"/>
      <c r="E21" s="8" t="inlineStr"/>
    </row>
    <row r="22">
      <c r="A22" s="8" t="inlineStr">
        <is>
          <t>STT</t>
        </is>
      </c>
      <c r="B22" s="8" t="inlineStr">
        <is>
          <t>Loại nhiên liệu, năng lượng</t>
        </is>
      </c>
      <c r="C22" s="8" t="inlineStr">
        <is>
          <t>Đơn vị</t>
        </is>
      </c>
      <c r="D22" s="8" t="inlineStr">
        <is>
          <t>Đơn giá (đ)</t>
        </is>
      </c>
      <c r="E22" s="8" t="inlineStr"/>
    </row>
    <row r="23">
      <c r="A23" s="8" t="n">
        <v>1</v>
      </c>
      <c r="B23" s="8" t="inlineStr">
        <is>
          <t>Diezel</t>
        </is>
      </c>
      <c r="C23" s="8" t="inlineStr">
        <is>
          <t>Lít</t>
        </is>
      </c>
      <c r="D23" s="8" t="n">
        <v>28480</v>
      </c>
      <c r="E23" s="8" t="inlineStr"/>
    </row>
    <row r="24">
      <c r="A24" s="8" t="n">
        <v>2</v>
      </c>
      <c r="B24" s="8" t="inlineStr">
        <is>
          <t>Mazut</t>
        </is>
      </c>
      <c r="C24" s="8" t="inlineStr">
        <is>
          <t>Lít</t>
        </is>
      </c>
      <c r="D24" s="8" t="n">
        <v>15790.5</v>
      </c>
      <c r="E24" s="8" t="inlineStr"/>
    </row>
    <row r="25">
      <c r="A25" s="8" t="n">
        <v>3</v>
      </c>
      <c r="B25" s="8" t="inlineStr">
        <is>
          <t>Điện</t>
        </is>
      </c>
      <c r="C25" s="8" t="inlineStr">
        <is>
          <t>kwh</t>
        </is>
      </c>
      <c r="D25" s="8" t="n">
        <v>1987</v>
      </c>
      <c r="E25" s="8" t="inlineStr">
        <is>
          <t>Giá điện theo: Quyết định 1279/QĐ-BCT ngày 09/05/2025</t>
        </is>
      </c>
    </row>
    <row r="26">
      <c r="A26" s="8" t="n">
        <v>4</v>
      </c>
      <c r="B26" s="8" t="inlineStr">
        <is>
          <t>Xăng</t>
        </is>
      </c>
      <c r="C26" s="8" t="inlineStr">
        <is>
          <t>Lít</t>
        </is>
      </c>
      <c r="D26" s="8" t="n">
        <v>23740</v>
      </c>
      <c r="E26" s="8" t="inlineStr">
        <is>
          <t>Giá nhiên liệu theo: Công bố của Petrolimex ngày 10/09/2026</t>
        </is>
      </c>
    </row>
    <row r="27">
      <c r="A27" s="8" t="inlineStr">
        <is>
          <t>BẢNG 4.  HỆ SỐ NHIÊN LIỆU PHỤ</t>
        </is>
      </c>
      <c r="B27" s="8" t="inlineStr"/>
      <c r="C27" s="8" t="inlineStr"/>
      <c r="D27" s="8" t="inlineStr"/>
      <c r="E27" s="8" t="inlineStr"/>
    </row>
    <row r="28">
      <c r="A28" s="8" t="inlineStr">
        <is>
          <t>STT</t>
        </is>
      </c>
      <c r="B28" s="8" t="inlineStr">
        <is>
          <t>Loại động cơ</t>
        </is>
      </c>
      <c r="C28" s="8" t="inlineStr"/>
      <c r="D28" s="8" t="inlineStr">
        <is>
          <t>Hệ số</t>
        </is>
      </c>
      <c r="E28" s="8" t="inlineStr"/>
    </row>
    <row r="29">
      <c r="A29" s="8" t="n">
        <v>1</v>
      </c>
      <c r="B29" s="8" t="inlineStr">
        <is>
          <t>Động cơ Diezel</t>
        </is>
      </c>
      <c r="C29" s="8" t="inlineStr"/>
      <c r="D29" s="8" t="n">
        <v>1.03</v>
      </c>
      <c r="E29" s="8" t="inlineStr"/>
    </row>
    <row r="30">
      <c r="A30" s="8" t="n">
        <v>2</v>
      </c>
      <c r="B30" s="8" t="inlineStr">
        <is>
          <t>Động cơ Mazut</t>
        </is>
      </c>
      <c r="C30" s="8" t="inlineStr"/>
      <c r="D30" s="8" t="n">
        <v>1</v>
      </c>
      <c r="E30" s="8" t="inlineStr"/>
    </row>
    <row r="31">
      <c r="A31" s="8" t="n">
        <v>3</v>
      </c>
      <c r="B31" s="8" t="inlineStr">
        <is>
          <t>Động cơ Điện</t>
        </is>
      </c>
      <c r="C31" s="8" t="inlineStr"/>
      <c r="D31" s="8" t="n">
        <v>1.05</v>
      </c>
      <c r="E31" s="8" t="inlineStr"/>
    </row>
    <row r="32">
      <c r="A32" s="8" t="n">
        <v>4</v>
      </c>
      <c r="B32" s="8" t="inlineStr">
        <is>
          <t>Động cơ Xăng</t>
        </is>
      </c>
      <c r="C32" s="8" t="inlineStr"/>
      <c r="D32" s="8" t="n">
        <v>1.02</v>
      </c>
      <c r="E32" s="8" t="inlineStr"/>
    </row>
    <row r="33">
      <c r="A33" s="8" t="inlineStr">
        <is>
          <t>BẢNG 5.  THU HỒI KHI THANH LÝ</t>
        </is>
      </c>
      <c r="B33" s="8" t="inlineStr"/>
      <c r="C33" s="8" t="inlineStr"/>
      <c r="D33" s="8" t="inlineStr"/>
      <c r="E33" s="8" t="inlineStr"/>
    </row>
    <row r="34">
      <c r="A34" s="8" t="inlineStr">
        <is>
          <t>STT</t>
        </is>
      </c>
      <c r="B34" s="8" t="inlineStr">
        <is>
          <t>Loại nhiên liệu, năng lượng</t>
        </is>
      </c>
      <c r="C34" s="8" t="inlineStr"/>
      <c r="D34" s="8" t="inlineStr">
        <is>
          <t>Giá trị</t>
        </is>
      </c>
      <c r="E34" s="8" t="inlineStr"/>
    </row>
    <row r="35">
      <c r="A35" s="8" t="n">
        <v>1</v>
      </c>
      <c r="B35" s="8" t="inlineStr">
        <is>
          <t>Thu hồi thanh lý khi nguyên giá từ (triệu đồng)</t>
        </is>
      </c>
      <c r="C35" s="8" t="inlineStr"/>
      <c r="D35" s="8" t="n">
        <v>30</v>
      </c>
      <c r="E35" s="8" t="inlineStr"/>
    </row>
    <row r="36">
      <c r="A36" s="8" t="n">
        <v>2</v>
      </c>
      <c r="B36" s="8" t="inlineStr">
        <is>
          <t>Tỷ lệ thu hồi khi thanh lý</t>
        </is>
      </c>
      <c r="C36" s="8" t="inlineStr"/>
      <c r="D36" s="8" t="n">
        <v>0.1</v>
      </c>
      <c r="E36" s="8" t="inlineStr"/>
    </row>
    <row r="37">
      <c r="A37" s="8" t="inlineStr">
        <is>
          <t>BẢNG 6.  LÀM TRÒN SỐ HỌC</t>
        </is>
      </c>
      <c r="B37" s="8" t="inlineStr"/>
      <c r="C37" s="8" t="inlineStr"/>
      <c r="D37" s="8" t="inlineStr"/>
      <c r="E37" s="8" t="inlineStr"/>
    </row>
    <row r="38">
      <c r="A38" s="8" t="inlineStr">
        <is>
          <t>STT</t>
        </is>
      </c>
      <c r="B38" s="8" t="inlineStr">
        <is>
          <t>Đối tượng làm tròn</t>
        </is>
      </c>
      <c r="C38" s="8" t="inlineStr"/>
      <c r="D38" s="8" t="inlineStr">
        <is>
          <t>Làm tròn</t>
        </is>
      </c>
      <c r="E38" s="8" t="inlineStr"/>
    </row>
    <row r="39">
      <c r="A39" s="8" t="n">
        <v>1</v>
      </c>
      <c r="B39" s="8" t="inlineStr">
        <is>
          <t>Giá</t>
        </is>
      </c>
      <c r="C39" s="8" t="inlineStr"/>
      <c r="D39" s="8" t="n">
        <v>1</v>
      </c>
      <c r="E39" s="8" t="n">
        <v>1</v>
      </c>
    </row>
    <row r="40">
      <c r="A40" s="8" t="n">
        <v>2</v>
      </c>
      <c r="B40" s="8" t="inlineStr">
        <is>
          <t>Đơn giá Nhân công, Lương thợ lái máy</t>
        </is>
      </c>
      <c r="C40" s="8" t="inlineStr"/>
      <c r="D40" s="8" t="n">
        <v>0</v>
      </c>
      <c r="E40" s="8" t="n">
        <v>0</v>
      </c>
    </row>
    <row r="41">
      <c r="A41" s="8" t="n">
        <v>3</v>
      </c>
      <c r="B41" s="8" t="inlineStr">
        <is>
          <t>Tổng đơn giá</t>
        </is>
      </c>
      <c r="C41" s="8" t="inlineStr"/>
      <c r="D41" s="8" t="n">
        <v>0</v>
      </c>
      <c r="E41" s="8" t="inlineStr"/>
    </row>
    <row r="42">
      <c r="A42" s="8" t="n">
        <v>4</v>
      </c>
      <c r="B42" s="8" t="inlineStr">
        <is>
          <t>Hệ số lương</t>
        </is>
      </c>
      <c r="C42" s="8" t="inlineStr"/>
      <c r="D42" s="8" t="n">
        <v>3</v>
      </c>
      <c r="E42" s="8" t="inlineStr"/>
    </row>
    <row r="43">
      <c r="A43" s="8" t="inlineStr">
        <is>
          <t>BẢNG 7.  CÁC KÝ HIỆU VIẾT TẮT</t>
        </is>
      </c>
      <c r="B43" s="8" t="inlineStr"/>
      <c r="C43" s="8" t="inlineStr"/>
      <c r="D43" s="8" t="inlineStr"/>
      <c r="E43" s="8" t="inlineStr"/>
    </row>
    <row r="44">
      <c r="A44" s="8" t="inlineStr">
        <is>
          <t>STT</t>
        </is>
      </c>
      <c r="B44" s="8" t="inlineStr">
        <is>
          <t>Ý nghĩa ký hiệu viết tắt</t>
        </is>
      </c>
      <c r="C44" s="8" t="inlineStr"/>
      <c r="D44" s="8" t="inlineStr">
        <is>
          <t>Ký hiệu</t>
        </is>
      </c>
      <c r="E44" s="8" t="inlineStr"/>
    </row>
    <row r="45">
      <c r="A45" s="8" t="n">
        <v>1</v>
      </c>
      <c r="B45" s="8" t="inlineStr">
        <is>
          <t>Mức lương đầu vào</t>
        </is>
      </c>
      <c r="C45" s="8" t="inlineStr"/>
      <c r="D45" s="8" t="inlineStr">
        <is>
          <t>LNC</t>
        </is>
      </c>
      <c r="E45" s="8" t="inlineStr"/>
    </row>
    <row r="46">
      <c r="A46" s="8" t="n">
        <v>2</v>
      </c>
      <c r="B46" s="8" t="inlineStr">
        <is>
          <t>Lương cơ bản (lương cấp bậc)</t>
        </is>
      </c>
      <c r="C46" s="8" t="inlineStr"/>
      <c r="D46" s="8" t="inlineStr">
        <is>
          <t>LCB</t>
        </is>
      </c>
      <c r="E46" s="8" t="inlineStr"/>
    </row>
    <row r="47">
      <c r="A47" s="8" t="n">
        <v>3</v>
      </c>
      <c r="B47" s="8" t="inlineStr">
        <is>
          <t>Hệ số lương theo cấp bậc</t>
        </is>
      </c>
      <c r="C47" s="8" t="inlineStr"/>
      <c r="D47" s="8" t="inlineStr">
        <is>
          <t>HCB</t>
        </is>
      </c>
      <c r="E47" s="8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19" customWidth="1" min="3" max="3"/>
    <col width="38" customWidth="1" min="4" max="4"/>
    <col width="12" customWidth="1" min="5" max="5"/>
    <col width="20" customWidth="1" min="6" max="6"/>
    <col width="32" customWidth="1" min="7" max="7"/>
    <col width="24" customWidth="1" min="8" max="8"/>
    <col width="20" customWidth="1" min="9" max="9"/>
    <col width="22" customWidth="1" min="10" max="10"/>
    <col width="31" customWidth="1" min="11" max="11"/>
    <col width="36" customWidth="1" min="12" max="12"/>
    <col width="29" customWidth="1" min="13" max="13"/>
    <col width="21" customWidth="1" min="14" max="14"/>
    <col width="21" customWidth="1" min="15" max="15"/>
    <col width="21" customWidth="1" min="16" max="16"/>
    <col width="25" customWidth="1" min="17" max="17"/>
    <col width="22" customWidth="1" min="18" max="18"/>
    <col width="31" customWidth="1" min="19" max="19"/>
    <col width="29" customWidth="1" min="20" max="20"/>
    <col width="29" customWidth="1" min="21" max="21"/>
    <col width="30" customWidth="1" min="22" max="22"/>
  </cols>
  <sheetData>
    <row r="1">
      <c r="A1" s="8" t="inlineStr">
        <is>
          <t>BẢNG TÍNH ĐƠN GIÁ NHÂN CÔNG</t>
        </is>
      </c>
      <c r="B1" s="8" t="inlineStr"/>
      <c r="C1" s="8" t="inlineStr"/>
      <c r="E1" s="8" t="inlineStr"/>
      <c r="F1" s="8" t="inlineStr"/>
      <c r="G1" s="8" t="inlineStr"/>
      <c r="H1" s="8" t="inlineStr"/>
      <c r="I1" s="8" t="inlineStr"/>
      <c r="J1" s="8" t="inlineStr"/>
      <c r="K1" s="8" t="inlineStr"/>
      <c r="L1" s="8" t="inlineStr"/>
      <c r="M1" s="8" t="inlineStr"/>
      <c r="N1" s="8" t="inlineStr"/>
      <c r="O1" s="8" t="inlineStr"/>
      <c r="P1" s="8" t="inlineStr"/>
      <c r="Q1" s="8" t="inlineStr"/>
      <c r="R1" s="8" t="inlineStr"/>
      <c r="S1" s="8" t="inlineStr"/>
      <c r="T1" s="8" t="inlineStr"/>
      <c r="U1" s="8" t="inlineStr"/>
      <c r="V1" s="8" t="inlineStr"/>
    </row>
    <row r="2">
      <c r="A2" s="8" t="inlineStr">
        <is>
          <t>(Theo HD 14502/SXD-KTXD năm 2026 của TP Hà Nội - Phường Cầu Giấy.)</t>
        </is>
      </c>
      <c r="B2" s="8" t="inlineStr"/>
      <c r="C2" s="8" t="inlineStr"/>
      <c r="E2" s="8" t="inlineStr"/>
      <c r="F2" s="8" t="inlineStr"/>
      <c r="G2" s="8" t="inlineStr"/>
      <c r="H2" s="8" t="inlineStr"/>
      <c r="I2" s="8" t="inlineStr"/>
      <c r="J2" s="8" t="inlineStr"/>
      <c r="K2" s="8" t="inlineStr"/>
      <c r="L2" s="8" t="inlineStr"/>
      <c r="M2" s="8" t="inlineStr"/>
      <c r="N2" s="8" t="inlineStr"/>
      <c r="O2" s="8" t="inlineStr"/>
      <c r="P2" s="8" t="inlineStr"/>
      <c r="Q2" s="8" t="inlineStr"/>
      <c r="R2" s="8" t="inlineStr"/>
      <c r="S2" s="8" t="inlineStr"/>
      <c r="T2" s="8" t="inlineStr"/>
      <c r="U2" s="8" t="inlineStr"/>
      <c r="V2" s="8" t="inlineStr"/>
    </row>
    <row r="3">
      <c r="A3" s="8" t="inlineStr">
        <is>
          <t>DỰ ÁN: XÂY DỰNG NHÀ Ở CHO LỰC LƯỢNG VŨ TRANG CÔNG AN NHÂN DÂN TẠI Ô ĐẤT NO1 THUỘC LÔ ĐẤT D12 KHU ĐÔ THỊ MỚI CẦU GIẤY,
 PHƯỜNG CẦU GIẤY, THÀNH PHỐ HÀ NỘI</t>
        </is>
      </c>
      <c r="B3" s="8" t="inlineStr"/>
      <c r="C3" s="8" t="inlineStr"/>
      <c r="E3" s="8" t="inlineStr"/>
      <c r="F3" s="8" t="inlineStr"/>
      <c r="G3" s="8" t="inlineStr"/>
      <c r="H3" s="8" t="inlineStr"/>
      <c r="I3" s="8" t="inlineStr"/>
      <c r="J3" s="8" t="inlineStr"/>
      <c r="K3" s="8" t="inlineStr"/>
      <c r="L3" s="8" t="inlineStr"/>
      <c r="M3" s="8" t="inlineStr"/>
      <c r="N3" s="8" t="inlineStr"/>
      <c r="O3" s="8" t="inlineStr"/>
      <c r="P3" s="8" t="inlineStr"/>
      <c r="Q3" s="8" t="inlineStr"/>
      <c r="R3" s="8" t="inlineStr"/>
      <c r="S3" s="8" t="inlineStr"/>
      <c r="T3" s="8" t="inlineStr"/>
      <c r="U3" s="8" t="inlineStr"/>
      <c r="V3" s="8" t="inlineStr"/>
    </row>
    <row r="4">
      <c r="A4" s="8" t="inlineStr">
        <is>
          <t>Đơn vị tính: (đ)</t>
        </is>
      </c>
      <c r="B4" s="8" t="inlineStr"/>
      <c r="C4" s="8" t="inlineStr"/>
      <c r="E4" s="8" t="inlineStr"/>
      <c r="F4" s="8" t="inlineStr"/>
      <c r="G4" s="8" t="inlineStr"/>
      <c r="H4" s="8" t="inlineStr"/>
      <c r="I4" s="8" t="inlineStr"/>
      <c r="J4" s="8" t="inlineStr"/>
      <c r="K4" s="8" t="inlineStr"/>
      <c r="L4" s="8" t="inlineStr"/>
      <c r="M4" s="8" t="inlineStr"/>
      <c r="N4" s="8" t="inlineStr"/>
      <c r="O4" s="8" t="inlineStr"/>
      <c r="P4" s="8" t="inlineStr"/>
      <c r="Q4" s="8" t="inlineStr"/>
      <c r="R4" s="8" t="inlineStr"/>
      <c r="S4" s="8" t="inlineStr"/>
      <c r="T4" s="8" t="inlineStr"/>
      <c r="U4" s="8" t="inlineStr"/>
      <c r="V4" s="8" t="inlineStr"/>
    </row>
    <row r="5">
      <c r="A5" s="8" t="inlineStr">
        <is>
          <t>STT</t>
        </is>
      </c>
      <c r="B5" s="8" t="inlineStr">
        <is>
          <t>Mã số</t>
        </is>
      </c>
      <c r="C5" s="8" t="inlineStr">
        <is>
          <t>Tên nhân công</t>
        </is>
      </c>
      <c r="D5" s="10" t="inlineStr">
        <is>
          <t>LINK TRA CỨU TT 38/2026/TT-BXD</t>
        </is>
      </c>
      <c r="E5" s="8" t="inlineStr">
        <is>
          <t>Đơn vị</t>
        </is>
      </c>
      <c r="F5" s="8" t="inlineStr">
        <is>
          <t>Hệ số lương (HCB)</t>
        </is>
      </c>
      <c r="G5" s="8" t="inlineStr">
        <is>
          <t>Đơn giá NC bình quân
(đ/công)</t>
        </is>
      </c>
      <c r="H5" s="8" t="inlineStr">
        <is>
          <t>Hệ số lương bình quân</t>
        </is>
      </c>
      <c r="I5" s="8" t="inlineStr">
        <is>
          <t>Lương CB
(đ/công)</t>
        </is>
      </c>
      <c r="J5" s="8" t="inlineStr">
        <is>
          <t>Phụ cấp (đ)</t>
        </is>
      </c>
      <c r="K5" s="8" t="inlineStr"/>
      <c r="L5" s="8" t="inlineStr"/>
      <c r="M5" s="8" t="inlineStr"/>
      <c r="N5" s="8" t="inlineStr"/>
      <c r="O5" s="8" t="inlineStr"/>
      <c r="P5" s="8" t="inlineStr"/>
      <c r="Q5" s="8" t="inlineStr"/>
      <c r="R5" s="8" t="inlineStr"/>
      <c r="S5" s="8" t="inlineStr"/>
      <c r="T5" s="8" t="inlineStr">
        <is>
          <t>Hệ số
điều chỉnh
nhân công</t>
        </is>
      </c>
      <c r="U5" s="8" t="inlineStr">
        <is>
          <t>Đơn giá
nhân công
(đ/công)</t>
        </is>
      </c>
      <c r="V5" s="8" t="inlineStr">
        <is>
          <t>Hệ số lương (chưa làm tròn)</t>
        </is>
      </c>
    </row>
    <row r="6">
      <c r="A6" s="8" t="inlineStr"/>
      <c r="B6" s="8" t="inlineStr"/>
      <c r="C6" s="8" t="inlineStr"/>
      <c r="E6" s="8" t="inlineStr"/>
      <c r="F6" s="8" t="inlineStr"/>
      <c r="G6" s="8" t="inlineStr"/>
      <c r="H6" s="8" t="inlineStr"/>
      <c r="I6" s="8" t="inlineStr"/>
      <c r="J6" s="8" t="inlineStr">
        <is>
          <t>Lưu động 
(0% LTC)</t>
        </is>
      </c>
      <c r="K6" s="8" t="inlineStr">
        <is>
          <t>Không ổn định S.X 
(0% LCB)</t>
        </is>
      </c>
      <c r="L6" s="8" t="inlineStr">
        <is>
          <t>Lương phụ nghỉ lễ, tết 
(0% LCB)</t>
        </is>
      </c>
      <c r="M6" s="8" t="inlineStr">
        <is>
          <t>Khoán trực tiếp 
(0% LCB)</t>
        </is>
      </c>
      <c r="N6" s="8" t="inlineStr">
        <is>
          <t>Khu vực 
(0% LTC)</t>
        </is>
      </c>
      <c r="O6" s="8" t="inlineStr">
        <is>
          <t>Độc hại 
(0% LTC)</t>
        </is>
      </c>
      <c r="P6" s="8" t="inlineStr">
        <is>
          <t>Thu hút 
(0% LCB)</t>
        </is>
      </c>
      <c r="Q6" s="8" t="inlineStr">
        <is>
          <t>Trách nhiệm 
(0% LTC)</t>
        </is>
      </c>
      <c r="R6" s="8" t="inlineStr">
        <is>
          <t>Bảo hiểm 
(0% LCB)</t>
        </is>
      </c>
      <c r="S6" s="8" t="inlineStr">
        <is>
          <t>Vùng sâu, vùng xa 
(0% LCB)</t>
        </is>
      </c>
      <c r="T6" s="8" t="inlineStr"/>
      <c r="U6" s="8" t="inlineStr"/>
      <c r="V6" s="8" t="inlineStr"/>
    </row>
    <row r="7">
      <c r="A7" s="8" t="inlineStr"/>
      <c r="B7" s="8" t="inlineStr"/>
      <c r="C7" s="8" t="inlineStr"/>
      <c r="E7" s="8" t="inlineStr"/>
      <c r="F7" s="8" t="inlineStr"/>
      <c r="G7" s="8" t="inlineStr"/>
      <c r="H7" s="8" t="inlineStr"/>
      <c r="I7" s="8" t="inlineStr"/>
      <c r="J7" s="8" t="n">
        <v>0</v>
      </c>
      <c r="K7" s="8" t="n">
        <v>0</v>
      </c>
      <c r="L7" s="8" t="n">
        <v>0</v>
      </c>
      <c r="M7" s="8" t="n">
        <v>0</v>
      </c>
      <c r="N7" s="8" t="n">
        <v>0</v>
      </c>
      <c r="O7" s="8" t="n">
        <v>0</v>
      </c>
      <c r="P7" s="8" t="n">
        <v>0</v>
      </c>
      <c r="Q7" s="8" t="n">
        <v>0</v>
      </c>
      <c r="R7" s="8" t="n">
        <v>0</v>
      </c>
      <c r="S7" s="8" t="n">
        <v>0</v>
      </c>
      <c r="T7" s="8" t="inlineStr"/>
      <c r="U7" s="8" t="inlineStr"/>
      <c r="V7" s="8" t="inlineStr"/>
    </row>
    <row r="8">
      <c r="A8" s="8" t="n">
        <v>1</v>
      </c>
      <c r="B8" s="8" t="inlineStr">
        <is>
          <t>N3</t>
        </is>
      </c>
      <c r="C8" s="8" t="inlineStr">
        <is>
          <t>Nhân công nhóm 3</t>
        </is>
      </c>
      <c r="E8" s="8" t="inlineStr">
        <is>
          <t>công</t>
        </is>
      </c>
      <c r="F8" s="8" t="inlineStr"/>
      <c r="G8" s="8" t="inlineStr"/>
      <c r="H8" s="8" t="inlineStr"/>
      <c r="I8" s="8" t="n">
        <v>427000</v>
      </c>
      <c r="J8" s="8" t="inlineStr"/>
      <c r="K8" s="8" t="n">
        <v>0</v>
      </c>
      <c r="L8" s="8" t="n">
        <v>0</v>
      </c>
      <c r="M8" s="8" t="n">
        <v>0</v>
      </c>
      <c r="N8" s="8" t="inlineStr"/>
      <c r="O8" s="8" t="inlineStr"/>
      <c r="P8" s="8" t="n">
        <v>0</v>
      </c>
      <c r="Q8" s="8" t="inlineStr"/>
      <c r="R8" s="8" t="n">
        <v>0</v>
      </c>
      <c r="S8" s="8" t="n">
        <v>0</v>
      </c>
      <c r="T8" s="8" t="inlineStr"/>
      <c r="U8" s="8" t="n">
        <v>427000</v>
      </c>
      <c r="V8" s="8" t="inlineStr"/>
    </row>
    <row r="9">
      <c r="A9" s="8" t="n">
        <v>2</v>
      </c>
      <c r="B9" s="8" t="inlineStr">
        <is>
          <t>N4</t>
        </is>
      </c>
      <c r="C9" s="8" t="inlineStr">
        <is>
          <t>Nhân công nhóm 4</t>
        </is>
      </c>
      <c r="E9" s="8" t="inlineStr">
        <is>
          <t>công</t>
        </is>
      </c>
      <c r="F9" s="8" t="inlineStr"/>
      <c r="G9" s="8" t="inlineStr"/>
      <c r="H9" s="8" t="inlineStr"/>
      <c r="I9" s="8" t="n">
        <v>454000</v>
      </c>
      <c r="J9" s="8" t="inlineStr"/>
      <c r="K9" s="8" t="n">
        <v>0</v>
      </c>
      <c r="L9" s="8" t="n">
        <v>0</v>
      </c>
      <c r="M9" s="8" t="n">
        <v>0</v>
      </c>
      <c r="N9" s="8" t="inlineStr"/>
      <c r="O9" s="8" t="inlineStr"/>
      <c r="P9" s="8" t="n">
        <v>0</v>
      </c>
      <c r="Q9" s="8" t="inlineStr"/>
      <c r="R9" s="8" t="n">
        <v>0</v>
      </c>
      <c r="S9" s="8" t="n">
        <v>0</v>
      </c>
      <c r="T9" s="8" t="inlineStr"/>
      <c r="U9" s="8" t="n">
        <v>454000</v>
      </c>
      <c r="V9" s="8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43" customWidth="1" min="3" max="3"/>
    <col width="38" customWidth="1" min="4" max="4"/>
    <col width="12" customWidth="1" min="5" max="5"/>
    <col width="18" customWidth="1" min="6" max="6"/>
    <col width="16" customWidth="1" min="7" max="7"/>
    <col width="23" customWidth="1" min="8" max="8"/>
    <col width="15" customWidth="1" min="9" max="9"/>
    <col width="12" customWidth="1" min="10" max="10"/>
    <col width="18" customWidth="1" min="11" max="11"/>
    <col width="21" customWidth="1" min="12" max="12"/>
  </cols>
  <sheetData>
    <row r="1">
      <c r="A1" s="8" t="inlineStr">
        <is>
          <t>BẢNG TÍNH ĐƠN GIÁ CA MÁY</t>
        </is>
      </c>
      <c r="B1" s="8" t="inlineStr"/>
      <c r="C1" s="8" t="inlineStr"/>
      <c r="E1" s="8" t="inlineStr"/>
      <c r="F1" s="8" t="inlineStr"/>
      <c r="G1" s="8" t="inlineStr"/>
      <c r="H1" s="8" t="inlineStr"/>
      <c r="I1" s="8" t="inlineStr"/>
      <c r="J1" s="8" t="inlineStr"/>
      <c r="K1" s="8" t="inlineStr"/>
      <c r="L1" s="8" t="inlineStr"/>
    </row>
    <row r="2">
      <c r="A2" s="8" t="inlineStr">
        <is>
          <t>(Theo Thông tư 37/2026/TT-BXD, HD 14502/SXD-KTXD năm 2026 của TP Hà Nội - Phường Cầu Giấy.)</t>
        </is>
      </c>
      <c r="B2" s="8" t="inlineStr"/>
      <c r="C2" s="8" t="inlineStr"/>
      <c r="E2" s="8" t="inlineStr"/>
      <c r="F2" s="8" t="inlineStr"/>
      <c r="G2" s="8" t="inlineStr"/>
      <c r="H2" s="8" t="inlineStr"/>
      <c r="I2" s="8" t="inlineStr"/>
      <c r="J2" s="8" t="inlineStr"/>
      <c r="K2" s="8" t="inlineStr"/>
      <c r="L2" s="8" t="inlineStr"/>
    </row>
    <row r="3">
      <c r="A3" s="8" t="inlineStr">
        <is>
          <t>DỰ ÁN: XÂY DỰNG NHÀ Ở CHO LỰC LƯỢNG VŨ TRANG CÔNG AN NHÂN DÂN TẠI Ô ĐẤT NO1 THUỘC LÔ ĐẤT D12 KHU ĐÔ THỊ MỚI CẦU GIẤY,
 PHƯỜNG CẦU GIẤY, THÀNH PHỐ HÀ NỘI</t>
        </is>
      </c>
      <c r="B3" s="8" t="inlineStr"/>
      <c r="C3" s="8" t="inlineStr"/>
      <c r="E3" s="8" t="inlineStr"/>
      <c r="F3" s="8" t="inlineStr"/>
      <c r="G3" s="8" t="inlineStr"/>
      <c r="H3" s="8" t="inlineStr"/>
      <c r="I3" s="8" t="inlineStr"/>
      <c r="J3" s="8" t="inlineStr"/>
      <c r="K3" s="8" t="inlineStr"/>
      <c r="L3" s="8" t="inlineStr"/>
    </row>
    <row r="4">
      <c r="A4" s="8" t="inlineStr">
        <is>
          <t>Đơn vị tính: (đ)</t>
        </is>
      </c>
      <c r="B4" s="8" t="inlineStr"/>
      <c r="C4" s="8" t="inlineStr"/>
      <c r="E4" s="8" t="inlineStr"/>
      <c r="F4" s="8" t="inlineStr"/>
      <c r="G4" s="8" t="inlineStr"/>
      <c r="H4" s="8" t="inlineStr"/>
      <c r="I4" s="8" t="inlineStr"/>
      <c r="J4" s="8" t="inlineStr"/>
      <c r="K4" s="8" t="inlineStr"/>
      <c r="L4" s="8" t="inlineStr"/>
    </row>
    <row r="5">
      <c r="A5" s="8" t="inlineStr">
        <is>
          <t>STT</t>
        </is>
      </c>
      <c r="B5" s="8" t="inlineStr">
        <is>
          <t>Mã số</t>
        </is>
      </c>
      <c r="C5" s="8" t="inlineStr">
        <is>
          <t>Tên máy và thiết bị thi công / Diễn giải</t>
        </is>
      </c>
      <c r="D5" s="10" t="inlineStr">
        <is>
          <t>LINK TRA CỨU TT 38/2026/TT-BXD</t>
        </is>
      </c>
      <c r="E5" s="8" t="inlineStr">
        <is>
          <t>Đơn vị</t>
        </is>
      </c>
      <c r="F5" s="8" t="inlineStr">
        <is>
          <t>Nguyên giá
(đ)</t>
        </is>
      </c>
      <c r="G5" s="8" t="inlineStr">
        <is>
          <t>Số ca / 1 năm</t>
        </is>
      </c>
      <c r="H5" s="8" t="inlineStr">
        <is>
          <t>Định mức</t>
        </is>
      </c>
      <c r="I5" s="8" t="inlineStr">
        <is>
          <t>Đơn giá
(đ)</t>
        </is>
      </c>
      <c r="J5" s="8" t="inlineStr">
        <is>
          <t>Hệ số</t>
        </is>
      </c>
      <c r="K5" s="8" t="inlineStr">
        <is>
          <t>Số ngày / tháng</t>
        </is>
      </c>
      <c r="L5" s="8" t="inlineStr">
        <is>
          <t>Chi phí
(đ)</t>
        </is>
      </c>
    </row>
    <row r="6">
      <c r="A6" s="8" t="n">
        <v>1</v>
      </c>
      <c r="B6" s="8" t="inlineStr">
        <is>
          <t>M102.0301</t>
        </is>
      </c>
      <c r="C6" s="8" t="inlineStr">
        <is>
          <t>Cần cẩu bánh xích 5T</t>
        </is>
      </c>
      <c r="E6" s="8" t="inlineStr">
        <is>
          <t>ca</t>
        </is>
      </c>
      <c r="F6" s="8" t="n">
        <v>808517000</v>
      </c>
      <c r="G6" s="8" t="n">
        <v>250</v>
      </c>
      <c r="H6" s="8" t="inlineStr"/>
      <c r="I6" s="8" t="inlineStr"/>
      <c r="J6" s="8" t="inlineStr"/>
      <c r="K6" s="8" t="inlineStr"/>
      <c r="L6" s="8" t="n">
        <v>2451003</v>
      </c>
    </row>
    <row r="7">
      <c r="A7" s="8" t="inlineStr"/>
      <c r="B7" s="8" t="inlineStr"/>
      <c r="C7" s="8" t="inlineStr">
        <is>
          <t>* Nhiên liệu, năng lượng:</t>
        </is>
      </c>
      <c r="E7" s="8" t="inlineStr"/>
      <c r="F7" s="8" t="inlineStr"/>
      <c r="G7" s="8" t="inlineStr"/>
      <c r="H7" s="8" t="inlineStr"/>
      <c r="I7" s="8" t="inlineStr"/>
      <c r="J7" s="8" t="inlineStr"/>
      <c r="K7" s="8" t="inlineStr"/>
      <c r="L7" s="8" t="n">
        <v>938700.8</v>
      </c>
    </row>
    <row r="8">
      <c r="A8" s="8" t="inlineStr"/>
      <c r="B8" s="8" t="inlineStr"/>
      <c r="C8" s="8" t="inlineStr">
        <is>
          <t xml:space="preserve"> - Diezel</t>
        </is>
      </c>
      <c r="E8" s="8" t="inlineStr">
        <is>
          <t>Lít</t>
        </is>
      </c>
      <c r="F8" s="8" t="inlineStr"/>
      <c r="G8" s="8" t="inlineStr"/>
      <c r="H8" s="8" t="n">
        <v>32</v>
      </c>
      <c r="I8" s="8" t="n">
        <v>28480</v>
      </c>
      <c r="J8" s="8" t="n">
        <v>1.03</v>
      </c>
      <c r="K8" s="8" t="inlineStr"/>
      <c r="L8" s="8" t="n">
        <v>938700.8</v>
      </c>
    </row>
    <row r="9">
      <c r="A9" s="8" t="inlineStr"/>
      <c r="B9" s="8" t="inlineStr"/>
      <c r="C9" s="8" t="inlineStr">
        <is>
          <t>* Nhân công vận hành máy:</t>
        </is>
      </c>
      <c r="E9" s="8" t="inlineStr"/>
      <c r="F9" s="8" t="inlineStr"/>
      <c r="G9" s="8" t="inlineStr"/>
      <c r="H9" s="8" t="inlineStr"/>
      <c r="I9" s="8" t="inlineStr"/>
      <c r="J9" s="8" t="inlineStr"/>
      <c r="K9" s="8" t="inlineStr"/>
      <c r="L9" s="8" t="n">
        <v>914000</v>
      </c>
    </row>
    <row r="10">
      <c r="A10" s="8" t="inlineStr"/>
      <c r="B10" s="8" t="inlineStr"/>
      <c r="C10" s="8" t="inlineStr">
        <is>
          <t xml:space="preserve"> - Nhân công vận hành</t>
        </is>
      </c>
      <c r="E10" s="8" t="inlineStr"/>
      <c r="F10" s="8" t="inlineStr"/>
      <c r="G10" s="8" t="inlineStr"/>
      <c r="H10" s="8" t="n">
        <v>2</v>
      </c>
      <c r="I10" s="8" t="inlineStr"/>
      <c r="J10" s="8" t="inlineStr"/>
      <c r="K10" s="8" t="inlineStr"/>
      <c r="L10" s="8" t="n">
        <v>457000</v>
      </c>
    </row>
    <row r="11">
      <c r="A11" s="8" t="inlineStr"/>
      <c r="B11" s="8" t="inlineStr"/>
      <c r="C11" s="8" t="inlineStr">
        <is>
          <t>Lương cơ bản</t>
        </is>
      </c>
      <c r="E11" s="8" t="inlineStr"/>
      <c r="F11" s="8" t="inlineStr"/>
      <c r="G11" s="8" t="inlineStr"/>
      <c r="H11" s="8" t="inlineStr"/>
      <c r="I11" s="8" t="n">
        <v>457000</v>
      </c>
      <c r="J11" s="8" t="inlineStr"/>
      <c r="K11" s="8" t="inlineStr"/>
      <c r="L11" s="8" t="n">
        <v>457000</v>
      </c>
    </row>
    <row r="12">
      <c r="A12" s="8" t="inlineStr"/>
      <c r="B12" s="8" t="inlineStr"/>
      <c r="C12" s="8" t="inlineStr">
        <is>
          <t>* Khấu hao, Sửa chữa và Chi phí khác:</t>
        </is>
      </c>
      <c r="E12" s="8" t="inlineStr"/>
      <c r="F12" s="8" t="inlineStr"/>
      <c r="G12" s="8" t="inlineStr"/>
      <c r="H12" s="8" t="inlineStr"/>
      <c r="I12" s="8" t="inlineStr"/>
      <c r="J12" s="8" t="inlineStr"/>
      <c r="K12" s="8" t="inlineStr"/>
      <c r="L12" s="8" t="n">
        <v>598302.5800000001</v>
      </c>
    </row>
    <row r="13">
      <c r="A13" s="8" t="inlineStr"/>
      <c r="B13" s="8" t="inlineStr"/>
      <c r="C13" s="8" t="inlineStr">
        <is>
          <t xml:space="preserve"> - Khấu hao</t>
        </is>
      </c>
      <c r="E13" s="8" t="inlineStr"/>
      <c r="F13" s="8" t="inlineStr"/>
      <c r="G13" s="8" t="inlineStr"/>
      <c r="H13" s="8" t="n">
        <v>0.09</v>
      </c>
      <c r="I13" s="8" t="n">
        <v>808517000</v>
      </c>
      <c r="J13" s="8" t="n">
        <v>0.9</v>
      </c>
      <c r="K13" s="8" t="inlineStr"/>
      <c r="L13" s="8" t="n">
        <v>261959.508</v>
      </c>
    </row>
    <row r="14">
      <c r="A14" s="8" t="inlineStr"/>
      <c r="B14" s="8" t="inlineStr"/>
      <c r="C14" s="8" t="inlineStr">
        <is>
          <t xml:space="preserve"> - Sửa chữa</t>
        </is>
      </c>
      <c r="E14" s="8" t="inlineStr"/>
      <c r="F14" s="8" t="inlineStr"/>
      <c r="G14" s="8" t="inlineStr"/>
      <c r="H14" s="8" t="n">
        <v>0.05400000000000001</v>
      </c>
      <c r="I14" s="8" t="n">
        <v>808517000</v>
      </c>
      <c r="J14" s="8" t="inlineStr"/>
      <c r="K14" s="8" t="inlineStr"/>
      <c r="L14" s="8" t="n">
        <v>174639.672</v>
      </c>
    </row>
    <row r="15">
      <c r="A15" s="8" t="inlineStr"/>
      <c r="B15" s="8" t="inlineStr"/>
      <c r="C15" s="8" t="inlineStr">
        <is>
          <t xml:space="preserve"> - Chi phí khác</t>
        </is>
      </c>
      <c r="E15" s="8" t="inlineStr"/>
      <c r="F15" s="8" t="inlineStr"/>
      <c r="G15" s="8" t="inlineStr"/>
      <c r="H15" s="8" t="n">
        <v>0.05</v>
      </c>
      <c r="I15" s="8" t="n">
        <v>808517000</v>
      </c>
      <c r="J15" s="8" t="inlineStr"/>
      <c r="K15" s="8" t="inlineStr"/>
      <c r="L15" s="8" t="n">
        <v>161703.4</v>
      </c>
    </row>
    <row r="16">
      <c r="A16" s="8" t="n">
        <v>2</v>
      </c>
      <c r="B16" s="8" t="inlineStr">
        <is>
          <t>M112.3901</t>
        </is>
      </c>
      <c r="C16" s="8" t="inlineStr">
        <is>
          <t>Máy hàn điện 50 kW</t>
        </is>
      </c>
      <c r="E16" s="8" t="inlineStr">
        <is>
          <t>ca</t>
        </is>
      </c>
      <c r="F16" s="8" t="n">
        <v>26000000</v>
      </c>
      <c r="G16" s="8" t="n">
        <v>200</v>
      </c>
      <c r="H16" s="8" t="inlineStr"/>
      <c r="I16" s="8" t="inlineStr"/>
      <c r="J16" s="8" t="inlineStr"/>
      <c r="K16" s="8" t="inlineStr"/>
      <c r="L16" s="8" t="n">
        <v>719617</v>
      </c>
    </row>
    <row r="17">
      <c r="A17" s="8" t="inlineStr"/>
      <c r="B17" s="8" t="inlineStr"/>
      <c r="C17" s="8" t="inlineStr">
        <is>
          <t>* Nhiên liệu, năng lượng:</t>
        </is>
      </c>
      <c r="E17" s="8" t="inlineStr"/>
      <c r="F17" s="8" t="inlineStr"/>
      <c r="G17" s="8" t="inlineStr"/>
      <c r="H17" s="8" t="inlineStr"/>
      <c r="I17" s="8" t="inlineStr"/>
      <c r="J17" s="8" t="inlineStr"/>
      <c r="K17" s="8" t="inlineStr"/>
      <c r="L17" s="8" t="n">
        <v>219066.75</v>
      </c>
    </row>
    <row r="18">
      <c r="A18" s="8" t="inlineStr"/>
      <c r="B18" s="8" t="inlineStr"/>
      <c r="C18" s="8" t="inlineStr">
        <is>
          <t xml:space="preserve"> - Điện</t>
        </is>
      </c>
      <c r="E18" s="8" t="inlineStr">
        <is>
          <t>kwh</t>
        </is>
      </c>
      <c r="F18" s="8" t="inlineStr"/>
      <c r="G18" s="8" t="inlineStr"/>
      <c r="H18" s="8" t="n">
        <v>105</v>
      </c>
      <c r="I18" s="8" t="n">
        <v>1987</v>
      </c>
      <c r="J18" s="8" t="n">
        <v>1.05</v>
      </c>
      <c r="K18" s="8" t="inlineStr"/>
      <c r="L18" s="8" t="n">
        <v>219066.75</v>
      </c>
    </row>
    <row r="19">
      <c r="A19" s="8" t="inlineStr"/>
      <c r="B19" s="8" t="inlineStr"/>
      <c r="C19" s="8" t="inlineStr">
        <is>
          <t>* Nhân công vận hành máy:</t>
        </is>
      </c>
      <c r="E19" s="8" t="inlineStr"/>
      <c r="F19" s="8" t="inlineStr"/>
      <c r="G19" s="8" t="inlineStr"/>
      <c r="H19" s="8" t="inlineStr"/>
      <c r="I19" s="8" t="inlineStr"/>
      <c r="J19" s="8" t="inlineStr"/>
      <c r="K19" s="8" t="inlineStr"/>
      <c r="L19" s="8" t="n">
        <v>457000</v>
      </c>
    </row>
    <row r="20">
      <c r="A20" s="8" t="inlineStr"/>
      <c r="B20" s="8" t="inlineStr"/>
      <c r="C20" s="8" t="inlineStr">
        <is>
          <t xml:space="preserve"> - Nhân công vận hành</t>
        </is>
      </c>
      <c r="E20" s="8" t="inlineStr"/>
      <c r="F20" s="8" t="inlineStr"/>
      <c r="G20" s="8" t="inlineStr"/>
      <c r="H20" s="8" t="n">
        <v>1</v>
      </c>
      <c r="I20" s="8" t="inlineStr"/>
      <c r="J20" s="8" t="inlineStr"/>
      <c r="K20" s="8" t="inlineStr"/>
      <c r="L20" s="8" t="n">
        <v>457000</v>
      </c>
    </row>
    <row r="21">
      <c r="A21" s="8" t="inlineStr"/>
      <c r="B21" s="8" t="inlineStr"/>
      <c r="C21" s="8" t="inlineStr">
        <is>
          <t>Lương cơ bản</t>
        </is>
      </c>
      <c r="E21" s="8" t="inlineStr"/>
      <c r="F21" s="8" t="inlineStr"/>
      <c r="G21" s="8" t="inlineStr"/>
      <c r="H21" s="8" t="inlineStr"/>
      <c r="I21" s="8" t="n">
        <v>457000</v>
      </c>
      <c r="J21" s="8" t="inlineStr"/>
      <c r="K21" s="8" t="inlineStr"/>
      <c r="L21" s="8" t="n">
        <v>457000</v>
      </c>
    </row>
    <row r="22">
      <c r="A22" s="8" t="inlineStr"/>
      <c r="B22" s="8" t="inlineStr"/>
      <c r="C22" s="8" t="inlineStr">
        <is>
          <t>* Khấu hao, Sửa chữa và Chi phí khác:</t>
        </is>
      </c>
      <c r="E22" s="8" t="inlineStr"/>
      <c r="F22" s="8" t="inlineStr"/>
      <c r="G22" s="8" t="inlineStr"/>
      <c r="H22" s="8" t="inlineStr"/>
      <c r="I22" s="8" t="inlineStr"/>
      <c r="J22" s="8" t="inlineStr"/>
      <c r="K22" s="8" t="inlineStr"/>
      <c r="L22" s="8" t="n">
        <v>43550</v>
      </c>
    </row>
    <row r="23">
      <c r="A23" s="8" t="inlineStr"/>
      <c r="B23" s="8" t="inlineStr"/>
      <c r="C23" s="8" t="inlineStr">
        <is>
          <t xml:space="preserve"> - Khấu hao</t>
        </is>
      </c>
      <c r="E23" s="8" t="inlineStr"/>
      <c r="F23" s="8" t="inlineStr"/>
      <c r="G23" s="8" t="inlineStr"/>
      <c r="H23" s="8" t="n">
        <v>0.24</v>
      </c>
      <c r="I23" s="8" t="n">
        <v>26000000</v>
      </c>
      <c r="J23" s="8" t="n">
        <v>1</v>
      </c>
      <c r="K23" s="8" t="inlineStr"/>
      <c r="L23" s="8" t="n">
        <v>31200</v>
      </c>
    </row>
    <row r="24">
      <c r="A24" s="8" t="inlineStr"/>
      <c r="B24" s="8" t="inlineStr"/>
      <c r="C24" s="8" t="inlineStr">
        <is>
          <t xml:space="preserve"> - Sửa chữa</t>
        </is>
      </c>
      <c r="E24" s="8" t="inlineStr"/>
      <c r="F24" s="8" t="inlineStr"/>
      <c r="G24" s="8" t="inlineStr"/>
      <c r="H24" s="8" t="n">
        <v>0.045</v>
      </c>
      <c r="I24" s="8" t="n">
        <v>26000000</v>
      </c>
      <c r="J24" s="8" t="inlineStr"/>
      <c r="K24" s="8" t="inlineStr"/>
      <c r="L24" s="8" t="n">
        <v>5850</v>
      </c>
    </row>
    <row r="25">
      <c r="A25" s="8" t="inlineStr"/>
      <c r="B25" s="8" t="inlineStr"/>
      <c r="C25" s="8" t="inlineStr">
        <is>
          <t xml:space="preserve"> - Chi phí khác</t>
        </is>
      </c>
      <c r="E25" s="8" t="inlineStr"/>
      <c r="F25" s="8" t="inlineStr"/>
      <c r="G25" s="8" t="inlineStr"/>
      <c r="H25" s="8" t="n">
        <v>0.05</v>
      </c>
      <c r="I25" s="8" t="n">
        <v>26000000</v>
      </c>
      <c r="J25" s="8" t="inlineStr"/>
      <c r="K25" s="8" t="inlineStr"/>
      <c r="L25" s="8" t="n">
        <v>6500</v>
      </c>
    </row>
    <row r="26">
      <c r="A26" s="8" t="n">
        <v>3</v>
      </c>
      <c r="B26" s="8" t="inlineStr">
        <is>
          <t>M112.4101</t>
        </is>
      </c>
      <c r="C26" s="8" t="inlineStr">
        <is>
          <t>Máy hàn hơi 1000 l/h</t>
        </is>
      </c>
      <c r="E26" s="8" t="inlineStr">
        <is>
          <t>ca</t>
        </is>
      </c>
      <c r="F26" s="8" t="n">
        <v>3400000</v>
      </c>
      <c r="G26" s="8" t="n">
        <v>160</v>
      </c>
      <c r="H26" s="8" t="inlineStr"/>
      <c r="I26" s="8" t="inlineStr"/>
      <c r="J26" s="8" t="inlineStr"/>
      <c r="K26" s="8" t="inlineStr"/>
      <c r="L26" s="8" t="n">
        <v>463545</v>
      </c>
    </row>
    <row r="27">
      <c r="A27" s="8" t="inlineStr"/>
      <c r="B27" s="8" t="inlineStr"/>
      <c r="C27" s="8" t="inlineStr">
        <is>
          <t>* Nhân công vận hành máy:</t>
        </is>
      </c>
      <c r="E27" s="8" t="inlineStr"/>
      <c r="F27" s="8" t="inlineStr"/>
      <c r="G27" s="8" t="inlineStr"/>
      <c r="H27" s="8" t="inlineStr"/>
      <c r="I27" s="8" t="inlineStr"/>
      <c r="J27" s="8" t="inlineStr"/>
      <c r="K27" s="8" t="inlineStr"/>
      <c r="L27" s="8" t="n">
        <v>457000</v>
      </c>
    </row>
    <row r="28">
      <c r="A28" s="8" t="inlineStr"/>
      <c r="B28" s="8" t="inlineStr"/>
      <c r="C28" s="8" t="inlineStr">
        <is>
          <t xml:space="preserve"> - Nhân công vận hành</t>
        </is>
      </c>
      <c r="E28" s="8" t="inlineStr"/>
      <c r="F28" s="8" t="inlineStr"/>
      <c r="G28" s="8" t="inlineStr"/>
      <c r="H28" s="8" t="n">
        <v>1</v>
      </c>
      <c r="I28" s="8" t="inlineStr"/>
      <c r="J28" s="8" t="inlineStr"/>
      <c r="K28" s="8" t="inlineStr"/>
      <c r="L28" s="8" t="n">
        <v>457000</v>
      </c>
    </row>
    <row r="29">
      <c r="A29" s="8" t="inlineStr"/>
      <c r="B29" s="8" t="inlineStr"/>
      <c r="C29" s="8" t="inlineStr">
        <is>
          <t>Lương cơ bản</t>
        </is>
      </c>
      <c r="E29" s="8" t="inlineStr"/>
      <c r="F29" s="8" t="inlineStr"/>
      <c r="G29" s="8" t="inlineStr"/>
      <c r="H29" s="8" t="inlineStr"/>
      <c r="I29" s="8" t="n">
        <v>457000</v>
      </c>
      <c r="J29" s="8" t="inlineStr"/>
      <c r="K29" s="8" t="inlineStr"/>
      <c r="L29" s="8" t="n">
        <v>457000</v>
      </c>
    </row>
    <row r="30">
      <c r="A30" s="8" t="inlineStr"/>
      <c r="B30" s="8" t="inlineStr"/>
      <c r="C30" s="8" t="inlineStr">
        <is>
          <t>* Khấu hao, Sửa chữa và Chi phí khác:</t>
        </is>
      </c>
      <c r="E30" s="8" t="inlineStr"/>
      <c r="F30" s="8" t="inlineStr"/>
      <c r="G30" s="8" t="inlineStr"/>
      <c r="H30" s="8" t="inlineStr"/>
      <c r="I30" s="8" t="inlineStr"/>
      <c r="J30" s="8" t="inlineStr"/>
      <c r="K30" s="8" t="inlineStr"/>
      <c r="L30" s="8" t="n">
        <v>6545</v>
      </c>
    </row>
    <row r="31">
      <c r="A31" s="8" t="inlineStr"/>
      <c r="B31" s="8" t="inlineStr"/>
      <c r="C31" s="8" t="inlineStr">
        <is>
          <t xml:space="preserve"> - Khấu hao</t>
        </is>
      </c>
      <c r="E31" s="8" t="inlineStr"/>
      <c r="F31" s="8" t="inlineStr"/>
      <c r="G31" s="8" t="inlineStr"/>
      <c r="H31" s="8" t="n">
        <v>0.21</v>
      </c>
      <c r="I31" s="8" t="n">
        <v>3400000</v>
      </c>
      <c r="J31" s="8" t="n">
        <v>1</v>
      </c>
      <c r="K31" s="8" t="inlineStr"/>
      <c r="L31" s="8" t="n">
        <v>4462.5</v>
      </c>
    </row>
    <row r="32">
      <c r="A32" s="8" t="inlineStr"/>
      <c r="B32" s="8" t="inlineStr"/>
      <c r="C32" s="8" t="inlineStr">
        <is>
          <t xml:space="preserve"> - Sửa chữa</t>
        </is>
      </c>
      <c r="E32" s="8" t="inlineStr"/>
      <c r="F32" s="8" t="inlineStr"/>
      <c r="G32" s="8" t="inlineStr"/>
      <c r="H32" s="8" t="n">
        <v>0.048</v>
      </c>
      <c r="I32" s="8" t="n">
        <v>3400000</v>
      </c>
      <c r="J32" s="8" t="inlineStr"/>
      <c r="K32" s="8" t="inlineStr"/>
      <c r="L32" s="8" t="n">
        <v>1020</v>
      </c>
    </row>
    <row r="33">
      <c r="A33" s="8" t="inlineStr"/>
      <c r="B33" s="8" t="inlineStr"/>
      <c r="C33" s="8" t="inlineStr">
        <is>
          <t xml:space="preserve"> - Chi phí khác</t>
        </is>
      </c>
      <c r="E33" s="8" t="inlineStr"/>
      <c r="F33" s="8" t="inlineStr"/>
      <c r="G33" s="8" t="inlineStr"/>
      <c r="H33" s="8" t="n">
        <v>0.05</v>
      </c>
      <c r="I33" s="8" t="n">
        <v>3400000</v>
      </c>
      <c r="J33" s="8" t="inlineStr"/>
      <c r="K33" s="8" t="inlineStr"/>
      <c r="L33" s="8" t="n">
        <v>1062.5</v>
      </c>
    </row>
    <row r="34">
      <c r="A34" s="8" t="n">
        <v>4</v>
      </c>
      <c r="B34" s="8" t="inlineStr">
        <is>
          <t>M112.1701</t>
        </is>
      </c>
      <c r="C34" s="8" t="inlineStr">
        <is>
          <t>Máy khoan bê tông cầm tay 0,62 kW</t>
        </is>
      </c>
      <c r="E34" s="8" t="inlineStr">
        <is>
          <t>ca</t>
        </is>
      </c>
      <c r="F34" s="8" t="n">
        <v>4800000</v>
      </c>
      <c r="G34" s="8" t="n">
        <v>150</v>
      </c>
      <c r="H34" s="8" t="inlineStr"/>
      <c r="I34" s="8" t="inlineStr"/>
      <c r="J34" s="8" t="inlineStr"/>
      <c r="K34" s="8" t="inlineStr"/>
      <c r="L34" s="8" t="n">
        <v>15158</v>
      </c>
    </row>
    <row r="35">
      <c r="A35" s="8" t="inlineStr"/>
      <c r="B35" s="8" t="inlineStr"/>
      <c r="C35" s="8" t="inlineStr">
        <is>
          <t>* Nhiên liệu, năng lượng:</t>
        </is>
      </c>
      <c r="E35" s="8" t="inlineStr"/>
      <c r="F35" s="8" t="inlineStr"/>
      <c r="G35" s="8" t="inlineStr"/>
      <c r="H35" s="8" t="inlineStr"/>
      <c r="I35" s="8" t="inlineStr"/>
      <c r="J35" s="8" t="inlineStr"/>
      <c r="K35" s="8" t="inlineStr"/>
      <c r="L35" s="8" t="n">
        <v>1877.715</v>
      </c>
    </row>
    <row r="36">
      <c r="A36" s="8" t="inlineStr"/>
      <c r="B36" s="8" t="inlineStr"/>
      <c r="C36" s="8" t="inlineStr">
        <is>
          <t xml:space="preserve"> - Điện</t>
        </is>
      </c>
      <c r="E36" s="8" t="inlineStr">
        <is>
          <t>kwh</t>
        </is>
      </c>
      <c r="F36" s="8" t="inlineStr"/>
      <c r="G36" s="8" t="inlineStr"/>
      <c r="H36" s="8" t="n">
        <v>0.9</v>
      </c>
      <c r="I36" s="8" t="n">
        <v>1987</v>
      </c>
      <c r="J36" s="8" t="n">
        <v>1.05</v>
      </c>
      <c r="K36" s="8" t="inlineStr"/>
      <c r="L36" s="8" t="n">
        <v>1877.715</v>
      </c>
    </row>
    <row r="37">
      <c r="A37" s="8" t="inlineStr"/>
      <c r="B37" s="8" t="inlineStr"/>
      <c r="C37" s="8" t="inlineStr">
        <is>
          <t>* Khấu hao, Sửa chữa và Chi phí khác:</t>
        </is>
      </c>
      <c r="E37" s="8" t="inlineStr"/>
      <c r="F37" s="8" t="inlineStr"/>
      <c r="G37" s="8" t="inlineStr"/>
      <c r="H37" s="8" t="inlineStr"/>
      <c r="I37" s="8" t="inlineStr"/>
      <c r="J37" s="8" t="inlineStr"/>
      <c r="K37" s="8" t="inlineStr"/>
      <c r="L37" s="8" t="n">
        <v>13280</v>
      </c>
    </row>
    <row r="38">
      <c r="A38" s="8" t="inlineStr"/>
      <c r="B38" s="8" t="inlineStr"/>
      <c r="C38" s="8" t="inlineStr">
        <is>
          <t xml:space="preserve"> - Khấu hao</t>
        </is>
      </c>
      <c r="E38" s="8" t="inlineStr"/>
      <c r="F38" s="8" t="inlineStr"/>
      <c r="G38" s="8" t="inlineStr"/>
      <c r="H38" s="8" t="n">
        <v>0.3</v>
      </c>
      <c r="I38" s="8" t="n">
        <v>4800000</v>
      </c>
      <c r="J38" s="8" t="n">
        <v>1</v>
      </c>
      <c r="K38" s="8" t="inlineStr"/>
      <c r="L38" s="8" t="n">
        <v>9600</v>
      </c>
    </row>
    <row r="39">
      <c r="A39" s="8" t="inlineStr"/>
      <c r="B39" s="8" t="inlineStr"/>
      <c r="C39" s="8" t="inlineStr">
        <is>
          <t xml:space="preserve"> - Sửa chữa</t>
        </is>
      </c>
      <c r="E39" s="8" t="inlineStr"/>
      <c r="F39" s="8" t="inlineStr"/>
      <c r="G39" s="8" t="inlineStr"/>
      <c r="H39" s="8" t="n">
        <v>0.075</v>
      </c>
      <c r="I39" s="8" t="n">
        <v>4800000</v>
      </c>
      <c r="J39" s="8" t="inlineStr"/>
      <c r="K39" s="8" t="inlineStr"/>
      <c r="L39" s="8" t="n">
        <v>2400</v>
      </c>
    </row>
    <row r="40">
      <c r="A40" s="8" t="inlineStr"/>
      <c r="B40" s="8" t="inlineStr"/>
      <c r="C40" s="8" t="inlineStr">
        <is>
          <t xml:space="preserve"> - Chi phí khác</t>
        </is>
      </c>
      <c r="E40" s="8" t="inlineStr"/>
      <c r="F40" s="8" t="inlineStr"/>
      <c r="G40" s="8" t="inlineStr"/>
      <c r="H40" s="8" t="n">
        <v>0.04</v>
      </c>
      <c r="I40" s="8" t="n">
        <v>4800000</v>
      </c>
      <c r="J40" s="8" t="inlineStr"/>
      <c r="K40" s="8" t="inlineStr"/>
      <c r="L40" s="8" t="n">
        <v>1280</v>
      </c>
    </row>
    <row r="41">
      <c r="A41" s="8" t="n">
        <v>5</v>
      </c>
      <c r="B41" s="8" t="inlineStr">
        <is>
          <t>M112.3703</t>
        </is>
      </c>
      <c r="C41" s="8" t="inlineStr">
        <is>
          <t>Máy mài 2,7 kW</t>
        </is>
      </c>
      <c r="E41" s="8" t="inlineStr">
        <is>
          <t>ca</t>
        </is>
      </c>
      <c r="F41" s="8" t="n">
        <v>11200000</v>
      </c>
      <c r="G41" s="8" t="n">
        <v>230</v>
      </c>
      <c r="H41" s="8" t="inlineStr"/>
      <c r="I41" s="8" t="inlineStr"/>
      <c r="J41" s="8" t="inlineStr"/>
      <c r="K41" s="8" t="inlineStr"/>
      <c r="L41" s="8" t="n">
        <v>19497</v>
      </c>
    </row>
    <row r="42">
      <c r="A42" s="8" t="inlineStr"/>
      <c r="B42" s="8" t="inlineStr"/>
      <c r="C42" s="8" t="inlineStr">
        <is>
          <t>* Nhiên liệu, năng lượng:</t>
        </is>
      </c>
      <c r="E42" s="8" t="inlineStr"/>
      <c r="F42" s="8" t="inlineStr"/>
      <c r="G42" s="8" t="inlineStr"/>
      <c r="H42" s="8" t="inlineStr"/>
      <c r="I42" s="8" t="inlineStr"/>
      <c r="J42" s="8" t="inlineStr"/>
      <c r="K42" s="8" t="inlineStr"/>
      <c r="L42" s="8" t="n">
        <v>8345.4</v>
      </c>
    </row>
    <row r="43">
      <c r="A43" s="8" t="inlineStr"/>
      <c r="B43" s="8" t="inlineStr"/>
      <c r="C43" s="8" t="inlineStr">
        <is>
          <t xml:space="preserve"> - Điện</t>
        </is>
      </c>
      <c r="E43" s="8" t="inlineStr">
        <is>
          <t>kwh</t>
        </is>
      </c>
      <c r="F43" s="8" t="inlineStr"/>
      <c r="G43" s="8" t="inlineStr"/>
      <c r="H43" s="8" t="n">
        <v>4</v>
      </c>
      <c r="I43" s="8" t="n">
        <v>1987</v>
      </c>
      <c r="J43" s="8" t="n">
        <v>1.05</v>
      </c>
      <c r="K43" s="8" t="inlineStr"/>
      <c r="L43" s="8" t="n">
        <v>8345.4</v>
      </c>
    </row>
    <row r="44">
      <c r="A44" s="8" t="inlineStr"/>
      <c r="B44" s="8" t="inlineStr"/>
      <c r="C44" s="8" t="inlineStr">
        <is>
          <t>* Khấu hao, Sửa chữa và Chi phí khác:</t>
        </is>
      </c>
      <c r="E44" s="8" t="inlineStr"/>
      <c r="F44" s="8" t="inlineStr"/>
      <c r="G44" s="8" t="inlineStr"/>
      <c r="H44" s="8" t="inlineStr"/>
      <c r="I44" s="8" t="inlineStr"/>
      <c r="J44" s="8" t="inlineStr"/>
      <c r="K44" s="8" t="inlineStr"/>
      <c r="L44" s="8" t="n">
        <v>11151.30434782609</v>
      </c>
    </row>
    <row r="45">
      <c r="A45" s="8" t="inlineStr"/>
      <c r="B45" s="8" t="inlineStr"/>
      <c r="C45" s="8" t="inlineStr">
        <is>
          <t xml:space="preserve"> - Khấu hao</t>
        </is>
      </c>
      <c r="E45" s="8" t="inlineStr"/>
      <c r="F45" s="8" t="inlineStr"/>
      <c r="G45" s="8" t="inlineStr"/>
      <c r="H45" s="8" t="n">
        <v>0.14</v>
      </c>
      <c r="I45" s="8" t="n">
        <v>11200000</v>
      </c>
      <c r="J45" s="8" t="n">
        <v>1</v>
      </c>
      <c r="K45" s="8" t="inlineStr"/>
      <c r="L45" s="8" t="n">
        <v>6817.391304347827</v>
      </c>
    </row>
    <row r="46">
      <c r="A46" s="8" t="inlineStr"/>
      <c r="B46" s="8" t="inlineStr"/>
      <c r="C46" s="8" t="inlineStr">
        <is>
          <t xml:space="preserve"> - Sửa chữa</t>
        </is>
      </c>
      <c r="E46" s="8" t="inlineStr"/>
      <c r="F46" s="8" t="inlineStr"/>
      <c r="G46" s="8" t="inlineStr"/>
      <c r="H46" s="8" t="n">
        <v>0.049</v>
      </c>
      <c r="I46" s="8" t="n">
        <v>11200000</v>
      </c>
      <c r="J46" s="8" t="inlineStr"/>
      <c r="K46" s="8" t="inlineStr"/>
      <c r="L46" s="8" t="n">
        <v>2386.086956521739</v>
      </c>
    </row>
    <row r="47">
      <c r="A47" s="8" t="inlineStr"/>
      <c r="B47" s="8" t="inlineStr"/>
      <c r="C47" s="8" t="inlineStr">
        <is>
          <t xml:space="preserve"> - Chi phí khác</t>
        </is>
      </c>
      <c r="E47" s="8" t="inlineStr"/>
      <c r="F47" s="8" t="inlineStr"/>
      <c r="G47" s="8" t="inlineStr"/>
      <c r="H47" s="8" t="n">
        <v>0.04</v>
      </c>
      <c r="I47" s="8" t="n">
        <v>11200000</v>
      </c>
      <c r="J47" s="8" t="inlineStr"/>
      <c r="K47" s="8" t="inlineStr"/>
      <c r="L47" s="8" t="n">
        <v>1947.826086956522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T371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44" customWidth="1" min="3" max="3"/>
    <col width="38" customWidth="1" min="4" max="4"/>
    <col width="12" customWidth="1" min="5" max="5"/>
    <col width="13" customWidth="1" min="6" max="6"/>
    <col width="19" customWidth="1" min="7" max="7"/>
    <col width="12" customWidth="1" min="8" max="8"/>
    <col width="12" customWidth="1" min="9" max="9"/>
    <col width="12" customWidth="1" min="10" max="10"/>
    <col width="22" customWidth="1" min="11" max="11"/>
    <col width="12" customWidth="1" min="12" max="12"/>
    <col width="22" customWidth="1" min="13" max="13"/>
    <col width="20" customWidth="1" min="14" max="14"/>
    <col width="12" customWidth="1" min="15" max="15"/>
    <col width="16" customWidth="1" min="16" max="16"/>
    <col width="21" customWidth="1" min="17" max="17"/>
    <col width="12" customWidth="1" min="18" max="18"/>
    <col width="12" customWidth="1" min="19" max="19"/>
    <col width="12" customWidth="1" min="20" max="20"/>
  </cols>
  <sheetData>
    <row r="1">
      <c r="A1" s="8" t="inlineStr">
        <is>
          <t>HAO PHÍ VẬT LIỆU, NHÂN CÔNG, MÁY CHO CÁC CÔNG TÁC</t>
        </is>
      </c>
      <c r="B1" s="8" t="inlineStr"/>
      <c r="C1" s="8" t="inlineStr"/>
      <c r="E1" s="8" t="inlineStr"/>
      <c r="F1" s="8" t="inlineStr"/>
      <c r="G1" s="8" t="inlineStr"/>
      <c r="H1" s="8" t="inlineStr"/>
      <c r="I1" s="8" t="inlineStr"/>
      <c r="J1" s="8" t="inlineStr"/>
      <c r="K1" s="8" t="inlineStr"/>
      <c r="L1" s="8" t="inlineStr"/>
      <c r="M1" s="8" t="inlineStr"/>
      <c r="N1" s="8" t="inlineStr"/>
      <c r="O1" s="8" t="inlineStr"/>
      <c r="P1" s="8" t="inlineStr"/>
      <c r="Q1" s="8" t="inlineStr"/>
      <c r="R1" s="8" t="inlineStr"/>
      <c r="S1" s="8" t="inlineStr"/>
      <c r="T1" s="8" t="inlineStr"/>
    </row>
    <row r="2">
      <c r="A2" s="8" t="inlineStr">
        <is>
          <t>DỰ ÁN: XÂY DỰNG NHÀ Ở CHO LỰC LƯỢNG VŨ TRANG CÔNG AN NHÂN DÂN TẠI Ô ĐẤT NO1 THUỘC LÔ ĐẤT D12 KHU ĐÔ THỊ MỚI CẦU GIẤY,
 PHƯỜNG CẦU GIẤY, THÀNH PHỐ HÀ NỘI</t>
        </is>
      </c>
      <c r="B2" s="8" t="inlineStr"/>
      <c r="C2" s="8" t="inlineStr"/>
      <c r="E2" s="8" t="inlineStr"/>
      <c r="F2" s="8" t="inlineStr"/>
      <c r="G2" s="8" t="inlineStr"/>
      <c r="H2" s="8" t="inlineStr"/>
      <c r="I2" s="8" t="inlineStr"/>
      <c r="J2" s="8" t="inlineStr"/>
      <c r="K2" s="8" t="inlineStr"/>
      <c r="L2" s="8" t="inlineStr"/>
      <c r="M2" s="8" t="inlineStr"/>
      <c r="N2" s="8" t="inlineStr">
        <is>
          <t>VL khác, Máy khác</t>
        </is>
      </c>
      <c r="O2" s="8" t="inlineStr"/>
      <c r="P2" s="8" t="inlineStr"/>
      <c r="Q2" s="8" t="inlineStr"/>
      <c r="R2" s="8" t="inlineStr"/>
      <c r="S2" s="8" t="inlineStr"/>
      <c r="T2" s="8" t="inlineStr"/>
    </row>
    <row r="3">
      <c r="A3" s="8" t="inlineStr">
        <is>
          <t>HẠNG MỤC: ĐIỀU HÒA KHÔNG KHÍ &amp; THÔNG GIÓ - LẮP ĐẶT THIẾT BỊ</t>
        </is>
      </c>
      <c r="B3" s="8" t="inlineStr"/>
      <c r="C3" s="8" t="inlineStr"/>
      <c r="E3" s="8" t="inlineStr"/>
      <c r="F3" s="8" t="inlineStr"/>
      <c r="G3" s="8" t="inlineStr"/>
      <c r="H3" s="8" t="inlineStr"/>
      <c r="I3" s="8" t="inlineStr"/>
      <c r="J3" s="8" t="inlineStr"/>
      <c r="K3" s="8" t="inlineStr"/>
      <c r="L3" s="8" t="inlineStr"/>
      <c r="M3" s="8" t="inlineStr"/>
      <c r="N3" s="8" t="inlineStr">
        <is>
          <t>VLK gốc</t>
        </is>
      </c>
      <c r="O3" s="8" t="inlineStr">
        <is>
          <t>MK gốc</t>
        </is>
      </c>
      <c r="P3" s="8" t="inlineStr">
        <is>
          <t>VLK HT</t>
        </is>
      </c>
      <c r="Q3" s="8" t="inlineStr">
        <is>
          <t>MK HT</t>
        </is>
      </c>
      <c r="R3" s="8" t="inlineStr">
        <is>
          <t>Cước VC</t>
        </is>
      </c>
      <c r="S3" s="8" t="inlineStr">
        <is>
          <t>Cước bộ</t>
        </is>
      </c>
      <c r="T3" s="8" t="inlineStr">
        <is>
          <t>So sánh</t>
        </is>
      </c>
    </row>
    <row r="4">
      <c r="A4" s="8" t="inlineStr">
        <is>
          <t>STT</t>
        </is>
      </c>
      <c r="B4" s="8" t="inlineStr">
        <is>
          <t>Mã hiệu</t>
        </is>
      </c>
      <c r="C4" s="8" t="inlineStr">
        <is>
          <t>Tên công tác / vật tư</t>
        </is>
      </c>
      <c r="D4" s="10" t="inlineStr">
        <is>
          <t>LINK TRA CỨU TT 38/2026/TT-BXD</t>
        </is>
      </c>
      <c r="E4" s="8" t="inlineStr">
        <is>
          <t>Đơn vị</t>
        </is>
      </c>
      <c r="F4" s="8" t="inlineStr">
        <is>
          <t>Khối lượng</t>
        </is>
      </c>
      <c r="G4" s="8" t="inlineStr">
        <is>
          <t>Định mức hao phí</t>
        </is>
      </c>
      <c r="H4" s="8" t="inlineStr"/>
      <c r="I4" s="8" t="inlineStr"/>
      <c r="J4" s="8" t="inlineStr">
        <is>
          <t>Hệ số</t>
        </is>
      </c>
      <c r="K4" s="8" t="inlineStr">
        <is>
          <t>Khối lượng hao phí</t>
        </is>
      </c>
      <c r="L4" s="8" t="inlineStr"/>
      <c r="M4" s="8" t="inlineStr"/>
      <c r="N4" s="8" t="n">
        <v>0</v>
      </c>
      <c r="O4" s="8" t="n">
        <v>0</v>
      </c>
      <c r="P4" s="8" t="n">
        <v>4735434.27084</v>
      </c>
      <c r="Q4" s="8" t="n">
        <v>106988.268716</v>
      </c>
      <c r="R4" s="8" t="inlineStr"/>
      <c r="S4" s="8" t="inlineStr"/>
      <c r="T4" s="8" t="inlineStr"/>
    </row>
    <row r="5">
      <c r="A5" s="8" t="inlineStr"/>
      <c r="B5" s="8" t="inlineStr"/>
      <c r="C5" s="8" t="inlineStr"/>
      <c r="E5" s="8" t="inlineStr"/>
      <c r="F5" s="8" t="inlineStr"/>
      <c r="G5" s="8" t="inlineStr">
        <is>
          <t>Vật liệu</t>
        </is>
      </c>
      <c r="H5" s="8" t="inlineStr">
        <is>
          <t>N. công</t>
        </is>
      </c>
      <c r="I5" s="8" t="inlineStr">
        <is>
          <t>Máy</t>
        </is>
      </c>
      <c r="J5" s="8" t="inlineStr"/>
      <c r="K5" s="8" t="inlineStr">
        <is>
          <t>Vật liệu</t>
        </is>
      </c>
      <c r="L5" s="8" t="inlineStr">
        <is>
          <t>Nhân công</t>
        </is>
      </c>
      <c r="M5" s="8" t="inlineStr">
        <is>
          <t>Máy</t>
        </is>
      </c>
      <c r="N5" s="8" t="inlineStr"/>
      <c r="O5" s="8" t="inlineStr"/>
      <c r="P5" s="8" t="inlineStr"/>
      <c r="Q5" s="8" t="inlineStr"/>
      <c r="R5" s="8" t="inlineStr"/>
      <c r="S5" s="8" t="inlineStr"/>
      <c r="T5" s="8" t="inlineStr"/>
    </row>
    <row r="6">
      <c r="A6" s="8" t="n">
        <v>1</v>
      </c>
      <c r="B6" s="11" t="inlineStr">
        <is>
          <t>MD.12002</t>
        </is>
      </c>
      <c r="C6" s="8" t="inlineStr">
        <is>
          <t>Dàn nóng điều hòa VRF, Multi</t>
        </is>
      </c>
      <c r="D6" s="12">
        <f>HYPERLINK("tt38://pl5/37", "👉 Phụ lục IV - Trang 37 (Khớp nhóm MD.1200)")</f>
        <v/>
      </c>
      <c r="E6" s="8" t="inlineStr">
        <is>
          <t>tấn</t>
        </is>
      </c>
      <c r="F6" s="8" t="n">
        <v>5.48</v>
      </c>
      <c r="G6" s="8" t="inlineStr"/>
      <c r="H6" s="8" t="inlineStr"/>
      <c r="I6" s="8" t="inlineStr"/>
      <c r="J6" s="8" t="inlineStr"/>
      <c r="K6" s="8" t="inlineStr"/>
      <c r="L6" s="8" t="inlineStr"/>
      <c r="M6" s="8" t="inlineStr"/>
      <c r="N6" s="8" t="inlineStr"/>
      <c r="O6" s="8" t="inlineStr"/>
      <c r="P6" s="8" t="inlineStr"/>
      <c r="Q6" s="8" t="inlineStr"/>
      <c r="R6" s="8" t="inlineStr"/>
      <c r="S6" s="8" t="inlineStr"/>
      <c r="T6" s="8" t="inlineStr"/>
    </row>
    <row r="7">
      <c r="A7" s="8" t="inlineStr"/>
      <c r="B7" s="8" t="inlineStr"/>
      <c r="C7" s="8" t="inlineStr">
        <is>
          <t>a) Vật liệu</t>
        </is>
      </c>
      <c r="E7" s="8" t="inlineStr"/>
      <c r="F7" s="8" t="inlineStr"/>
      <c r="G7" s="8" t="inlineStr"/>
      <c r="H7" s="8" t="inlineStr"/>
      <c r="I7" s="8" t="inlineStr"/>
      <c r="J7" s="8" t="inlineStr"/>
      <c r="K7" s="8" t="inlineStr"/>
      <c r="L7" s="8" t="inlineStr"/>
      <c r="M7" s="8" t="inlineStr"/>
      <c r="N7" s="8" t="inlineStr"/>
      <c r="O7" s="8" t="inlineStr"/>
      <c r="P7" s="8" t="inlineStr"/>
      <c r="Q7" s="8" t="inlineStr"/>
      <c r="R7" s="8" t="inlineStr"/>
      <c r="S7" s="8" t="inlineStr"/>
      <c r="T7" s="8" t="inlineStr"/>
    </row>
    <row r="8">
      <c r="A8" s="8" t="inlineStr"/>
      <c r="B8" s="8" t="inlineStr">
        <is>
          <t>A33.0001</t>
        </is>
      </c>
      <c r="C8" s="8" t="inlineStr">
        <is>
          <t>Mỡ các loại</t>
        </is>
      </c>
      <c r="E8" s="8" t="inlineStr">
        <is>
          <t>kg</t>
        </is>
      </c>
      <c r="F8" s="8" t="inlineStr"/>
      <c r="G8" s="8" t="n">
        <v>1.81</v>
      </c>
      <c r="H8" s="8" t="inlineStr"/>
      <c r="I8" s="8" t="inlineStr"/>
      <c r="J8" s="8" t="n">
        <v>1</v>
      </c>
      <c r="K8" s="8" t="n">
        <v>9.918800000000001</v>
      </c>
      <c r="L8" s="8" t="inlineStr"/>
      <c r="M8" s="8" t="inlineStr"/>
      <c r="N8" s="8" t="inlineStr"/>
      <c r="O8" s="8" t="inlineStr"/>
      <c r="P8" s="8" t="inlineStr"/>
      <c r="Q8" s="8" t="inlineStr"/>
      <c r="R8" s="8" t="n">
        <v>0</v>
      </c>
      <c r="S8" s="8" t="n">
        <v>0</v>
      </c>
      <c r="T8" s="8" t="n">
        <v>108</v>
      </c>
    </row>
    <row r="9">
      <c r="A9" s="8" t="inlineStr"/>
      <c r="B9" s="8" t="inlineStr">
        <is>
          <t>A33.0002</t>
        </is>
      </c>
      <c r="C9" s="8" t="inlineStr">
        <is>
          <t>Dầu các loại</t>
        </is>
      </c>
      <c r="E9" s="8" t="inlineStr">
        <is>
          <t>kg</t>
        </is>
      </c>
      <c r="F9" s="8" t="inlineStr"/>
      <c r="G9" s="8" t="n">
        <v>2.09</v>
      </c>
      <c r="H9" s="8" t="inlineStr"/>
      <c r="I9" s="8" t="inlineStr"/>
      <c r="J9" s="8" t="n">
        <v>1</v>
      </c>
      <c r="K9" s="8" t="n">
        <v>11.4532</v>
      </c>
      <c r="L9" s="8" t="inlineStr"/>
      <c r="M9" s="8" t="inlineStr"/>
      <c r="N9" s="8" t="inlineStr"/>
      <c r="O9" s="8" t="inlineStr"/>
      <c r="P9" s="8" t="inlineStr"/>
      <c r="Q9" s="8" t="inlineStr"/>
      <c r="R9" s="8" t="n">
        <v>0</v>
      </c>
      <c r="S9" s="8" t="n">
        <v>0</v>
      </c>
      <c r="T9" s="8" t="n">
        <v>100</v>
      </c>
    </row>
    <row r="10">
      <c r="A10" s="8" t="inlineStr"/>
      <c r="B10" s="8" t="inlineStr">
        <is>
          <t>A33.0003</t>
        </is>
      </c>
      <c r="C10" s="8" t="inlineStr">
        <is>
          <t>Thép tấm</t>
        </is>
      </c>
      <c r="E10" s="8" t="inlineStr">
        <is>
          <t>kg</t>
        </is>
      </c>
      <c r="F10" s="8" t="inlineStr"/>
      <c r="G10" s="8" t="n">
        <v>2.78</v>
      </c>
      <c r="H10" s="8" t="inlineStr"/>
      <c r="I10" s="8" t="inlineStr"/>
      <c r="J10" s="8" t="n">
        <v>1</v>
      </c>
      <c r="K10" s="8" t="n">
        <v>15.2344</v>
      </c>
      <c r="L10" s="8" t="inlineStr"/>
      <c r="M10" s="8" t="inlineStr"/>
      <c r="N10" s="8" t="inlineStr"/>
      <c r="O10" s="8" t="inlineStr"/>
      <c r="P10" s="8" t="inlineStr"/>
      <c r="Q10" s="8" t="inlineStr"/>
      <c r="R10" s="8" t="n">
        <v>0</v>
      </c>
      <c r="S10" s="8" t="n">
        <v>0</v>
      </c>
      <c r="T10" s="8" t="n">
        <v>1011</v>
      </c>
    </row>
    <row r="11">
      <c r="A11" s="8" t="inlineStr"/>
      <c r="B11" s="8" t="inlineStr">
        <is>
          <t>A33.0108</t>
        </is>
      </c>
      <c r="C11" s="8" t="inlineStr">
        <is>
          <t>Que hàn các loại</t>
        </is>
      </c>
      <c r="E11" s="8" t="inlineStr">
        <is>
          <t>kg</t>
        </is>
      </c>
      <c r="F11" s="8" t="inlineStr"/>
      <c r="G11" s="8" t="n">
        <v>0.21</v>
      </c>
      <c r="H11" s="8" t="inlineStr"/>
      <c r="I11" s="8" t="inlineStr"/>
      <c r="J11" s="8" t="n">
        <v>1</v>
      </c>
      <c r="K11" s="8" t="n">
        <v>1.1508</v>
      </c>
      <c r="L11" s="8" t="inlineStr"/>
      <c r="M11" s="8" t="inlineStr"/>
      <c r="N11" s="8" t="inlineStr"/>
      <c r="O11" s="8" t="inlineStr"/>
      <c r="P11" s="8" t="inlineStr"/>
      <c r="Q11" s="8" t="inlineStr"/>
      <c r="R11" s="8" t="n">
        <v>0</v>
      </c>
      <c r="S11" s="8" t="n">
        <v>0</v>
      </c>
      <c r="T11" s="8" t="n">
        <v>1010</v>
      </c>
    </row>
    <row r="12">
      <c r="A12" s="8" t="inlineStr"/>
      <c r="B12" s="8" t="inlineStr">
        <is>
          <t>A33.0005</t>
        </is>
      </c>
      <c r="C12" s="8" t="inlineStr">
        <is>
          <t>Khí gas</t>
        </is>
      </c>
      <c r="E12" s="8" t="inlineStr">
        <is>
          <t>kg</t>
        </is>
      </c>
      <c r="F12" s="8" t="inlineStr"/>
      <c r="G12" s="8" t="n">
        <v>0.22</v>
      </c>
      <c r="H12" s="8" t="inlineStr"/>
      <c r="I12" s="8" t="inlineStr"/>
      <c r="J12" s="8" t="n">
        <v>1</v>
      </c>
      <c r="K12" s="8" t="n">
        <v>1.2056</v>
      </c>
      <c r="L12" s="8" t="inlineStr"/>
      <c r="M12" s="8" t="inlineStr"/>
      <c r="N12" s="8" t="inlineStr"/>
      <c r="O12" s="8" t="inlineStr"/>
      <c r="P12" s="8" t="inlineStr"/>
      <c r="Q12" s="8" t="inlineStr"/>
      <c r="R12" s="8" t="n">
        <v>0</v>
      </c>
      <c r="S12" s="8" t="n">
        <v>0</v>
      </c>
      <c r="T12" s="8" t="n">
        <v>107</v>
      </c>
    </row>
    <row r="13">
      <c r="A13" s="8" t="inlineStr"/>
      <c r="B13" s="8" t="inlineStr">
        <is>
          <t>A33.0006</t>
        </is>
      </c>
      <c r="C13" s="8" t="inlineStr">
        <is>
          <t>Ô xy</t>
        </is>
      </c>
      <c r="E13" s="8" t="inlineStr">
        <is>
          <t>chai</t>
        </is>
      </c>
      <c r="F13" s="8" t="inlineStr"/>
      <c r="G13" s="8" t="n">
        <v>0.11</v>
      </c>
      <c r="H13" s="8" t="inlineStr"/>
      <c r="I13" s="8" t="inlineStr"/>
      <c r="J13" s="8" t="n">
        <v>1</v>
      </c>
      <c r="K13" s="8" t="n">
        <v>0.6028</v>
      </c>
      <c r="L13" s="8" t="inlineStr"/>
      <c r="M13" s="8" t="inlineStr"/>
      <c r="N13" s="8" t="inlineStr"/>
      <c r="O13" s="8" t="inlineStr"/>
      <c r="P13" s="8" t="inlineStr"/>
      <c r="Q13" s="8" t="inlineStr"/>
      <c r="R13" s="8" t="n">
        <v>0</v>
      </c>
      <c r="S13" s="8" t="n">
        <v>0</v>
      </c>
      <c r="T13" s="8" t="n">
        <v>109</v>
      </c>
    </row>
    <row r="14">
      <c r="A14" s="8" t="inlineStr"/>
      <c r="B14" s="8" t="inlineStr">
        <is>
          <t>A33.0107</t>
        </is>
      </c>
      <c r="C14" s="8" t="inlineStr">
        <is>
          <t>Đá mài, cắt</t>
        </is>
      </c>
      <c r="E14" s="8" t="inlineStr">
        <is>
          <t>viên</t>
        </is>
      </c>
      <c r="F14" s="8" t="inlineStr"/>
      <c r="G14" s="8" t="n">
        <v>0.89</v>
      </c>
      <c r="H14" s="8" t="inlineStr"/>
      <c r="I14" s="8" t="inlineStr"/>
      <c r="J14" s="8" t="n">
        <v>1</v>
      </c>
      <c r="K14" s="8" t="n">
        <v>4.8772</v>
      </c>
      <c r="L14" s="8" t="inlineStr"/>
      <c r="M14" s="8" t="inlineStr"/>
      <c r="N14" s="8" t="inlineStr"/>
      <c r="O14" s="8" t="inlineStr"/>
      <c r="P14" s="8" t="inlineStr"/>
      <c r="Q14" s="8" t="inlineStr"/>
      <c r="R14" s="8" t="n">
        <v>0</v>
      </c>
      <c r="S14" s="8" t="n">
        <v>0</v>
      </c>
      <c r="T14" s="8" t="n">
        <v>101</v>
      </c>
    </row>
    <row r="15">
      <c r="A15" s="8" t="inlineStr"/>
      <c r="B15" s="8" t="inlineStr">
        <is>
          <t>A33.0008</t>
        </is>
      </c>
      <c r="C15" s="8" t="inlineStr">
        <is>
          <t>Đồng lá</t>
        </is>
      </c>
      <c r="E15" s="8" t="inlineStr">
        <is>
          <t>kg</t>
        </is>
      </c>
      <c r="F15" s="8" t="inlineStr"/>
      <c r="G15" s="8" t="n">
        <v>0.055</v>
      </c>
      <c r="H15" s="8" t="inlineStr"/>
      <c r="I15" s="8" t="inlineStr"/>
      <c r="J15" s="8" t="n">
        <v>1</v>
      </c>
      <c r="K15" s="8" t="n">
        <v>0.3014</v>
      </c>
      <c r="L15" s="8" t="inlineStr"/>
      <c r="M15" s="8" t="inlineStr"/>
      <c r="N15" s="8" t="inlineStr"/>
      <c r="O15" s="8" t="inlineStr"/>
      <c r="P15" s="8" t="inlineStr"/>
      <c r="Q15" s="8" t="inlineStr"/>
      <c r="R15" s="8" t="n">
        <v>0</v>
      </c>
      <c r="S15" s="8" t="n">
        <v>0</v>
      </c>
      <c r="T15" s="8" t="n">
        <v>102</v>
      </c>
    </row>
    <row r="16">
      <c r="A16" s="8" t="inlineStr"/>
      <c r="B16" s="8" t="inlineStr">
        <is>
          <t>A33.0007</t>
        </is>
      </c>
      <c r="C16" s="8" t="inlineStr">
        <is>
          <t>Gỗ nhóm 4</t>
        </is>
      </c>
      <c r="E16" s="8" t="inlineStr">
        <is>
          <t>m3</t>
        </is>
      </c>
      <c r="F16" s="8" t="inlineStr"/>
      <c r="G16" s="8" t="n">
        <v>0.014</v>
      </c>
      <c r="H16" s="8" t="inlineStr"/>
      <c r="I16" s="8" t="inlineStr"/>
      <c r="J16" s="8" t="n">
        <v>1</v>
      </c>
      <c r="K16" s="8" t="n">
        <v>0.07672000000000001</v>
      </c>
      <c r="L16" s="8" t="inlineStr"/>
      <c r="M16" s="8" t="inlineStr"/>
      <c r="N16" s="8" t="inlineStr"/>
      <c r="O16" s="8" t="inlineStr"/>
      <c r="P16" s="8" t="inlineStr"/>
      <c r="Q16" s="8" t="inlineStr"/>
      <c r="R16" s="8" t="n">
        <v>0</v>
      </c>
      <c r="S16" s="8" t="n">
        <v>0</v>
      </c>
      <c r="T16" s="8" t="n">
        <v>103</v>
      </c>
    </row>
    <row r="17">
      <c r="A17" s="8" t="inlineStr"/>
      <c r="B17" s="8" t="inlineStr">
        <is>
          <t>Z999</t>
        </is>
      </c>
      <c r="C17" s="8" t="inlineStr">
        <is>
          <t>Vật liệu khác</t>
        </is>
      </c>
      <c r="E17" s="8" t="inlineStr">
        <is>
          <t>%</t>
        </is>
      </c>
      <c r="F17" s="8" t="inlineStr"/>
      <c r="G17" s="8" t="n">
        <v>5</v>
      </c>
      <c r="H17" s="8" t="inlineStr"/>
      <c r="I17" s="8" t="inlineStr"/>
      <c r="J17" s="8" t="inlineStr"/>
      <c r="K17" s="8" t="inlineStr"/>
      <c r="L17" s="8" t="inlineStr"/>
      <c r="M17" s="8" t="inlineStr"/>
      <c r="N17" s="8" t="n">
        <v>0</v>
      </c>
      <c r="O17" s="8" t="inlineStr"/>
      <c r="P17" s="8" t="n">
        <v>135434.27084</v>
      </c>
      <c r="Q17" s="8" t="inlineStr"/>
      <c r="R17" s="8" t="inlineStr"/>
      <c r="S17" s="8" t="inlineStr"/>
      <c r="T17" s="8" t="inlineStr"/>
    </row>
    <row r="18">
      <c r="A18" s="8" t="inlineStr"/>
      <c r="B18" s="8" t="inlineStr"/>
      <c r="C18" s="8" t="inlineStr">
        <is>
          <t>b) Nhân công</t>
        </is>
      </c>
      <c r="E18" s="8" t="inlineStr"/>
      <c r="F18" s="8" t="inlineStr"/>
      <c r="G18" s="8" t="inlineStr"/>
      <c r="H18" s="8" t="inlineStr"/>
      <c r="I18" s="8" t="inlineStr"/>
      <c r="J18" s="8" t="inlineStr"/>
      <c r="K18" s="8" t="inlineStr"/>
      <c r="L18" s="8" t="inlineStr"/>
      <c r="M18" s="8" t="inlineStr"/>
      <c r="N18" s="8" t="inlineStr"/>
      <c r="O18" s="8" t="inlineStr"/>
      <c r="P18" s="8" t="inlineStr"/>
      <c r="Q18" s="8" t="inlineStr"/>
      <c r="R18" s="8" t="inlineStr"/>
      <c r="S18" s="8" t="inlineStr"/>
      <c r="T18" s="8" t="inlineStr"/>
    </row>
    <row r="19">
      <c r="A19" s="8" t="inlineStr"/>
      <c r="B19" s="8" t="inlineStr">
        <is>
          <t>N4</t>
        </is>
      </c>
      <c r="C19" s="8" t="inlineStr">
        <is>
          <t>Nhân công nhóm 4</t>
        </is>
      </c>
      <c r="E19" s="8" t="inlineStr">
        <is>
          <t>công</t>
        </is>
      </c>
      <c r="F19" s="8" t="inlineStr"/>
      <c r="G19" s="8" t="inlineStr"/>
      <c r="H19" s="8" t="n">
        <v>36.94</v>
      </c>
      <c r="I19" s="8" t="inlineStr"/>
      <c r="J19" s="8" t="n">
        <v>1</v>
      </c>
      <c r="K19" s="8" t="inlineStr"/>
      <c r="L19" s="8" t="n">
        <v>202.4312</v>
      </c>
      <c r="M19" s="8" t="inlineStr"/>
      <c r="N19" s="8" t="inlineStr"/>
      <c r="O19" s="8" t="inlineStr"/>
      <c r="P19" s="8" t="inlineStr"/>
      <c r="Q19" s="8" t="inlineStr"/>
      <c r="R19" s="8" t="inlineStr"/>
      <c r="S19" s="8" t="inlineStr"/>
      <c r="T19" s="8" t="n">
        <v>201</v>
      </c>
    </row>
    <row r="20">
      <c r="A20" s="8" t="inlineStr"/>
      <c r="B20" s="8" t="inlineStr"/>
      <c r="C20" s="8" t="inlineStr">
        <is>
          <t>c) Máy thi công</t>
        </is>
      </c>
      <c r="E20" s="8" t="inlineStr"/>
      <c r="F20" s="8" t="inlineStr"/>
      <c r="G20" s="8" t="inlineStr"/>
      <c r="H20" s="8" t="inlineStr"/>
      <c r="I20" s="8" t="inlineStr"/>
      <c r="J20" s="8" t="inlineStr"/>
      <c r="K20" s="8" t="inlineStr"/>
      <c r="L20" s="8" t="inlineStr"/>
      <c r="M20" s="8" t="inlineStr"/>
      <c r="N20" s="8" t="inlineStr"/>
      <c r="O20" s="8" t="inlineStr"/>
      <c r="P20" s="8" t="inlineStr"/>
      <c r="Q20" s="8" t="inlineStr"/>
      <c r="R20" s="8" t="inlineStr"/>
      <c r="S20" s="8" t="inlineStr"/>
      <c r="T20" s="8" t="inlineStr"/>
    </row>
    <row r="21">
      <c r="A21" s="8" t="inlineStr"/>
      <c r="B21" s="8" t="inlineStr">
        <is>
          <t>M102.0301</t>
        </is>
      </c>
      <c r="C21" s="8" t="inlineStr">
        <is>
          <t>Cần cẩu bánh xích 5T</t>
        </is>
      </c>
      <c r="E21" s="8" t="inlineStr">
        <is>
          <t>ca</t>
        </is>
      </c>
      <c r="F21" s="8" t="inlineStr"/>
      <c r="G21" s="8" t="inlineStr"/>
      <c r="H21" s="8" t="inlineStr"/>
      <c r="I21" s="8" t="n">
        <v>0.314</v>
      </c>
      <c r="J21" s="8" t="n">
        <v>1</v>
      </c>
      <c r="K21" s="8" t="inlineStr"/>
      <c r="L21" s="8" t="inlineStr"/>
      <c r="M21" s="8" t="n">
        <v>1.72072</v>
      </c>
      <c r="N21" s="8" t="inlineStr"/>
      <c r="O21" s="8" t="inlineStr"/>
      <c r="P21" s="8" t="inlineStr"/>
      <c r="Q21" s="8" t="inlineStr"/>
      <c r="R21" s="8" t="inlineStr"/>
      <c r="S21" s="8" t="inlineStr"/>
      <c r="T21" s="8" t="n">
        <v>300</v>
      </c>
    </row>
    <row r="22">
      <c r="A22" s="8" t="inlineStr"/>
      <c r="B22" s="8" t="inlineStr">
        <is>
          <t>M112.3703</t>
        </is>
      </c>
      <c r="C22" s="8" t="inlineStr">
        <is>
          <t>Máy mài 2,7 kW</t>
        </is>
      </c>
      <c r="E22" s="8" t="inlineStr">
        <is>
          <t>ca</t>
        </is>
      </c>
      <c r="F22" s="8" t="inlineStr"/>
      <c r="G22" s="8" t="inlineStr"/>
      <c r="H22" s="8" t="inlineStr"/>
      <c r="I22" s="8" t="n">
        <v>0.89</v>
      </c>
      <c r="J22" s="8" t="n">
        <v>1</v>
      </c>
      <c r="K22" s="8" t="inlineStr"/>
      <c r="L22" s="8" t="inlineStr"/>
      <c r="M22" s="8" t="n">
        <v>4.8772</v>
      </c>
      <c r="N22" s="8" t="inlineStr"/>
      <c r="O22" s="8" t="inlineStr"/>
      <c r="P22" s="8" t="inlineStr"/>
      <c r="Q22" s="8" t="inlineStr"/>
      <c r="R22" s="8" t="inlineStr"/>
      <c r="S22" s="8" t="inlineStr"/>
      <c r="T22" s="8" t="n">
        <v>304</v>
      </c>
    </row>
    <row r="23">
      <c r="A23" s="8" t="inlineStr"/>
      <c r="B23" s="8" t="inlineStr">
        <is>
          <t>M112.3901</t>
        </is>
      </c>
      <c r="C23" s="8" t="inlineStr">
        <is>
          <t>Máy hàn điện 50 kW</t>
        </is>
      </c>
      <c r="E23" s="8" t="inlineStr">
        <is>
          <t>ca</t>
        </is>
      </c>
      <c r="F23" s="8" t="inlineStr"/>
      <c r="G23" s="8" t="inlineStr"/>
      <c r="H23" s="8" t="inlineStr"/>
      <c r="I23" s="8" t="n">
        <v>0.089</v>
      </c>
      <c r="J23" s="8" t="n">
        <v>1</v>
      </c>
      <c r="K23" s="8" t="inlineStr"/>
      <c r="L23" s="8" t="inlineStr"/>
      <c r="M23" s="8" t="n">
        <v>0.48772</v>
      </c>
      <c r="N23" s="8" t="inlineStr"/>
      <c r="O23" s="8" t="inlineStr"/>
      <c r="P23" s="8" t="inlineStr"/>
      <c r="Q23" s="8" t="inlineStr"/>
      <c r="R23" s="8" t="inlineStr"/>
      <c r="S23" s="8" t="inlineStr"/>
      <c r="T23" s="8" t="n">
        <v>301</v>
      </c>
    </row>
    <row r="24">
      <c r="A24" s="8" t="inlineStr"/>
      <c r="B24" s="8" t="inlineStr">
        <is>
          <t>M112.4101</t>
        </is>
      </c>
      <c r="C24" s="8" t="inlineStr">
        <is>
          <t>Máy hàn hơi 1000 l/h</t>
        </is>
      </c>
      <c r="E24" s="8" t="inlineStr">
        <is>
          <t>ca</t>
        </is>
      </c>
      <c r="F24" s="8" t="inlineStr"/>
      <c r="G24" s="8" t="inlineStr"/>
      <c r="H24" s="8" t="inlineStr"/>
      <c r="I24" s="8" t="n">
        <v>0.27</v>
      </c>
      <c r="J24" s="8" t="n">
        <v>1</v>
      </c>
      <c r="K24" s="8" t="inlineStr"/>
      <c r="L24" s="8" t="inlineStr"/>
      <c r="M24" s="8" t="n">
        <v>1.4796</v>
      </c>
      <c r="N24" s="8" t="inlineStr"/>
      <c r="O24" s="8" t="inlineStr"/>
      <c r="P24" s="8" t="inlineStr"/>
      <c r="Q24" s="8" t="inlineStr"/>
      <c r="R24" s="8" t="inlineStr"/>
      <c r="S24" s="8" t="inlineStr"/>
      <c r="T24" s="8" t="n">
        <v>302</v>
      </c>
    </row>
    <row r="25">
      <c r="A25" s="8" t="inlineStr"/>
      <c r="B25" s="8" t="inlineStr">
        <is>
          <t>M999</t>
        </is>
      </c>
      <c r="C25" s="8" t="inlineStr">
        <is>
          <t>Máy khác</t>
        </is>
      </c>
      <c r="E25" s="8" t="inlineStr">
        <is>
          <t>%</t>
        </is>
      </c>
      <c r="F25" s="8" t="inlineStr"/>
      <c r="G25" s="8" t="inlineStr"/>
      <c r="H25" s="8" t="inlineStr"/>
      <c r="I25" s="8" t="n">
        <v>2</v>
      </c>
      <c r="J25" s="8" t="inlineStr"/>
      <c r="K25" s="8" t="inlineStr"/>
      <c r="L25" s="8" t="inlineStr"/>
      <c r="M25" s="8" t="inlineStr"/>
      <c r="N25" s="8" t="inlineStr"/>
      <c r="O25" s="8" t="n">
        <v>0</v>
      </c>
      <c r="P25" s="8" t="inlineStr"/>
      <c r="Q25" s="8" t="n">
        <v>106988.268716</v>
      </c>
      <c r="R25" s="8" t="inlineStr"/>
      <c r="S25" s="8" t="inlineStr"/>
      <c r="T25" s="8" t="inlineStr"/>
    </row>
    <row r="26">
      <c r="A26" s="8" t="n">
        <v>2</v>
      </c>
      <c r="B26" s="11" t="inlineStr">
        <is>
          <t>BA.12130</t>
        </is>
      </c>
      <c r="C26" s="8" t="inlineStr">
        <is>
          <t>Dàn lạnh âm trần nối ống gió, CSL: 7.1 kW</t>
        </is>
      </c>
      <c r="D26" s="12">
        <f>HYPERLINK("tt38://pl3/6", "👉 Phụ lục III - Trang 6 (Khớp nhóm BA.121)")</f>
        <v/>
      </c>
      <c r="E26" s="8" t="inlineStr">
        <is>
          <t>máy</t>
        </is>
      </c>
      <c r="F26" s="8" t="n">
        <v>14</v>
      </c>
      <c r="G26" s="8" t="inlineStr"/>
      <c r="H26" s="8" t="inlineStr"/>
      <c r="I26" s="8" t="inlineStr"/>
      <c r="J26" s="8" t="inlineStr"/>
      <c r="K26" s="8" t="inlineStr"/>
      <c r="L26" s="8" t="inlineStr"/>
      <c r="M26" s="8" t="inlineStr"/>
      <c r="N26" s="8" t="inlineStr"/>
      <c r="O26" s="8" t="inlineStr"/>
      <c r="P26" s="8" t="inlineStr"/>
      <c r="Q26" s="8" t="inlineStr"/>
      <c r="R26" s="8" t="inlineStr"/>
      <c r="S26" s="8" t="inlineStr"/>
      <c r="T26" s="8" t="inlineStr"/>
    </row>
    <row r="27">
      <c r="A27" s="8" t="inlineStr"/>
      <c r="B27" s="8" t="inlineStr"/>
      <c r="C27" s="8" t="inlineStr">
        <is>
          <t>a) Vật liệu</t>
        </is>
      </c>
      <c r="E27" s="8" t="inlineStr"/>
      <c r="F27" s="8" t="inlineStr"/>
      <c r="G27" s="8" t="inlineStr"/>
      <c r="H27" s="8" t="inlineStr"/>
      <c r="I27" s="8" t="inlineStr"/>
      <c r="J27" s="8" t="inlineStr"/>
      <c r="K27" s="8" t="inlineStr"/>
      <c r="L27" s="8" t="inlineStr"/>
      <c r="M27" s="8" t="inlineStr"/>
      <c r="N27" s="8" t="inlineStr"/>
      <c r="O27" s="8" t="inlineStr"/>
      <c r="P27" s="8" t="inlineStr"/>
      <c r="Q27" s="8" t="inlineStr"/>
      <c r="R27" s="8" t="inlineStr"/>
      <c r="S27" s="8" t="inlineStr"/>
      <c r="T27" s="8" t="inlineStr"/>
    </row>
    <row r="28">
      <c r="A28" s="8" t="inlineStr"/>
      <c r="B28" s="8" t="inlineStr">
        <is>
          <t>A33.0009</t>
        </is>
      </c>
      <c r="C28" s="8" t="inlineStr">
        <is>
          <t>Giá đỡ máy âm trần</t>
        </is>
      </c>
      <c r="E28" s="8" t="inlineStr">
        <is>
          <t>cái</t>
        </is>
      </c>
      <c r="F28" s="8" t="inlineStr"/>
      <c r="G28" s="8" t="n">
        <v>1</v>
      </c>
      <c r="H28" s="8" t="inlineStr"/>
      <c r="I28" s="8" t="inlineStr"/>
      <c r="J28" s="8" t="n">
        <v>1</v>
      </c>
      <c r="K28" s="8" t="n">
        <v>14</v>
      </c>
      <c r="L28" s="8" t="inlineStr"/>
      <c r="M28" s="8" t="inlineStr"/>
      <c r="N28" s="8" t="inlineStr"/>
      <c r="O28" s="8" t="inlineStr"/>
      <c r="P28" s="8" t="inlineStr"/>
      <c r="Q28" s="8" t="inlineStr"/>
      <c r="R28" s="8" t="n">
        <v>0</v>
      </c>
      <c r="S28" s="8" t="n">
        <v>0</v>
      </c>
      <c r="T28" s="8" t="n">
        <v>104</v>
      </c>
    </row>
    <row r="29">
      <c r="A29" s="8" t="inlineStr"/>
      <c r="B29" s="8" t="inlineStr">
        <is>
          <t>Z999</t>
        </is>
      </c>
      <c r="C29" s="8" t="inlineStr">
        <is>
          <t>Vật liệu khác</t>
        </is>
      </c>
      <c r="E29" s="8" t="inlineStr">
        <is>
          <t>%</t>
        </is>
      </c>
      <c r="F29" s="8" t="inlineStr"/>
      <c r="G29" s="8" t="n">
        <v>5</v>
      </c>
      <c r="H29" s="8" t="inlineStr"/>
      <c r="I29" s="8" t="inlineStr"/>
      <c r="J29" s="8" t="inlineStr"/>
      <c r="K29" s="8" t="inlineStr"/>
      <c r="L29" s="8" t="inlineStr"/>
      <c r="M29" s="8" t="inlineStr"/>
      <c r="N29" s="8" t="n">
        <v>0</v>
      </c>
      <c r="O29" s="8" t="inlineStr"/>
      <c r="P29" s="8" t="n">
        <v>350000</v>
      </c>
      <c r="Q29" s="8" t="inlineStr"/>
      <c r="R29" s="8" t="inlineStr"/>
      <c r="S29" s="8" t="inlineStr"/>
      <c r="T29" s="8" t="inlineStr"/>
    </row>
    <row r="30">
      <c r="A30" s="8" t="inlineStr"/>
      <c r="B30" s="8" t="inlineStr"/>
      <c r="C30" s="8" t="inlineStr">
        <is>
          <t>b) Nhân công</t>
        </is>
      </c>
      <c r="E30" s="8" t="inlineStr"/>
      <c r="F30" s="8" t="inlineStr"/>
      <c r="G30" s="8" t="inlineStr"/>
      <c r="H30" s="8" t="inlineStr"/>
      <c r="I30" s="8" t="inlineStr"/>
      <c r="J30" s="8" t="inlineStr"/>
      <c r="K30" s="8" t="inlineStr"/>
      <c r="L30" s="8" t="inlineStr"/>
      <c r="M30" s="8" t="inlineStr"/>
      <c r="N30" s="8" t="inlineStr"/>
      <c r="O30" s="8" t="inlineStr"/>
      <c r="P30" s="8" t="inlineStr"/>
      <c r="Q30" s="8" t="inlineStr"/>
      <c r="R30" s="8" t="inlineStr"/>
      <c r="S30" s="8" t="inlineStr"/>
      <c r="T30" s="8" t="inlineStr"/>
    </row>
    <row r="31">
      <c r="A31" s="8" t="inlineStr"/>
      <c r="B31" s="8" t="inlineStr">
        <is>
          <t>N3</t>
        </is>
      </c>
      <c r="C31" s="8" t="inlineStr">
        <is>
          <t>Nhân công nhóm 3</t>
        </is>
      </c>
      <c r="E31" s="8" t="inlineStr">
        <is>
          <t>công</t>
        </is>
      </c>
      <c r="F31" s="8" t="inlineStr"/>
      <c r="G31" s="8" t="inlineStr"/>
      <c r="H31" s="8" t="n">
        <v>1.31</v>
      </c>
      <c r="I31" s="8" t="inlineStr"/>
      <c r="J31" s="8" t="n">
        <v>1</v>
      </c>
      <c r="K31" s="8" t="inlineStr"/>
      <c r="L31" s="8" t="n">
        <v>18.34</v>
      </c>
      <c r="M31" s="8" t="inlineStr"/>
      <c r="N31" s="8" t="inlineStr"/>
      <c r="O31" s="8" t="inlineStr"/>
      <c r="P31" s="8" t="inlineStr"/>
      <c r="Q31" s="8" t="inlineStr"/>
      <c r="R31" s="8" t="inlineStr"/>
      <c r="S31" s="8" t="inlineStr"/>
      <c r="T31" s="8" t="n">
        <v>200</v>
      </c>
    </row>
    <row r="32">
      <c r="A32" s="8" t="inlineStr"/>
      <c r="B32" s="8" t="inlineStr"/>
      <c r="C32" s="8" t="inlineStr">
        <is>
          <t>c) Máy thi công</t>
        </is>
      </c>
      <c r="E32" s="8" t="inlineStr"/>
      <c r="F32" s="8" t="inlineStr"/>
      <c r="G32" s="8" t="inlineStr"/>
      <c r="H32" s="8" t="inlineStr"/>
      <c r="I32" s="8" t="inlineStr"/>
      <c r="J32" s="8" t="inlineStr"/>
      <c r="K32" s="8" t="inlineStr"/>
      <c r="L32" s="8" t="inlineStr"/>
      <c r="M32" s="8" t="inlineStr"/>
      <c r="N32" s="8" t="inlineStr"/>
      <c r="O32" s="8" t="inlineStr"/>
      <c r="P32" s="8" t="inlineStr"/>
      <c r="Q32" s="8" t="inlineStr"/>
      <c r="R32" s="8" t="inlineStr"/>
      <c r="S32" s="8" t="inlineStr"/>
      <c r="T32" s="8" t="inlineStr"/>
    </row>
    <row r="33">
      <c r="A33" s="8" t="inlineStr"/>
      <c r="B33" s="8" t="inlineStr">
        <is>
          <t>M112.1701</t>
        </is>
      </c>
      <c r="C33" s="8" t="inlineStr">
        <is>
          <t>Máy khoan bê tông cầm tay 0,62 kW</t>
        </is>
      </c>
      <c r="E33" s="8" t="inlineStr">
        <is>
          <t>ca</t>
        </is>
      </c>
      <c r="F33" s="8" t="inlineStr"/>
      <c r="G33" s="8" t="inlineStr"/>
      <c r="H33" s="8" t="inlineStr"/>
      <c r="I33" s="8" t="n">
        <v>0.36</v>
      </c>
      <c r="J33" s="8" t="n">
        <v>1</v>
      </c>
      <c r="K33" s="8" t="inlineStr"/>
      <c r="L33" s="8" t="inlineStr"/>
      <c r="M33" s="8" t="n">
        <v>5.04</v>
      </c>
      <c r="N33" s="8" t="inlineStr"/>
      <c r="O33" s="8" t="inlineStr"/>
      <c r="P33" s="8" t="inlineStr"/>
      <c r="Q33" s="8" t="inlineStr"/>
      <c r="R33" s="8" t="inlineStr"/>
      <c r="S33" s="8" t="inlineStr"/>
      <c r="T33" s="8" t="n">
        <v>303</v>
      </c>
    </row>
    <row r="34">
      <c r="A34" s="8" t="n">
        <v>3</v>
      </c>
      <c r="B34" s="11" t="inlineStr">
        <is>
          <t>BA.12130</t>
        </is>
      </c>
      <c r="C34" s="8" t="inlineStr">
        <is>
          <t>Dàn lạnh cassette, CSL: 9.0 kW</t>
        </is>
      </c>
      <c r="D34" s="12">
        <f>HYPERLINK("tt38://pl3/6", "👉 Phụ lục III - Trang 6 (Khớp nhóm BA.121)")</f>
        <v/>
      </c>
      <c r="E34" s="8" t="inlineStr">
        <is>
          <t>máy</t>
        </is>
      </c>
      <c r="F34" s="8" t="n">
        <v>14</v>
      </c>
      <c r="G34" s="8" t="inlineStr"/>
      <c r="H34" s="8" t="inlineStr"/>
      <c r="I34" s="8" t="inlineStr"/>
      <c r="J34" s="8" t="inlineStr"/>
      <c r="K34" s="8" t="inlineStr"/>
      <c r="L34" s="8" t="inlineStr"/>
      <c r="M34" s="8" t="inlineStr"/>
      <c r="N34" s="8" t="inlineStr"/>
      <c r="O34" s="8" t="inlineStr"/>
      <c r="P34" s="8" t="inlineStr"/>
      <c r="Q34" s="8" t="inlineStr"/>
      <c r="R34" s="8" t="inlineStr"/>
      <c r="S34" s="8" t="inlineStr"/>
      <c r="T34" s="8" t="inlineStr"/>
    </row>
    <row r="35">
      <c r="A35" s="8" t="inlineStr"/>
      <c r="B35" s="8" t="inlineStr"/>
      <c r="C35" s="8" t="inlineStr">
        <is>
          <t>a) Vật liệu</t>
        </is>
      </c>
      <c r="E35" s="8" t="inlineStr"/>
      <c r="F35" s="8" t="inlineStr"/>
      <c r="G35" s="8" t="inlineStr"/>
      <c r="H35" s="8" t="inlineStr"/>
      <c r="I35" s="8" t="inlineStr"/>
      <c r="J35" s="8" t="inlineStr"/>
      <c r="K35" s="8" t="inlineStr"/>
      <c r="L35" s="8" t="inlineStr"/>
      <c r="M35" s="8" t="inlineStr"/>
      <c r="N35" s="8" t="inlineStr"/>
      <c r="O35" s="8" t="inlineStr"/>
      <c r="P35" s="8" t="inlineStr"/>
      <c r="Q35" s="8" t="inlineStr"/>
      <c r="R35" s="8" t="inlineStr"/>
      <c r="S35" s="8" t="inlineStr"/>
      <c r="T35" s="8" t="inlineStr"/>
    </row>
    <row r="36">
      <c r="A36" s="8" t="inlineStr"/>
      <c r="B36" s="8" t="inlineStr">
        <is>
          <t>A33.0009</t>
        </is>
      </c>
      <c r="C36" s="8" t="inlineStr">
        <is>
          <t>Giá đỡ máy cassettle</t>
        </is>
      </c>
      <c r="E36" s="8" t="inlineStr">
        <is>
          <t>cái</t>
        </is>
      </c>
      <c r="F36" s="8" t="inlineStr"/>
      <c r="G36" s="8" t="n">
        <v>1</v>
      </c>
      <c r="H36" s="8" t="inlineStr"/>
      <c r="I36" s="8" t="inlineStr"/>
      <c r="J36" s="8" t="n">
        <v>1</v>
      </c>
      <c r="K36" s="8" t="n">
        <v>14</v>
      </c>
      <c r="L36" s="8" t="inlineStr"/>
      <c r="M36" s="8" t="inlineStr"/>
      <c r="N36" s="8" t="inlineStr"/>
      <c r="O36" s="8" t="inlineStr"/>
      <c r="P36" s="8" t="inlineStr"/>
      <c r="Q36" s="8" t="inlineStr"/>
      <c r="R36" s="8" t="n">
        <v>0</v>
      </c>
      <c r="S36" s="8" t="n">
        <v>0</v>
      </c>
      <c r="T36" s="8" t="n">
        <v>105</v>
      </c>
    </row>
    <row r="37">
      <c r="A37" s="8" t="inlineStr"/>
      <c r="B37" s="8" t="inlineStr">
        <is>
          <t>Z999</t>
        </is>
      </c>
      <c r="C37" s="8" t="inlineStr">
        <is>
          <t>Vật liệu khác</t>
        </is>
      </c>
      <c r="E37" s="8" t="inlineStr">
        <is>
          <t>%</t>
        </is>
      </c>
      <c r="F37" s="8" t="inlineStr"/>
      <c r="G37" s="8" t="n">
        <v>5</v>
      </c>
      <c r="H37" s="8" t="inlineStr"/>
      <c r="I37" s="8" t="inlineStr"/>
      <c r="J37" s="8" t="inlineStr"/>
      <c r="K37" s="8" t="inlineStr"/>
      <c r="L37" s="8" t="inlineStr"/>
      <c r="M37" s="8" t="inlineStr"/>
      <c r="N37" s="8" t="n">
        <v>0</v>
      </c>
      <c r="O37" s="8" t="inlineStr"/>
      <c r="P37" s="8" t="n">
        <v>350000</v>
      </c>
      <c r="Q37" s="8" t="inlineStr"/>
      <c r="R37" s="8" t="inlineStr"/>
      <c r="S37" s="8" t="inlineStr"/>
      <c r="T37" s="8" t="inlineStr"/>
    </row>
    <row r="38">
      <c r="A38" s="8" t="inlineStr"/>
      <c r="B38" s="8" t="inlineStr"/>
      <c r="C38" s="8" t="inlineStr">
        <is>
          <t>b) Nhân công</t>
        </is>
      </c>
      <c r="E38" s="8" t="inlineStr"/>
      <c r="F38" s="8" t="inlineStr"/>
      <c r="G38" s="8" t="inlineStr"/>
      <c r="H38" s="8" t="inlineStr"/>
      <c r="I38" s="8" t="inlineStr"/>
      <c r="J38" s="8" t="inlineStr"/>
      <c r="K38" s="8" t="inlineStr"/>
      <c r="L38" s="8" t="inlineStr"/>
      <c r="M38" s="8" t="inlineStr"/>
      <c r="N38" s="8" t="inlineStr"/>
      <c r="O38" s="8" t="inlineStr"/>
      <c r="P38" s="8" t="inlineStr"/>
      <c r="Q38" s="8" t="inlineStr"/>
      <c r="R38" s="8" t="inlineStr"/>
      <c r="S38" s="8" t="inlineStr"/>
      <c r="T38" s="8" t="inlineStr"/>
    </row>
    <row r="39">
      <c r="A39" s="8" t="inlineStr"/>
      <c r="B39" s="8" t="inlineStr">
        <is>
          <t>N3</t>
        </is>
      </c>
      <c r="C39" s="8" t="inlineStr">
        <is>
          <t>Nhân công nhóm 3</t>
        </is>
      </c>
      <c r="E39" s="8" t="inlineStr">
        <is>
          <t>công</t>
        </is>
      </c>
      <c r="F39" s="8" t="inlineStr"/>
      <c r="G39" s="8" t="inlineStr"/>
      <c r="H39" s="8" t="n">
        <v>1.31</v>
      </c>
      <c r="I39" s="8" t="inlineStr"/>
      <c r="J39" s="8" t="n">
        <v>1</v>
      </c>
      <c r="K39" s="8" t="inlineStr"/>
      <c r="L39" s="8" t="n">
        <v>18.34</v>
      </c>
      <c r="M39" s="8" t="inlineStr"/>
      <c r="N39" s="8" t="inlineStr"/>
      <c r="O39" s="8" t="inlineStr"/>
      <c r="P39" s="8" t="inlineStr"/>
      <c r="Q39" s="8" t="inlineStr"/>
      <c r="R39" s="8" t="inlineStr"/>
      <c r="S39" s="8" t="inlineStr"/>
      <c r="T39" s="8" t="n">
        <v>200</v>
      </c>
    </row>
    <row r="40">
      <c r="A40" s="8" t="inlineStr"/>
      <c r="B40" s="8" t="inlineStr"/>
      <c r="C40" s="8" t="inlineStr">
        <is>
          <t>c) Máy thi công</t>
        </is>
      </c>
      <c r="E40" s="8" t="inlineStr"/>
      <c r="F40" s="8" t="inlineStr"/>
      <c r="G40" s="8" t="inlineStr"/>
      <c r="H40" s="8" t="inlineStr"/>
      <c r="I40" s="8" t="inlineStr"/>
      <c r="J40" s="8" t="inlineStr"/>
      <c r="K40" s="8" t="inlineStr"/>
      <c r="L40" s="8" t="inlineStr"/>
      <c r="M40" s="8" t="inlineStr"/>
      <c r="N40" s="8" t="inlineStr"/>
      <c r="O40" s="8" t="inlineStr"/>
      <c r="P40" s="8" t="inlineStr"/>
      <c r="Q40" s="8" t="inlineStr"/>
      <c r="R40" s="8" t="inlineStr"/>
      <c r="S40" s="8" t="inlineStr"/>
      <c r="T40" s="8" t="inlineStr"/>
    </row>
    <row r="41">
      <c r="A41" s="8" t="inlineStr"/>
      <c r="B41" s="8" t="inlineStr">
        <is>
          <t>M112.1701</t>
        </is>
      </c>
      <c r="C41" s="8" t="inlineStr">
        <is>
          <t>Máy khoan bê tông cầm tay 0,62 kW</t>
        </is>
      </c>
      <c r="E41" s="8" t="inlineStr">
        <is>
          <t>ca</t>
        </is>
      </c>
      <c r="F41" s="8" t="inlineStr"/>
      <c r="G41" s="8" t="inlineStr"/>
      <c r="H41" s="8" t="inlineStr"/>
      <c r="I41" s="8" t="n">
        <v>0.36</v>
      </c>
      <c r="J41" s="8" t="n">
        <v>1</v>
      </c>
      <c r="K41" s="8" t="inlineStr"/>
      <c r="L41" s="8" t="inlineStr"/>
      <c r="M41" s="8" t="n">
        <v>5.04</v>
      </c>
      <c r="N41" s="8" t="inlineStr"/>
      <c r="O41" s="8" t="inlineStr"/>
      <c r="P41" s="8" t="inlineStr"/>
      <c r="Q41" s="8" t="inlineStr"/>
      <c r="R41" s="8" t="inlineStr"/>
      <c r="S41" s="8" t="inlineStr"/>
      <c r="T41" s="8" t="n">
        <v>303</v>
      </c>
    </row>
    <row r="42">
      <c r="A42" s="8" t="n">
        <v>4</v>
      </c>
      <c r="B42" s="11" t="inlineStr">
        <is>
          <t>BA.12130</t>
        </is>
      </c>
      <c r="C42" s="8" t="inlineStr">
        <is>
          <t>Dàn lạnh cassette, CSL: 11.2 kW</t>
        </is>
      </c>
      <c r="D42" s="12">
        <f>HYPERLINK("tt38://pl3/6", "👉 Phụ lục III - Trang 6 (Khớp nhóm BA.121)")</f>
        <v/>
      </c>
      <c r="E42" s="8" t="inlineStr">
        <is>
          <t>máy</t>
        </is>
      </c>
      <c r="F42" s="8" t="n">
        <v>43</v>
      </c>
      <c r="G42" s="8" t="inlineStr"/>
      <c r="H42" s="8" t="inlineStr"/>
      <c r="I42" s="8" t="inlineStr"/>
      <c r="J42" s="8" t="inlineStr"/>
      <c r="K42" s="8" t="inlineStr"/>
      <c r="L42" s="8" t="inlineStr"/>
      <c r="M42" s="8" t="inlineStr"/>
      <c r="N42" s="8" t="inlineStr"/>
      <c r="O42" s="8" t="inlineStr"/>
      <c r="P42" s="8" t="inlineStr"/>
      <c r="Q42" s="8" t="inlineStr"/>
      <c r="R42" s="8" t="inlineStr"/>
      <c r="S42" s="8" t="inlineStr"/>
      <c r="T42" s="8" t="inlineStr"/>
    </row>
    <row r="43">
      <c r="A43" s="8" t="inlineStr"/>
      <c r="B43" s="8" t="inlineStr"/>
      <c r="C43" s="8" t="inlineStr">
        <is>
          <t>a) Vật liệu</t>
        </is>
      </c>
      <c r="E43" s="8" t="inlineStr"/>
      <c r="F43" s="8" t="inlineStr"/>
      <c r="G43" s="8" t="inlineStr"/>
      <c r="H43" s="8" t="inlineStr"/>
      <c r="I43" s="8" t="inlineStr"/>
      <c r="J43" s="8" t="inlineStr"/>
      <c r="K43" s="8" t="inlineStr"/>
      <c r="L43" s="8" t="inlineStr"/>
      <c r="M43" s="8" t="inlineStr"/>
      <c r="N43" s="8" t="inlineStr"/>
      <c r="O43" s="8" t="inlineStr"/>
      <c r="P43" s="8" t="inlineStr"/>
      <c r="Q43" s="8" t="inlineStr"/>
      <c r="R43" s="8" t="inlineStr"/>
      <c r="S43" s="8" t="inlineStr"/>
      <c r="T43" s="8" t="inlineStr"/>
    </row>
    <row r="44">
      <c r="A44" s="8" t="inlineStr"/>
      <c r="B44" s="8" t="inlineStr">
        <is>
          <t>A33.0009</t>
        </is>
      </c>
      <c r="C44" s="8" t="inlineStr">
        <is>
          <t>Giá đỡ máy cassettle</t>
        </is>
      </c>
      <c r="E44" s="8" t="inlineStr">
        <is>
          <t>cái</t>
        </is>
      </c>
      <c r="F44" s="8" t="inlineStr"/>
      <c r="G44" s="8" t="n">
        <v>1</v>
      </c>
      <c r="H44" s="8" t="inlineStr"/>
      <c r="I44" s="8" t="inlineStr"/>
      <c r="J44" s="8" t="n">
        <v>1</v>
      </c>
      <c r="K44" s="8" t="n">
        <v>43</v>
      </c>
      <c r="L44" s="8" t="inlineStr"/>
      <c r="M44" s="8" t="inlineStr"/>
      <c r="N44" s="8" t="inlineStr"/>
      <c r="O44" s="8" t="inlineStr"/>
      <c r="P44" s="8" t="inlineStr"/>
      <c r="Q44" s="8" t="inlineStr"/>
      <c r="R44" s="8" t="n">
        <v>0</v>
      </c>
      <c r="S44" s="8" t="n">
        <v>0</v>
      </c>
      <c r="T44" s="8" t="n">
        <v>105</v>
      </c>
    </row>
    <row r="45">
      <c r="A45" s="8" t="inlineStr"/>
      <c r="B45" s="8" t="inlineStr">
        <is>
          <t>Z999</t>
        </is>
      </c>
      <c r="C45" s="8" t="inlineStr">
        <is>
          <t>Vật liệu khác</t>
        </is>
      </c>
      <c r="E45" s="8" t="inlineStr">
        <is>
          <t>%</t>
        </is>
      </c>
      <c r="F45" s="8" t="inlineStr"/>
      <c r="G45" s="8" t="n">
        <v>5</v>
      </c>
      <c r="H45" s="8" t="inlineStr"/>
      <c r="I45" s="8" t="inlineStr"/>
      <c r="J45" s="8" t="inlineStr"/>
      <c r="K45" s="8" t="inlineStr"/>
      <c r="L45" s="8" t="inlineStr"/>
      <c r="M45" s="8" t="inlineStr"/>
      <c r="N45" s="8" t="n">
        <v>0</v>
      </c>
      <c r="O45" s="8" t="inlineStr"/>
      <c r="P45" s="8" t="n">
        <v>1075000</v>
      </c>
      <c r="Q45" s="8" t="inlineStr"/>
      <c r="R45" s="8" t="inlineStr"/>
      <c r="S45" s="8" t="inlineStr"/>
      <c r="T45" s="8" t="inlineStr"/>
    </row>
    <row r="46">
      <c r="A46" s="8" t="inlineStr"/>
      <c r="B46" s="8" t="inlineStr"/>
      <c r="C46" s="8" t="inlineStr">
        <is>
          <t>b) Nhân công</t>
        </is>
      </c>
      <c r="E46" s="8" t="inlineStr"/>
      <c r="F46" s="8" t="inlineStr"/>
      <c r="G46" s="8" t="inlineStr"/>
      <c r="H46" s="8" t="inlineStr"/>
      <c r="I46" s="8" t="inlineStr"/>
      <c r="J46" s="8" t="inlineStr"/>
      <c r="K46" s="8" t="inlineStr"/>
      <c r="L46" s="8" t="inlineStr"/>
      <c r="M46" s="8" t="inlineStr"/>
      <c r="N46" s="8" t="inlineStr"/>
      <c r="O46" s="8" t="inlineStr"/>
      <c r="P46" s="8" t="inlineStr"/>
      <c r="Q46" s="8" t="inlineStr"/>
      <c r="R46" s="8" t="inlineStr"/>
      <c r="S46" s="8" t="inlineStr"/>
      <c r="T46" s="8" t="inlineStr"/>
    </row>
    <row r="47">
      <c r="A47" s="8" t="inlineStr"/>
      <c r="B47" s="8" t="inlineStr">
        <is>
          <t>N3</t>
        </is>
      </c>
      <c r="C47" s="8" t="inlineStr">
        <is>
          <t>Nhân công nhóm 3</t>
        </is>
      </c>
      <c r="E47" s="8" t="inlineStr">
        <is>
          <t>công</t>
        </is>
      </c>
      <c r="F47" s="8" t="inlineStr"/>
      <c r="G47" s="8" t="inlineStr"/>
      <c r="H47" s="8" t="n">
        <v>1.31</v>
      </c>
      <c r="I47" s="8" t="inlineStr"/>
      <c r="J47" s="8" t="n">
        <v>1</v>
      </c>
      <c r="K47" s="8" t="inlineStr"/>
      <c r="L47" s="8" t="n">
        <v>56.33000000000001</v>
      </c>
      <c r="M47" s="8" t="inlineStr"/>
      <c r="N47" s="8" t="inlineStr"/>
      <c r="O47" s="8" t="inlineStr"/>
      <c r="P47" s="8" t="inlineStr"/>
      <c r="Q47" s="8" t="inlineStr"/>
      <c r="R47" s="8" t="inlineStr"/>
      <c r="S47" s="8" t="inlineStr"/>
      <c r="T47" s="8" t="n">
        <v>200</v>
      </c>
    </row>
    <row r="48">
      <c r="A48" s="8" t="inlineStr"/>
      <c r="B48" s="8" t="inlineStr"/>
      <c r="C48" s="8" t="inlineStr">
        <is>
          <t>c) Máy thi công</t>
        </is>
      </c>
      <c r="E48" s="8" t="inlineStr"/>
      <c r="F48" s="8" t="inlineStr"/>
      <c r="G48" s="8" t="inlineStr"/>
      <c r="H48" s="8" t="inlineStr"/>
      <c r="I48" s="8" t="inlineStr"/>
      <c r="J48" s="8" t="inlineStr"/>
      <c r="K48" s="8" t="inlineStr"/>
      <c r="L48" s="8" t="inlineStr"/>
      <c r="M48" s="8" t="inlineStr"/>
      <c r="N48" s="8" t="inlineStr"/>
      <c r="O48" s="8" t="inlineStr"/>
      <c r="P48" s="8" t="inlineStr"/>
      <c r="Q48" s="8" t="inlineStr"/>
      <c r="R48" s="8" t="inlineStr"/>
      <c r="S48" s="8" t="inlineStr"/>
      <c r="T48" s="8" t="inlineStr"/>
    </row>
    <row r="49">
      <c r="A49" s="8" t="inlineStr"/>
      <c r="B49" s="8" t="inlineStr">
        <is>
          <t>M112.1701</t>
        </is>
      </c>
      <c r="C49" s="8" t="inlineStr">
        <is>
          <t>Máy khoan bê tông cầm tay 0,62 kW</t>
        </is>
      </c>
      <c r="E49" s="8" t="inlineStr">
        <is>
          <t>ca</t>
        </is>
      </c>
      <c r="F49" s="8" t="inlineStr"/>
      <c r="G49" s="8" t="inlineStr"/>
      <c r="H49" s="8" t="inlineStr"/>
      <c r="I49" s="8" t="n">
        <v>0.36</v>
      </c>
      <c r="J49" s="8" t="n">
        <v>1</v>
      </c>
      <c r="K49" s="8" t="inlineStr"/>
      <c r="L49" s="8" t="inlineStr"/>
      <c r="M49" s="8" t="n">
        <v>15.48</v>
      </c>
      <c r="N49" s="8" t="inlineStr"/>
      <c r="O49" s="8" t="inlineStr"/>
      <c r="P49" s="8" t="inlineStr"/>
      <c r="Q49" s="8" t="inlineStr"/>
      <c r="R49" s="8" t="inlineStr"/>
      <c r="S49" s="8" t="inlineStr"/>
      <c r="T49" s="8" t="n">
        <v>303</v>
      </c>
    </row>
    <row r="50">
      <c r="A50" s="8" t="n">
        <v>5</v>
      </c>
      <c r="B50" s="11" t="inlineStr">
        <is>
          <t>BA.12130</t>
        </is>
      </c>
      <c r="C50" s="8" t="inlineStr">
        <is>
          <t>Dàn lạnh cassette, CSL: 14.0 kW</t>
        </is>
      </c>
      <c r="D50" s="12">
        <f>HYPERLINK("tt38://pl3/6", "👉 Phụ lục III - Trang 6 (Khớp nhóm BA.121)")</f>
        <v/>
      </c>
      <c r="E50" s="8" t="inlineStr">
        <is>
          <t>máy</t>
        </is>
      </c>
      <c r="F50" s="8" t="n">
        <v>18</v>
      </c>
      <c r="G50" s="8" t="inlineStr"/>
      <c r="H50" s="8" t="inlineStr"/>
      <c r="I50" s="8" t="inlineStr"/>
      <c r="J50" s="8" t="inlineStr"/>
      <c r="K50" s="8" t="inlineStr"/>
      <c r="L50" s="8" t="inlineStr"/>
      <c r="M50" s="8" t="inlineStr"/>
      <c r="N50" s="8" t="inlineStr"/>
      <c r="O50" s="8" t="inlineStr"/>
      <c r="P50" s="8" t="inlineStr"/>
      <c r="Q50" s="8" t="inlineStr"/>
      <c r="R50" s="8" t="inlineStr"/>
      <c r="S50" s="8" t="inlineStr"/>
      <c r="T50" s="8" t="inlineStr"/>
    </row>
    <row r="51">
      <c r="A51" s="8" t="inlineStr"/>
      <c r="B51" s="8" t="inlineStr"/>
      <c r="C51" s="8" t="inlineStr">
        <is>
          <t>a) Vật liệu</t>
        </is>
      </c>
      <c r="E51" s="8" t="inlineStr"/>
      <c r="F51" s="8" t="inlineStr"/>
      <c r="G51" s="8" t="inlineStr"/>
      <c r="H51" s="8" t="inlineStr"/>
      <c r="I51" s="8" t="inlineStr"/>
      <c r="J51" s="8" t="inlineStr"/>
      <c r="K51" s="8" t="inlineStr"/>
      <c r="L51" s="8" t="inlineStr"/>
      <c r="M51" s="8" t="inlineStr"/>
      <c r="N51" s="8" t="inlineStr"/>
      <c r="O51" s="8" t="inlineStr"/>
      <c r="P51" s="8" t="inlineStr"/>
      <c r="Q51" s="8" t="inlineStr"/>
      <c r="R51" s="8" t="inlineStr"/>
      <c r="S51" s="8" t="inlineStr"/>
      <c r="T51" s="8" t="inlineStr"/>
    </row>
    <row r="52">
      <c r="A52" s="8" t="inlineStr"/>
      <c r="B52" s="8" t="inlineStr">
        <is>
          <t>A33.0009</t>
        </is>
      </c>
      <c r="C52" s="8" t="inlineStr">
        <is>
          <t>Giá đỡ máy cassettle</t>
        </is>
      </c>
      <c r="E52" s="8" t="inlineStr">
        <is>
          <t>cái</t>
        </is>
      </c>
      <c r="F52" s="8" t="inlineStr"/>
      <c r="G52" s="8" t="n">
        <v>1</v>
      </c>
      <c r="H52" s="8" t="inlineStr"/>
      <c r="I52" s="8" t="inlineStr"/>
      <c r="J52" s="8" t="n">
        <v>1</v>
      </c>
      <c r="K52" s="8" t="n">
        <v>18</v>
      </c>
      <c r="L52" s="8" t="inlineStr"/>
      <c r="M52" s="8" t="inlineStr"/>
      <c r="N52" s="8" t="inlineStr"/>
      <c r="O52" s="8" t="inlineStr"/>
      <c r="P52" s="8" t="inlineStr"/>
      <c r="Q52" s="8" t="inlineStr"/>
      <c r="R52" s="8" t="n">
        <v>0</v>
      </c>
      <c r="S52" s="8" t="n">
        <v>0</v>
      </c>
      <c r="T52" s="8" t="n">
        <v>105</v>
      </c>
    </row>
    <row r="53">
      <c r="A53" s="8" t="inlineStr"/>
      <c r="B53" s="8" t="inlineStr">
        <is>
          <t>Z999</t>
        </is>
      </c>
      <c r="C53" s="8" t="inlineStr">
        <is>
          <t>Vật liệu khác</t>
        </is>
      </c>
      <c r="E53" s="8" t="inlineStr">
        <is>
          <t>%</t>
        </is>
      </c>
      <c r="F53" s="8" t="inlineStr"/>
      <c r="G53" s="8" t="n">
        <v>5</v>
      </c>
      <c r="H53" s="8" t="inlineStr"/>
      <c r="I53" s="8" t="inlineStr"/>
      <c r="J53" s="8" t="inlineStr"/>
      <c r="K53" s="8" t="inlineStr"/>
      <c r="L53" s="8" t="inlineStr"/>
      <c r="M53" s="8" t="inlineStr"/>
      <c r="N53" s="8" t="n">
        <v>0</v>
      </c>
      <c r="O53" s="8" t="inlineStr"/>
      <c r="P53" s="8" t="n">
        <v>450000</v>
      </c>
      <c r="Q53" s="8" t="inlineStr"/>
      <c r="R53" s="8" t="inlineStr"/>
      <c r="S53" s="8" t="inlineStr"/>
      <c r="T53" s="8" t="inlineStr"/>
    </row>
    <row r="54">
      <c r="A54" s="8" t="inlineStr"/>
      <c r="B54" s="8" t="inlineStr"/>
      <c r="C54" s="8" t="inlineStr">
        <is>
          <t>b) Nhân công</t>
        </is>
      </c>
      <c r="E54" s="8" t="inlineStr"/>
      <c r="F54" s="8" t="inlineStr"/>
      <c r="G54" s="8" t="inlineStr"/>
      <c r="H54" s="8" t="inlineStr"/>
      <c r="I54" s="8" t="inlineStr"/>
      <c r="J54" s="8" t="inlineStr"/>
      <c r="K54" s="8" t="inlineStr"/>
      <c r="L54" s="8" t="inlineStr"/>
      <c r="M54" s="8" t="inlineStr"/>
      <c r="N54" s="8" t="inlineStr"/>
      <c r="O54" s="8" t="inlineStr"/>
      <c r="P54" s="8" t="inlineStr"/>
      <c r="Q54" s="8" t="inlineStr"/>
      <c r="R54" s="8" t="inlineStr"/>
      <c r="S54" s="8" t="inlineStr"/>
      <c r="T54" s="8" t="inlineStr"/>
    </row>
    <row r="55">
      <c r="A55" s="8" t="inlineStr"/>
      <c r="B55" s="8" t="inlineStr">
        <is>
          <t>N3</t>
        </is>
      </c>
      <c r="C55" s="8" t="inlineStr">
        <is>
          <t>Nhân công nhóm 3</t>
        </is>
      </c>
      <c r="E55" s="8" t="inlineStr">
        <is>
          <t>công</t>
        </is>
      </c>
      <c r="F55" s="8" t="inlineStr"/>
      <c r="G55" s="8" t="inlineStr"/>
      <c r="H55" s="8" t="n">
        <v>1.31</v>
      </c>
      <c r="I55" s="8" t="inlineStr"/>
      <c r="J55" s="8" t="n">
        <v>1</v>
      </c>
      <c r="K55" s="8" t="inlineStr"/>
      <c r="L55" s="8" t="n">
        <v>23.58</v>
      </c>
      <c r="M55" s="8" t="inlineStr"/>
      <c r="N55" s="8" t="inlineStr"/>
      <c r="O55" s="8" t="inlineStr"/>
      <c r="P55" s="8" t="inlineStr"/>
      <c r="Q55" s="8" t="inlineStr"/>
      <c r="R55" s="8" t="inlineStr"/>
      <c r="S55" s="8" t="inlineStr"/>
      <c r="T55" s="8" t="n">
        <v>200</v>
      </c>
    </row>
    <row r="56">
      <c r="A56" s="8" t="inlineStr"/>
      <c r="B56" s="8" t="inlineStr"/>
      <c r="C56" s="8" t="inlineStr">
        <is>
          <t>c) Máy thi công</t>
        </is>
      </c>
      <c r="E56" s="8" t="inlineStr"/>
      <c r="F56" s="8" t="inlineStr"/>
      <c r="G56" s="8" t="inlineStr"/>
      <c r="H56" s="8" t="inlineStr"/>
      <c r="I56" s="8" t="inlineStr"/>
      <c r="J56" s="8" t="inlineStr"/>
      <c r="K56" s="8" t="inlineStr"/>
      <c r="L56" s="8" t="inlineStr"/>
      <c r="M56" s="8" t="inlineStr"/>
      <c r="N56" s="8" t="inlineStr"/>
      <c r="O56" s="8" t="inlineStr"/>
      <c r="P56" s="8" t="inlineStr"/>
      <c r="Q56" s="8" t="inlineStr"/>
      <c r="R56" s="8" t="inlineStr"/>
      <c r="S56" s="8" t="inlineStr"/>
      <c r="T56" s="8" t="inlineStr"/>
    </row>
    <row r="57">
      <c r="A57" s="8" t="inlineStr"/>
      <c r="B57" s="8" t="inlineStr">
        <is>
          <t>M112.1701</t>
        </is>
      </c>
      <c r="C57" s="8" t="inlineStr">
        <is>
          <t>Máy khoan bê tông cầm tay 0,62 kW</t>
        </is>
      </c>
      <c r="E57" s="8" t="inlineStr">
        <is>
          <t>ca</t>
        </is>
      </c>
      <c r="F57" s="8" t="inlineStr"/>
      <c r="G57" s="8" t="inlineStr"/>
      <c r="H57" s="8" t="inlineStr"/>
      <c r="I57" s="8" t="n">
        <v>0.36</v>
      </c>
      <c r="J57" s="8" t="n">
        <v>1</v>
      </c>
      <c r="K57" s="8" t="inlineStr"/>
      <c r="L57" s="8" t="inlineStr"/>
      <c r="M57" s="8" t="n">
        <v>6.48</v>
      </c>
      <c r="N57" s="8" t="inlineStr"/>
      <c r="O57" s="8" t="inlineStr"/>
      <c r="P57" s="8" t="inlineStr"/>
      <c r="Q57" s="8" t="inlineStr"/>
      <c r="R57" s="8" t="inlineStr"/>
      <c r="S57" s="8" t="inlineStr"/>
      <c r="T57" s="8" t="n">
        <v>303</v>
      </c>
    </row>
    <row r="58">
      <c r="A58" s="8" t="n">
        <v>6</v>
      </c>
      <c r="B58" s="11" t="inlineStr">
        <is>
          <t>BA.12130</t>
        </is>
      </c>
      <c r="C58" s="8" t="inlineStr">
        <is>
          <t>Dàn lạnh âm trần nối ống gió CSL: 7.1 kW</t>
        </is>
      </c>
      <c r="D58" s="12">
        <f>HYPERLINK("tt38://pl3/6", "👉 Phụ lục III - Trang 6 (Khớp nhóm BA.121)")</f>
        <v/>
      </c>
      <c r="E58" s="8" t="inlineStr">
        <is>
          <t>máy</t>
        </is>
      </c>
      <c r="F58" s="8" t="n">
        <v>2</v>
      </c>
      <c r="G58" s="8" t="inlineStr"/>
      <c r="H58" s="8" t="inlineStr"/>
      <c r="I58" s="8" t="inlineStr"/>
      <c r="J58" s="8" t="inlineStr"/>
      <c r="K58" s="8" t="inlineStr"/>
      <c r="L58" s="8" t="inlineStr"/>
      <c r="M58" s="8" t="inlineStr"/>
      <c r="N58" s="8" t="inlineStr"/>
      <c r="O58" s="8" t="inlineStr"/>
      <c r="P58" s="8" t="inlineStr"/>
      <c r="Q58" s="8" t="inlineStr"/>
      <c r="R58" s="8" t="inlineStr"/>
      <c r="S58" s="8" t="inlineStr"/>
      <c r="T58" s="8" t="inlineStr"/>
    </row>
    <row r="59">
      <c r="A59" s="8" t="inlineStr"/>
      <c r="B59" s="8" t="inlineStr"/>
      <c r="C59" s="8" t="inlineStr">
        <is>
          <t>a) Vật liệu</t>
        </is>
      </c>
      <c r="E59" s="8" t="inlineStr"/>
      <c r="F59" s="8" t="inlineStr"/>
      <c r="G59" s="8" t="inlineStr"/>
      <c r="H59" s="8" t="inlineStr"/>
      <c r="I59" s="8" t="inlineStr"/>
      <c r="J59" s="8" t="inlineStr"/>
      <c r="K59" s="8" t="inlineStr"/>
      <c r="L59" s="8" t="inlineStr"/>
      <c r="M59" s="8" t="inlineStr"/>
      <c r="N59" s="8" t="inlineStr"/>
      <c r="O59" s="8" t="inlineStr"/>
      <c r="P59" s="8" t="inlineStr"/>
      <c r="Q59" s="8" t="inlineStr"/>
      <c r="R59" s="8" t="inlineStr"/>
      <c r="S59" s="8" t="inlineStr"/>
      <c r="T59" s="8" t="inlineStr"/>
    </row>
    <row r="60">
      <c r="A60" s="8" t="inlineStr"/>
      <c r="B60" s="8" t="inlineStr">
        <is>
          <t>A33.0009</t>
        </is>
      </c>
      <c r="C60" s="8" t="inlineStr">
        <is>
          <t>Giá đỡ máy âm trần</t>
        </is>
      </c>
      <c r="E60" s="8" t="inlineStr">
        <is>
          <t>cái</t>
        </is>
      </c>
      <c r="F60" s="8" t="inlineStr"/>
      <c r="G60" s="8" t="n">
        <v>1</v>
      </c>
      <c r="H60" s="8" t="inlineStr"/>
      <c r="I60" s="8" t="inlineStr"/>
      <c r="J60" s="8" t="n">
        <v>1</v>
      </c>
      <c r="K60" s="8" t="n">
        <v>2</v>
      </c>
      <c r="L60" s="8" t="inlineStr"/>
      <c r="M60" s="8" t="inlineStr"/>
      <c r="N60" s="8" t="inlineStr"/>
      <c r="O60" s="8" t="inlineStr"/>
      <c r="P60" s="8" t="inlineStr"/>
      <c r="Q60" s="8" t="inlineStr"/>
      <c r="R60" s="8" t="n">
        <v>0</v>
      </c>
      <c r="S60" s="8" t="n">
        <v>0</v>
      </c>
      <c r="T60" s="8" t="n">
        <v>104</v>
      </c>
    </row>
    <row r="61">
      <c r="A61" s="8" t="inlineStr"/>
      <c r="B61" s="8" t="inlineStr">
        <is>
          <t>Z999</t>
        </is>
      </c>
      <c r="C61" s="8" t="inlineStr">
        <is>
          <t>Vật liệu khác</t>
        </is>
      </c>
      <c r="E61" s="8" t="inlineStr">
        <is>
          <t>%</t>
        </is>
      </c>
      <c r="F61" s="8" t="inlineStr"/>
      <c r="G61" s="8" t="n">
        <v>5</v>
      </c>
      <c r="H61" s="8" t="inlineStr"/>
      <c r="I61" s="8" t="inlineStr"/>
      <c r="J61" s="8" t="inlineStr"/>
      <c r="K61" s="8" t="inlineStr"/>
      <c r="L61" s="8" t="inlineStr"/>
      <c r="M61" s="8" t="inlineStr"/>
      <c r="N61" s="8" t="n">
        <v>0</v>
      </c>
      <c r="O61" s="8" t="inlineStr"/>
      <c r="P61" s="8" t="n">
        <v>50000</v>
      </c>
      <c r="Q61" s="8" t="inlineStr"/>
      <c r="R61" s="8" t="inlineStr"/>
      <c r="S61" s="8" t="inlineStr"/>
      <c r="T61" s="8" t="inlineStr"/>
    </row>
    <row r="62">
      <c r="A62" s="8" t="inlineStr"/>
      <c r="B62" s="8" t="inlineStr"/>
      <c r="C62" s="8" t="inlineStr">
        <is>
          <t>b) Nhân công</t>
        </is>
      </c>
      <c r="E62" s="8" t="inlineStr"/>
      <c r="F62" s="8" t="inlineStr"/>
      <c r="G62" s="8" t="inlineStr"/>
      <c r="H62" s="8" t="inlineStr"/>
      <c r="I62" s="8" t="inlineStr"/>
      <c r="J62" s="8" t="inlineStr"/>
      <c r="K62" s="8" t="inlineStr"/>
      <c r="L62" s="8" t="inlineStr"/>
      <c r="M62" s="8" t="inlineStr"/>
      <c r="N62" s="8" t="inlineStr"/>
      <c r="O62" s="8" t="inlineStr"/>
      <c r="P62" s="8" t="inlineStr"/>
      <c r="Q62" s="8" t="inlineStr"/>
      <c r="R62" s="8" t="inlineStr"/>
      <c r="S62" s="8" t="inlineStr"/>
      <c r="T62" s="8" t="inlineStr"/>
    </row>
    <row r="63">
      <c r="A63" s="8" t="inlineStr"/>
      <c r="B63" s="8" t="inlineStr">
        <is>
          <t>N3</t>
        </is>
      </c>
      <c r="C63" s="8" t="inlineStr">
        <is>
          <t>Nhân công nhóm 3</t>
        </is>
      </c>
      <c r="E63" s="8" t="inlineStr">
        <is>
          <t>công</t>
        </is>
      </c>
      <c r="F63" s="8" t="inlineStr"/>
      <c r="G63" s="8" t="inlineStr"/>
      <c r="H63" s="8" t="n">
        <v>1.31</v>
      </c>
      <c r="I63" s="8" t="inlineStr"/>
      <c r="J63" s="8" t="n">
        <v>1</v>
      </c>
      <c r="K63" s="8" t="inlineStr"/>
      <c r="L63" s="8" t="n">
        <v>2.62</v>
      </c>
      <c r="M63" s="8" t="inlineStr"/>
      <c r="N63" s="8" t="inlineStr"/>
      <c r="O63" s="8" t="inlineStr"/>
      <c r="P63" s="8" t="inlineStr"/>
      <c r="Q63" s="8" t="inlineStr"/>
      <c r="R63" s="8" t="inlineStr"/>
      <c r="S63" s="8" t="inlineStr"/>
      <c r="T63" s="8" t="n">
        <v>200</v>
      </c>
    </row>
    <row r="64">
      <c r="A64" s="8" t="inlineStr"/>
      <c r="B64" s="8" t="inlineStr"/>
      <c r="C64" s="8" t="inlineStr">
        <is>
          <t>c) Máy thi công</t>
        </is>
      </c>
      <c r="E64" s="8" t="inlineStr"/>
      <c r="F64" s="8" t="inlineStr"/>
      <c r="G64" s="8" t="inlineStr"/>
      <c r="H64" s="8" t="inlineStr"/>
      <c r="I64" s="8" t="inlineStr"/>
      <c r="J64" s="8" t="inlineStr"/>
      <c r="K64" s="8" t="inlineStr"/>
      <c r="L64" s="8" t="inlineStr"/>
      <c r="M64" s="8" t="inlineStr"/>
      <c r="N64" s="8" t="inlineStr"/>
      <c r="O64" s="8" t="inlineStr"/>
      <c r="P64" s="8" t="inlineStr"/>
      <c r="Q64" s="8" t="inlineStr"/>
      <c r="R64" s="8" t="inlineStr"/>
      <c r="S64" s="8" t="inlineStr"/>
      <c r="T64" s="8" t="inlineStr"/>
    </row>
    <row r="65">
      <c r="A65" s="8" t="inlineStr"/>
      <c r="B65" s="8" t="inlineStr">
        <is>
          <t>M112.1701</t>
        </is>
      </c>
      <c r="C65" s="8" t="inlineStr">
        <is>
          <t>Máy khoan bê tông cầm tay 0,62 kW</t>
        </is>
      </c>
      <c r="E65" s="8" t="inlineStr">
        <is>
          <t>ca</t>
        </is>
      </c>
      <c r="F65" s="8" t="inlineStr"/>
      <c r="G65" s="8" t="inlineStr"/>
      <c r="H65" s="8" t="inlineStr"/>
      <c r="I65" s="8" t="n">
        <v>0.36</v>
      </c>
      <c r="J65" s="8" t="n">
        <v>1</v>
      </c>
      <c r="K65" s="8" t="inlineStr"/>
      <c r="L65" s="8" t="inlineStr"/>
      <c r="M65" s="8" t="n">
        <v>0.72</v>
      </c>
      <c r="N65" s="8" t="inlineStr"/>
      <c r="O65" s="8" t="inlineStr"/>
      <c r="P65" s="8" t="inlineStr"/>
      <c r="Q65" s="8" t="inlineStr"/>
      <c r="R65" s="8" t="inlineStr"/>
      <c r="S65" s="8" t="inlineStr"/>
      <c r="T65" s="8" t="n">
        <v>303</v>
      </c>
    </row>
    <row r="66">
      <c r="A66" s="8" t="n">
        <v>7</v>
      </c>
      <c r="B66" s="11" t="inlineStr">
        <is>
          <t>BA.12130</t>
        </is>
      </c>
      <c r="C66" s="8" t="inlineStr">
        <is>
          <t>Dàn lạnh cassette CSL: 7.1 kW</t>
        </is>
      </c>
      <c r="D66" s="12">
        <f>HYPERLINK("tt38://pl3/6", "👉 Phụ lục III - Trang 6 (Khớp nhóm BA.121)")</f>
        <v/>
      </c>
      <c r="E66" s="8" t="inlineStr">
        <is>
          <t>máy</t>
        </is>
      </c>
      <c r="F66" s="8" t="n">
        <v>36</v>
      </c>
      <c r="G66" s="8" t="inlineStr"/>
      <c r="H66" s="8" t="inlineStr"/>
      <c r="I66" s="8" t="inlineStr"/>
      <c r="J66" s="8" t="inlineStr"/>
      <c r="K66" s="8" t="inlineStr"/>
      <c r="L66" s="8" t="inlineStr"/>
      <c r="M66" s="8" t="inlineStr"/>
      <c r="N66" s="8" t="inlineStr"/>
      <c r="O66" s="8" t="inlineStr"/>
      <c r="P66" s="8" t="inlineStr"/>
      <c r="Q66" s="8" t="inlineStr"/>
      <c r="R66" s="8" t="inlineStr"/>
      <c r="S66" s="8" t="inlineStr"/>
      <c r="T66" s="8" t="inlineStr"/>
    </row>
    <row r="67">
      <c r="A67" s="8" t="inlineStr"/>
      <c r="B67" s="8" t="inlineStr"/>
      <c r="C67" s="8" t="inlineStr">
        <is>
          <t>a) Vật liệu</t>
        </is>
      </c>
      <c r="E67" s="8" t="inlineStr"/>
      <c r="F67" s="8" t="inlineStr"/>
      <c r="G67" s="8" t="inlineStr"/>
      <c r="H67" s="8" t="inlineStr"/>
      <c r="I67" s="8" t="inlineStr"/>
      <c r="J67" s="8" t="inlineStr"/>
      <c r="K67" s="8" t="inlineStr"/>
      <c r="L67" s="8" t="inlineStr"/>
      <c r="M67" s="8" t="inlineStr"/>
      <c r="N67" s="8" t="inlineStr"/>
      <c r="O67" s="8" t="inlineStr"/>
      <c r="P67" s="8" t="inlineStr"/>
      <c r="Q67" s="8" t="inlineStr"/>
      <c r="R67" s="8" t="inlineStr"/>
      <c r="S67" s="8" t="inlineStr"/>
      <c r="T67" s="8" t="inlineStr"/>
    </row>
    <row r="68">
      <c r="A68" s="8" t="inlineStr"/>
      <c r="B68" s="8" t="inlineStr">
        <is>
          <t>A33.0009</t>
        </is>
      </c>
      <c r="C68" s="8" t="inlineStr">
        <is>
          <t>Giá đỡ máy cassettle</t>
        </is>
      </c>
      <c r="E68" s="8" t="inlineStr">
        <is>
          <t>cái</t>
        </is>
      </c>
      <c r="F68" s="8" t="inlineStr"/>
      <c r="G68" s="8" t="n">
        <v>1</v>
      </c>
      <c r="H68" s="8" t="inlineStr"/>
      <c r="I68" s="8" t="inlineStr"/>
      <c r="J68" s="8" t="n">
        <v>1</v>
      </c>
      <c r="K68" s="8" t="n">
        <v>36</v>
      </c>
      <c r="L68" s="8" t="inlineStr"/>
      <c r="M68" s="8" t="inlineStr"/>
      <c r="N68" s="8" t="inlineStr"/>
      <c r="O68" s="8" t="inlineStr"/>
      <c r="P68" s="8" t="inlineStr"/>
      <c r="Q68" s="8" t="inlineStr"/>
      <c r="R68" s="8" t="n">
        <v>0</v>
      </c>
      <c r="S68" s="8" t="n">
        <v>0</v>
      </c>
      <c r="T68" s="8" t="n">
        <v>105</v>
      </c>
    </row>
    <row r="69">
      <c r="A69" s="8" t="inlineStr"/>
      <c r="B69" s="8" t="inlineStr">
        <is>
          <t>Z999</t>
        </is>
      </c>
      <c r="C69" s="8" t="inlineStr">
        <is>
          <t>Vật liệu khác</t>
        </is>
      </c>
      <c r="E69" s="8" t="inlineStr">
        <is>
          <t>%</t>
        </is>
      </c>
      <c r="F69" s="8" t="inlineStr"/>
      <c r="G69" s="8" t="n">
        <v>5</v>
      </c>
      <c r="H69" s="8" t="inlineStr"/>
      <c r="I69" s="8" t="inlineStr"/>
      <c r="J69" s="8" t="inlineStr"/>
      <c r="K69" s="8" t="inlineStr"/>
      <c r="L69" s="8" t="inlineStr"/>
      <c r="M69" s="8" t="inlineStr"/>
      <c r="N69" s="8" t="n">
        <v>0</v>
      </c>
      <c r="O69" s="8" t="inlineStr"/>
      <c r="P69" s="8" t="n">
        <v>900000</v>
      </c>
      <c r="Q69" s="8" t="inlineStr"/>
      <c r="R69" s="8" t="inlineStr"/>
      <c r="S69" s="8" t="inlineStr"/>
      <c r="T69" s="8" t="inlineStr"/>
    </row>
    <row r="70">
      <c r="A70" s="8" t="inlineStr"/>
      <c r="B70" s="8" t="inlineStr"/>
      <c r="C70" s="8" t="inlineStr">
        <is>
          <t>b) Nhân công</t>
        </is>
      </c>
      <c r="E70" s="8" t="inlineStr"/>
      <c r="F70" s="8" t="inlineStr"/>
      <c r="G70" s="8" t="inlineStr"/>
      <c r="H70" s="8" t="inlineStr"/>
      <c r="I70" s="8" t="inlineStr"/>
      <c r="J70" s="8" t="inlineStr"/>
      <c r="K70" s="8" t="inlineStr"/>
      <c r="L70" s="8" t="inlineStr"/>
      <c r="M70" s="8" t="inlineStr"/>
      <c r="N70" s="8" t="inlineStr"/>
      <c r="O70" s="8" t="inlineStr"/>
      <c r="P70" s="8" t="inlineStr"/>
      <c r="Q70" s="8" t="inlineStr"/>
      <c r="R70" s="8" t="inlineStr"/>
      <c r="S70" s="8" t="inlineStr"/>
      <c r="T70" s="8" t="inlineStr"/>
    </row>
    <row r="71">
      <c r="A71" s="8" t="inlineStr"/>
      <c r="B71" s="8" t="inlineStr">
        <is>
          <t>N3</t>
        </is>
      </c>
      <c r="C71" s="8" t="inlineStr">
        <is>
          <t>Nhân công nhóm 3</t>
        </is>
      </c>
      <c r="E71" s="8" t="inlineStr">
        <is>
          <t>công</t>
        </is>
      </c>
      <c r="F71" s="8" t="inlineStr"/>
      <c r="G71" s="8" t="inlineStr"/>
      <c r="H71" s="8" t="n">
        <v>1.31</v>
      </c>
      <c r="I71" s="8" t="inlineStr"/>
      <c r="J71" s="8" t="n">
        <v>1</v>
      </c>
      <c r="K71" s="8" t="inlineStr"/>
      <c r="L71" s="8" t="n">
        <v>47.16</v>
      </c>
      <c r="M71" s="8" t="inlineStr"/>
      <c r="N71" s="8" t="inlineStr"/>
      <c r="O71" s="8" t="inlineStr"/>
      <c r="P71" s="8" t="inlineStr"/>
      <c r="Q71" s="8" t="inlineStr"/>
      <c r="R71" s="8" t="inlineStr"/>
      <c r="S71" s="8" t="inlineStr"/>
      <c r="T71" s="8" t="n">
        <v>200</v>
      </c>
    </row>
    <row r="72">
      <c r="A72" s="8" t="inlineStr"/>
      <c r="B72" s="8" t="inlineStr"/>
      <c r="C72" s="8" t="inlineStr">
        <is>
          <t>c) Máy thi công</t>
        </is>
      </c>
      <c r="E72" s="8" t="inlineStr"/>
      <c r="F72" s="8" t="inlineStr"/>
      <c r="G72" s="8" t="inlineStr"/>
      <c r="H72" s="8" t="inlineStr"/>
      <c r="I72" s="8" t="inlineStr"/>
      <c r="J72" s="8" t="inlineStr"/>
      <c r="K72" s="8" t="inlineStr"/>
      <c r="L72" s="8" t="inlineStr"/>
      <c r="M72" s="8" t="inlineStr"/>
      <c r="N72" s="8" t="inlineStr"/>
      <c r="O72" s="8" t="inlineStr"/>
      <c r="P72" s="8" t="inlineStr"/>
      <c r="Q72" s="8" t="inlineStr"/>
      <c r="R72" s="8" t="inlineStr"/>
      <c r="S72" s="8" t="inlineStr"/>
      <c r="T72" s="8" t="inlineStr"/>
    </row>
    <row r="73">
      <c r="A73" s="8" t="inlineStr"/>
      <c r="B73" s="8" t="inlineStr">
        <is>
          <t>M112.1701</t>
        </is>
      </c>
      <c r="C73" s="8" t="inlineStr">
        <is>
          <t>Máy khoan bê tông cầm tay 0,62 kW</t>
        </is>
      </c>
      <c r="E73" s="8" t="inlineStr">
        <is>
          <t>ca</t>
        </is>
      </c>
      <c r="F73" s="8" t="inlineStr"/>
      <c r="G73" s="8" t="inlineStr"/>
      <c r="H73" s="8" t="inlineStr"/>
      <c r="I73" s="8" t="n">
        <v>0.36</v>
      </c>
      <c r="J73" s="8" t="n">
        <v>1</v>
      </c>
      <c r="K73" s="8" t="inlineStr"/>
      <c r="L73" s="8" t="inlineStr"/>
      <c r="M73" s="8" t="n">
        <v>12.96</v>
      </c>
      <c r="N73" s="8" t="inlineStr"/>
      <c r="O73" s="8" t="inlineStr"/>
      <c r="P73" s="8" t="inlineStr"/>
      <c r="Q73" s="8" t="inlineStr"/>
      <c r="R73" s="8" t="inlineStr"/>
      <c r="S73" s="8" t="inlineStr"/>
      <c r="T73" s="8" t="n">
        <v>303</v>
      </c>
    </row>
    <row r="74">
      <c r="A74" s="8" t="n">
        <v>8</v>
      </c>
      <c r="B74" s="11" t="inlineStr">
        <is>
          <t>BA.12130</t>
        </is>
      </c>
      <c r="C74" s="8" t="inlineStr">
        <is>
          <t>Dàn lạnh cassette CSL: 10.0 kW</t>
        </is>
      </c>
      <c r="D74" s="12">
        <f>HYPERLINK("tt38://pl3/6", "👉 Phụ lục III - Trang 6 (Khớp nhóm BA.121)")</f>
        <v/>
      </c>
      <c r="E74" s="8" t="inlineStr">
        <is>
          <t>máy</t>
        </is>
      </c>
      <c r="F74" s="8" t="n">
        <v>24</v>
      </c>
      <c r="G74" s="8" t="inlineStr"/>
      <c r="H74" s="8" t="inlineStr"/>
      <c r="I74" s="8" t="inlineStr"/>
      <c r="J74" s="8" t="inlineStr"/>
      <c r="K74" s="8" t="inlineStr"/>
      <c r="L74" s="8" t="inlineStr"/>
      <c r="M74" s="8" t="inlineStr"/>
      <c r="N74" s="8" t="inlineStr"/>
      <c r="O74" s="8" t="inlineStr"/>
      <c r="P74" s="8" t="inlineStr"/>
      <c r="Q74" s="8" t="inlineStr"/>
      <c r="R74" s="8" t="inlineStr"/>
      <c r="S74" s="8" t="inlineStr"/>
      <c r="T74" s="8" t="inlineStr"/>
    </row>
    <row r="75">
      <c r="A75" s="8" t="inlineStr"/>
      <c r="B75" s="8" t="inlineStr"/>
      <c r="C75" s="8" t="inlineStr">
        <is>
          <t>a) Vật liệu</t>
        </is>
      </c>
      <c r="E75" s="8" t="inlineStr"/>
      <c r="F75" s="8" t="inlineStr"/>
      <c r="G75" s="8" t="inlineStr"/>
      <c r="H75" s="8" t="inlineStr"/>
      <c r="I75" s="8" t="inlineStr"/>
      <c r="J75" s="8" t="inlineStr"/>
      <c r="K75" s="8" t="inlineStr"/>
      <c r="L75" s="8" t="inlineStr"/>
      <c r="M75" s="8" t="inlineStr"/>
      <c r="N75" s="8" t="inlineStr"/>
      <c r="O75" s="8" t="inlineStr"/>
      <c r="P75" s="8" t="inlineStr"/>
      <c r="Q75" s="8" t="inlineStr"/>
      <c r="R75" s="8" t="inlineStr"/>
      <c r="S75" s="8" t="inlineStr"/>
      <c r="T75" s="8" t="inlineStr"/>
    </row>
    <row r="76">
      <c r="A76" s="8" t="inlineStr"/>
      <c r="B76" s="8" t="inlineStr">
        <is>
          <t>A33.0009</t>
        </is>
      </c>
      <c r="C76" s="8" t="inlineStr">
        <is>
          <t>Giá đỡ máy cassettle</t>
        </is>
      </c>
      <c r="E76" s="8" t="inlineStr">
        <is>
          <t>cái</t>
        </is>
      </c>
      <c r="F76" s="8" t="inlineStr"/>
      <c r="G76" s="8" t="n">
        <v>1</v>
      </c>
      <c r="H76" s="8" t="inlineStr"/>
      <c r="I76" s="8" t="inlineStr"/>
      <c r="J76" s="8" t="n">
        <v>1</v>
      </c>
      <c r="K76" s="8" t="n">
        <v>24</v>
      </c>
      <c r="L76" s="8" t="inlineStr"/>
      <c r="M76" s="8" t="inlineStr"/>
      <c r="N76" s="8" t="inlineStr"/>
      <c r="O76" s="8" t="inlineStr"/>
      <c r="P76" s="8" t="inlineStr"/>
      <c r="Q76" s="8" t="inlineStr"/>
      <c r="R76" s="8" t="n">
        <v>0</v>
      </c>
      <c r="S76" s="8" t="n">
        <v>0</v>
      </c>
      <c r="T76" s="8" t="n">
        <v>105</v>
      </c>
    </row>
    <row r="77">
      <c r="A77" s="8" t="inlineStr"/>
      <c r="B77" s="8" t="inlineStr">
        <is>
          <t>Z999</t>
        </is>
      </c>
      <c r="C77" s="8" t="inlineStr">
        <is>
          <t>Vật liệu khác</t>
        </is>
      </c>
      <c r="E77" s="8" t="inlineStr">
        <is>
          <t>%</t>
        </is>
      </c>
      <c r="F77" s="8" t="inlineStr"/>
      <c r="G77" s="8" t="n">
        <v>5</v>
      </c>
      <c r="H77" s="8" t="inlineStr"/>
      <c r="I77" s="8" t="inlineStr"/>
      <c r="J77" s="8" t="inlineStr"/>
      <c r="K77" s="8" t="inlineStr"/>
      <c r="L77" s="8" t="inlineStr"/>
      <c r="M77" s="8" t="inlineStr"/>
      <c r="N77" s="8" t="n">
        <v>0</v>
      </c>
      <c r="O77" s="8" t="inlineStr"/>
      <c r="P77" s="8" t="n">
        <v>600000</v>
      </c>
      <c r="Q77" s="8" t="inlineStr"/>
      <c r="R77" s="8" t="inlineStr"/>
      <c r="S77" s="8" t="inlineStr"/>
      <c r="T77" s="8" t="inlineStr"/>
    </row>
    <row r="78">
      <c r="A78" s="8" t="inlineStr"/>
      <c r="B78" s="8" t="inlineStr"/>
      <c r="C78" s="8" t="inlineStr">
        <is>
          <t>b) Nhân công</t>
        </is>
      </c>
      <c r="E78" s="8" t="inlineStr"/>
      <c r="F78" s="8" t="inlineStr"/>
      <c r="G78" s="8" t="inlineStr"/>
      <c r="H78" s="8" t="inlineStr"/>
      <c r="I78" s="8" t="inlineStr"/>
      <c r="J78" s="8" t="inlineStr"/>
      <c r="K78" s="8" t="inlineStr"/>
      <c r="L78" s="8" t="inlineStr"/>
      <c r="M78" s="8" t="inlineStr"/>
      <c r="N78" s="8" t="inlineStr"/>
      <c r="O78" s="8" t="inlineStr"/>
      <c r="P78" s="8" t="inlineStr"/>
      <c r="Q78" s="8" t="inlineStr"/>
      <c r="R78" s="8" t="inlineStr"/>
      <c r="S78" s="8" t="inlineStr"/>
      <c r="T78" s="8" t="inlineStr"/>
    </row>
    <row r="79">
      <c r="A79" s="8" t="inlineStr"/>
      <c r="B79" s="8" t="inlineStr">
        <is>
          <t>N3</t>
        </is>
      </c>
      <c r="C79" s="8" t="inlineStr">
        <is>
          <t>Nhân công nhóm 3</t>
        </is>
      </c>
      <c r="E79" s="8" t="inlineStr">
        <is>
          <t>công</t>
        </is>
      </c>
      <c r="F79" s="8" t="inlineStr"/>
      <c r="G79" s="8" t="inlineStr"/>
      <c r="H79" s="8" t="n">
        <v>1.31</v>
      </c>
      <c r="I79" s="8" t="inlineStr"/>
      <c r="J79" s="8" t="n">
        <v>1</v>
      </c>
      <c r="K79" s="8" t="inlineStr"/>
      <c r="L79" s="8" t="n">
        <v>31.44</v>
      </c>
      <c r="M79" s="8" t="inlineStr"/>
      <c r="N79" s="8" t="inlineStr"/>
      <c r="O79" s="8" t="inlineStr"/>
      <c r="P79" s="8" t="inlineStr"/>
      <c r="Q79" s="8" t="inlineStr"/>
      <c r="R79" s="8" t="inlineStr"/>
      <c r="S79" s="8" t="inlineStr"/>
      <c r="T79" s="8" t="n">
        <v>200</v>
      </c>
    </row>
    <row r="80">
      <c r="A80" s="8" t="inlineStr"/>
      <c r="B80" s="8" t="inlineStr"/>
      <c r="C80" s="8" t="inlineStr">
        <is>
          <t>c) Máy thi công</t>
        </is>
      </c>
      <c r="E80" s="8" t="inlineStr"/>
      <c r="F80" s="8" t="inlineStr"/>
      <c r="G80" s="8" t="inlineStr"/>
      <c r="H80" s="8" t="inlineStr"/>
      <c r="I80" s="8" t="inlineStr"/>
      <c r="J80" s="8" t="inlineStr"/>
      <c r="K80" s="8" t="inlineStr"/>
      <c r="L80" s="8" t="inlineStr"/>
      <c r="M80" s="8" t="inlineStr"/>
      <c r="N80" s="8" t="inlineStr"/>
      <c r="O80" s="8" t="inlineStr"/>
      <c r="P80" s="8" t="inlineStr"/>
      <c r="Q80" s="8" t="inlineStr"/>
      <c r="R80" s="8" t="inlineStr"/>
      <c r="S80" s="8" t="inlineStr"/>
      <c r="T80" s="8" t="inlineStr"/>
    </row>
    <row r="81">
      <c r="A81" s="8" t="inlineStr"/>
      <c r="B81" s="8" t="inlineStr">
        <is>
          <t>M112.1701</t>
        </is>
      </c>
      <c r="C81" s="8" t="inlineStr">
        <is>
          <t>Máy khoan bê tông cầm tay 0,62 kW</t>
        </is>
      </c>
      <c r="E81" s="8" t="inlineStr">
        <is>
          <t>ca</t>
        </is>
      </c>
      <c r="F81" s="8" t="inlineStr"/>
      <c r="G81" s="8" t="inlineStr"/>
      <c r="H81" s="8" t="inlineStr"/>
      <c r="I81" s="8" t="n">
        <v>0.36</v>
      </c>
      <c r="J81" s="8" t="n">
        <v>1</v>
      </c>
      <c r="K81" s="8" t="inlineStr"/>
      <c r="L81" s="8" t="inlineStr"/>
      <c r="M81" s="8" t="n">
        <v>8.640000000000001</v>
      </c>
      <c r="N81" s="8" t="inlineStr"/>
      <c r="O81" s="8" t="inlineStr"/>
      <c r="P81" s="8" t="inlineStr"/>
      <c r="Q81" s="8" t="inlineStr"/>
      <c r="R81" s="8" t="inlineStr"/>
      <c r="S81" s="8" t="inlineStr"/>
      <c r="T81" s="8" t="n">
        <v>303</v>
      </c>
    </row>
    <row r="82">
      <c r="A82" s="8" t="n">
        <v>9</v>
      </c>
      <c r="B82" s="11" t="inlineStr">
        <is>
          <t>BA.12130</t>
        </is>
      </c>
      <c r="C82" s="8" t="inlineStr">
        <is>
          <t>Dàn lạnh cassette CSL: 12.5 kW</t>
        </is>
      </c>
      <c r="D82" s="12">
        <f>HYPERLINK("tt38://pl3/6", "👉 Phụ lục III - Trang 6 (Khớp nhóm BA.121)")</f>
        <v/>
      </c>
      <c r="E82" s="8" t="inlineStr">
        <is>
          <t>máy</t>
        </is>
      </c>
      <c r="F82" s="8" t="n">
        <v>30</v>
      </c>
      <c r="G82" s="8" t="inlineStr"/>
      <c r="H82" s="8" t="inlineStr"/>
      <c r="I82" s="8" t="inlineStr"/>
      <c r="J82" s="8" t="inlineStr"/>
      <c r="K82" s="8" t="inlineStr"/>
      <c r="L82" s="8" t="inlineStr"/>
      <c r="M82" s="8" t="inlineStr"/>
      <c r="N82" s="8" t="inlineStr"/>
      <c r="O82" s="8" t="inlineStr"/>
      <c r="P82" s="8" t="inlineStr"/>
      <c r="Q82" s="8" t="inlineStr"/>
      <c r="R82" s="8" t="inlineStr"/>
      <c r="S82" s="8" t="inlineStr"/>
      <c r="T82" s="8" t="inlineStr"/>
    </row>
    <row r="83">
      <c r="A83" s="8" t="inlineStr"/>
      <c r="B83" s="8" t="inlineStr"/>
      <c r="C83" s="8" t="inlineStr">
        <is>
          <t>a) Vật liệu</t>
        </is>
      </c>
      <c r="E83" s="8" t="inlineStr"/>
      <c r="F83" s="8" t="inlineStr"/>
      <c r="G83" s="8" t="inlineStr"/>
      <c r="H83" s="8" t="inlineStr"/>
      <c r="I83" s="8" t="inlineStr"/>
      <c r="J83" s="8" t="inlineStr"/>
      <c r="K83" s="8" t="inlineStr"/>
      <c r="L83" s="8" t="inlineStr"/>
      <c r="M83" s="8" t="inlineStr"/>
      <c r="N83" s="8" t="inlineStr"/>
      <c r="O83" s="8" t="inlineStr"/>
      <c r="P83" s="8" t="inlineStr"/>
      <c r="Q83" s="8" t="inlineStr"/>
      <c r="R83" s="8" t="inlineStr"/>
      <c r="S83" s="8" t="inlineStr"/>
      <c r="T83" s="8" t="inlineStr"/>
    </row>
    <row r="84">
      <c r="A84" s="8" t="inlineStr"/>
      <c r="B84" s="8" t="inlineStr">
        <is>
          <t>A33.0009</t>
        </is>
      </c>
      <c r="C84" s="8" t="inlineStr">
        <is>
          <t>Giá đỡ máy cassettle</t>
        </is>
      </c>
      <c r="E84" s="8" t="inlineStr">
        <is>
          <t>cái</t>
        </is>
      </c>
      <c r="F84" s="8" t="inlineStr"/>
      <c r="G84" s="8" t="n">
        <v>1</v>
      </c>
      <c r="H84" s="8" t="inlineStr"/>
      <c r="I84" s="8" t="inlineStr"/>
      <c r="J84" s="8" t="n">
        <v>1</v>
      </c>
      <c r="K84" s="8" t="n">
        <v>30</v>
      </c>
      <c r="L84" s="8" t="inlineStr"/>
      <c r="M84" s="8" t="inlineStr"/>
      <c r="N84" s="8" t="inlineStr"/>
      <c r="O84" s="8" t="inlineStr"/>
      <c r="P84" s="8" t="inlineStr"/>
      <c r="Q84" s="8" t="inlineStr"/>
      <c r="R84" s="8" t="n">
        <v>0</v>
      </c>
      <c r="S84" s="8" t="n">
        <v>0</v>
      </c>
      <c r="T84" s="8" t="n">
        <v>105</v>
      </c>
    </row>
    <row r="85">
      <c r="A85" s="8" t="inlineStr"/>
      <c r="B85" s="8" t="inlineStr">
        <is>
          <t>Z999</t>
        </is>
      </c>
      <c r="C85" s="8" t="inlineStr">
        <is>
          <t>Vật liệu khác</t>
        </is>
      </c>
      <c r="E85" s="8" t="inlineStr">
        <is>
          <t>%</t>
        </is>
      </c>
      <c r="F85" s="8" t="inlineStr"/>
      <c r="G85" s="8" t="n">
        <v>5</v>
      </c>
      <c r="H85" s="8" t="inlineStr"/>
      <c r="I85" s="8" t="inlineStr"/>
      <c r="J85" s="8" t="inlineStr"/>
      <c r="K85" s="8" t="inlineStr"/>
      <c r="L85" s="8" t="inlineStr"/>
      <c r="M85" s="8" t="inlineStr"/>
      <c r="N85" s="8" t="n">
        <v>0</v>
      </c>
      <c r="O85" s="8" t="inlineStr"/>
      <c r="P85" s="8" t="n">
        <v>750000</v>
      </c>
      <c r="Q85" s="8" t="inlineStr"/>
      <c r="R85" s="8" t="inlineStr"/>
      <c r="S85" s="8" t="inlineStr"/>
      <c r="T85" s="8" t="inlineStr"/>
    </row>
    <row r="86">
      <c r="A86" s="8" t="inlineStr"/>
      <c r="B86" s="8" t="inlineStr"/>
      <c r="C86" s="8" t="inlineStr">
        <is>
          <t>b) Nhân công</t>
        </is>
      </c>
      <c r="E86" s="8" t="inlineStr"/>
      <c r="F86" s="8" t="inlineStr"/>
      <c r="G86" s="8" t="inlineStr"/>
      <c r="H86" s="8" t="inlineStr"/>
      <c r="I86" s="8" t="inlineStr"/>
      <c r="J86" s="8" t="inlineStr"/>
      <c r="K86" s="8" t="inlineStr"/>
      <c r="L86" s="8" t="inlineStr"/>
      <c r="M86" s="8" t="inlineStr"/>
      <c r="N86" s="8" t="inlineStr"/>
      <c r="O86" s="8" t="inlineStr"/>
      <c r="P86" s="8" t="inlineStr"/>
      <c r="Q86" s="8" t="inlineStr"/>
      <c r="R86" s="8" t="inlineStr"/>
      <c r="S86" s="8" t="inlineStr"/>
      <c r="T86" s="8" t="inlineStr"/>
    </row>
    <row r="87">
      <c r="A87" s="8" t="inlineStr"/>
      <c r="B87" s="8" t="inlineStr">
        <is>
          <t>N3</t>
        </is>
      </c>
      <c r="C87" s="8" t="inlineStr">
        <is>
          <t>Nhân công nhóm 3</t>
        </is>
      </c>
      <c r="E87" s="8" t="inlineStr">
        <is>
          <t>công</t>
        </is>
      </c>
      <c r="F87" s="8" t="inlineStr"/>
      <c r="G87" s="8" t="inlineStr"/>
      <c r="H87" s="8" t="n">
        <v>1.31</v>
      </c>
      <c r="I87" s="8" t="inlineStr"/>
      <c r="J87" s="8" t="n">
        <v>1</v>
      </c>
      <c r="K87" s="8" t="inlineStr"/>
      <c r="L87" s="8" t="n">
        <v>39.3</v>
      </c>
      <c r="M87" s="8" t="inlineStr"/>
      <c r="N87" s="8" t="inlineStr"/>
      <c r="O87" s="8" t="inlineStr"/>
      <c r="P87" s="8" t="inlineStr"/>
      <c r="Q87" s="8" t="inlineStr"/>
      <c r="R87" s="8" t="inlineStr"/>
      <c r="S87" s="8" t="inlineStr"/>
      <c r="T87" s="8" t="n">
        <v>200</v>
      </c>
    </row>
    <row r="88">
      <c r="A88" s="8" t="inlineStr"/>
      <c r="B88" s="8" t="inlineStr"/>
      <c r="C88" s="8" t="inlineStr">
        <is>
          <t>c) Máy thi công</t>
        </is>
      </c>
      <c r="E88" s="8" t="inlineStr"/>
      <c r="F88" s="8" t="inlineStr"/>
      <c r="G88" s="8" t="inlineStr"/>
      <c r="H88" s="8" t="inlineStr"/>
      <c r="I88" s="8" t="inlineStr"/>
      <c r="J88" s="8" t="inlineStr"/>
      <c r="K88" s="8" t="inlineStr"/>
      <c r="L88" s="8" t="inlineStr"/>
      <c r="M88" s="8" t="inlineStr"/>
      <c r="N88" s="8" t="inlineStr"/>
      <c r="O88" s="8" t="inlineStr"/>
      <c r="P88" s="8" t="inlineStr"/>
      <c r="Q88" s="8" t="inlineStr"/>
      <c r="R88" s="8" t="inlineStr"/>
      <c r="S88" s="8" t="inlineStr"/>
      <c r="T88" s="8" t="inlineStr"/>
    </row>
    <row r="89">
      <c r="A89" s="8" t="inlineStr"/>
      <c r="B89" s="8" t="inlineStr">
        <is>
          <t>M112.1701</t>
        </is>
      </c>
      <c r="C89" s="8" t="inlineStr">
        <is>
          <t>Máy khoan bê tông cầm tay 0,62 kW</t>
        </is>
      </c>
      <c r="E89" s="8" t="inlineStr">
        <is>
          <t>ca</t>
        </is>
      </c>
      <c r="F89" s="8" t="inlineStr"/>
      <c r="G89" s="8" t="inlineStr"/>
      <c r="H89" s="8" t="inlineStr"/>
      <c r="I89" s="8" t="n">
        <v>0.36</v>
      </c>
      <c r="J89" s="8" t="n">
        <v>1</v>
      </c>
      <c r="K89" s="8" t="inlineStr"/>
      <c r="L89" s="8" t="inlineStr"/>
      <c r="M89" s="8" t="n">
        <v>10.8</v>
      </c>
      <c r="N89" s="8" t="inlineStr"/>
      <c r="O89" s="8" t="inlineStr"/>
      <c r="P89" s="8" t="inlineStr"/>
      <c r="Q89" s="8" t="inlineStr"/>
      <c r="R89" s="8" t="inlineStr"/>
      <c r="S89" s="8" t="inlineStr"/>
      <c r="T89" s="8" t="n">
        <v>303</v>
      </c>
    </row>
    <row r="90">
      <c r="A90" s="8" t="n">
        <v>10</v>
      </c>
      <c r="B90" s="11" t="inlineStr">
        <is>
          <t>BA.12110</t>
        </is>
      </c>
      <c r="C90" s="8" t="inlineStr">
        <is>
          <t>Dàn lạnh treo tường CSL: 2.5 kW</t>
        </is>
      </c>
      <c r="D90" s="12">
        <f>HYPERLINK("tt38://pl3/6", "👉 Phụ lục III - Trang 6 (Khớp nhóm BA.121)")</f>
        <v/>
      </c>
      <c r="E90" s="8" t="inlineStr">
        <is>
          <t>máy</t>
        </is>
      </c>
      <c r="F90" s="8" t="n">
        <v>1</v>
      </c>
      <c r="G90" s="8" t="inlineStr"/>
      <c r="H90" s="8" t="inlineStr"/>
      <c r="I90" s="8" t="inlineStr"/>
      <c r="J90" s="8" t="inlineStr"/>
      <c r="K90" s="8" t="inlineStr"/>
      <c r="L90" s="8" t="inlineStr"/>
      <c r="M90" s="8" t="inlineStr"/>
      <c r="N90" s="8" t="inlineStr"/>
      <c r="O90" s="8" t="inlineStr"/>
      <c r="P90" s="8" t="inlineStr"/>
      <c r="Q90" s="8" t="inlineStr"/>
      <c r="R90" s="8" t="inlineStr"/>
      <c r="S90" s="8" t="inlineStr"/>
      <c r="T90" s="8" t="inlineStr"/>
    </row>
    <row r="91">
      <c r="A91" s="8" t="inlineStr"/>
      <c r="B91" s="8" t="inlineStr"/>
      <c r="C91" s="8" t="inlineStr">
        <is>
          <t>a) Vật liệu</t>
        </is>
      </c>
      <c r="E91" s="8" t="inlineStr"/>
      <c r="F91" s="8" t="inlineStr"/>
      <c r="G91" s="8" t="inlineStr"/>
      <c r="H91" s="8" t="inlineStr"/>
      <c r="I91" s="8" t="inlineStr"/>
      <c r="J91" s="8" t="inlineStr"/>
      <c r="K91" s="8" t="inlineStr"/>
      <c r="L91" s="8" t="inlineStr"/>
      <c r="M91" s="8" t="inlineStr"/>
      <c r="N91" s="8" t="inlineStr"/>
      <c r="O91" s="8" t="inlineStr"/>
      <c r="P91" s="8" t="inlineStr"/>
      <c r="Q91" s="8" t="inlineStr"/>
      <c r="R91" s="8" t="inlineStr"/>
      <c r="S91" s="8" t="inlineStr"/>
      <c r="T91" s="8" t="inlineStr"/>
    </row>
    <row r="92">
      <c r="A92" s="8" t="inlineStr"/>
      <c r="B92" s="8" t="inlineStr">
        <is>
          <t>A33.0009</t>
        </is>
      </c>
      <c r="C92" s="8" t="inlineStr">
        <is>
          <t>Giá đỡ máy treo tường</t>
        </is>
      </c>
      <c r="E92" s="8" t="inlineStr">
        <is>
          <t>cái</t>
        </is>
      </c>
      <c r="F92" s="8" t="inlineStr"/>
      <c r="G92" s="8" t="n">
        <v>1</v>
      </c>
      <c r="H92" s="8" t="inlineStr"/>
      <c r="I92" s="8" t="inlineStr"/>
      <c r="J92" s="8" t="n">
        <v>1</v>
      </c>
      <c r="K92" s="8" t="n">
        <v>1</v>
      </c>
      <c r="L92" s="8" t="inlineStr"/>
      <c r="M92" s="8" t="inlineStr"/>
      <c r="N92" s="8" t="inlineStr"/>
      <c r="O92" s="8" t="inlineStr"/>
      <c r="P92" s="8" t="inlineStr"/>
      <c r="Q92" s="8" t="inlineStr"/>
      <c r="R92" s="8" t="n">
        <v>0</v>
      </c>
      <c r="S92" s="8" t="n">
        <v>0</v>
      </c>
      <c r="T92" s="8" t="n">
        <v>106</v>
      </c>
    </row>
    <row r="93">
      <c r="A93" s="8" t="inlineStr"/>
      <c r="B93" s="8" t="inlineStr">
        <is>
          <t>Z999</t>
        </is>
      </c>
      <c r="C93" s="8" t="inlineStr">
        <is>
          <t>Vật liệu khác</t>
        </is>
      </c>
      <c r="E93" s="8" t="inlineStr">
        <is>
          <t>%</t>
        </is>
      </c>
      <c r="F93" s="8" t="inlineStr"/>
      <c r="G93" s="8" t="n">
        <v>5</v>
      </c>
      <c r="H93" s="8" t="inlineStr"/>
      <c r="I93" s="8" t="inlineStr"/>
      <c r="J93" s="8" t="inlineStr"/>
      <c r="K93" s="8" t="inlineStr"/>
      <c r="L93" s="8" t="inlineStr"/>
      <c r="M93" s="8" t="inlineStr"/>
      <c r="N93" s="8" t="n">
        <v>0</v>
      </c>
      <c r="O93" s="8" t="inlineStr"/>
      <c r="P93" s="8" t="n">
        <v>15000</v>
      </c>
      <c r="Q93" s="8" t="inlineStr"/>
      <c r="R93" s="8" t="inlineStr"/>
      <c r="S93" s="8" t="inlineStr"/>
      <c r="T93" s="8" t="inlineStr"/>
    </row>
    <row r="94">
      <c r="A94" s="8" t="inlineStr"/>
      <c r="B94" s="8" t="inlineStr"/>
      <c r="C94" s="8" t="inlineStr">
        <is>
          <t>b) Nhân công</t>
        </is>
      </c>
      <c r="E94" s="8" t="inlineStr"/>
      <c r="F94" s="8" t="inlineStr"/>
      <c r="G94" s="8" t="inlineStr"/>
      <c r="H94" s="8" t="inlineStr"/>
      <c r="I94" s="8" t="inlineStr"/>
      <c r="J94" s="8" t="inlineStr"/>
      <c r="K94" s="8" t="inlineStr"/>
      <c r="L94" s="8" t="inlineStr"/>
      <c r="M94" s="8" t="inlineStr"/>
      <c r="N94" s="8" t="inlineStr"/>
      <c r="O94" s="8" t="inlineStr"/>
      <c r="P94" s="8" t="inlineStr"/>
      <c r="Q94" s="8" t="inlineStr"/>
      <c r="R94" s="8" t="inlineStr"/>
      <c r="S94" s="8" t="inlineStr"/>
      <c r="T94" s="8" t="inlineStr"/>
    </row>
    <row r="95">
      <c r="A95" s="8" t="inlineStr"/>
      <c r="B95" s="8" t="inlineStr">
        <is>
          <t>N3</t>
        </is>
      </c>
      <c r="C95" s="8" t="inlineStr">
        <is>
          <t>Nhân công nhóm 3</t>
        </is>
      </c>
      <c r="E95" s="8" t="inlineStr">
        <is>
          <t>công</t>
        </is>
      </c>
      <c r="F95" s="8" t="inlineStr"/>
      <c r="G95" s="8" t="inlineStr"/>
      <c r="H95" s="8" t="n">
        <v>0.78</v>
      </c>
      <c r="I95" s="8" t="inlineStr"/>
      <c r="J95" s="8" t="n">
        <v>1</v>
      </c>
      <c r="K95" s="8" t="inlineStr"/>
      <c r="L95" s="8" t="n">
        <v>0.78</v>
      </c>
      <c r="M95" s="8" t="inlineStr"/>
      <c r="N95" s="8" t="inlineStr"/>
      <c r="O95" s="8" t="inlineStr"/>
      <c r="P95" s="8" t="inlineStr"/>
      <c r="Q95" s="8" t="inlineStr"/>
      <c r="R95" s="8" t="inlineStr"/>
      <c r="S95" s="8" t="inlineStr"/>
      <c r="T95" s="8" t="n">
        <v>200</v>
      </c>
    </row>
    <row r="96">
      <c r="A96" s="8" t="inlineStr"/>
      <c r="B96" s="8" t="inlineStr"/>
      <c r="C96" s="8" t="inlineStr">
        <is>
          <t>c) Máy thi công</t>
        </is>
      </c>
      <c r="E96" s="8" t="inlineStr"/>
      <c r="F96" s="8" t="inlineStr"/>
      <c r="G96" s="8" t="inlineStr"/>
      <c r="H96" s="8" t="inlineStr"/>
      <c r="I96" s="8" t="inlineStr"/>
      <c r="J96" s="8" t="inlineStr"/>
      <c r="K96" s="8" t="inlineStr"/>
      <c r="L96" s="8" t="inlineStr"/>
      <c r="M96" s="8" t="inlineStr"/>
      <c r="N96" s="8" t="inlineStr"/>
      <c r="O96" s="8" t="inlineStr"/>
      <c r="P96" s="8" t="inlineStr"/>
      <c r="Q96" s="8" t="inlineStr"/>
      <c r="R96" s="8" t="inlineStr"/>
      <c r="S96" s="8" t="inlineStr"/>
      <c r="T96" s="8" t="inlineStr"/>
    </row>
    <row r="97">
      <c r="A97" s="8" t="inlineStr"/>
      <c r="B97" s="8" t="inlineStr">
        <is>
          <t>M112.1701</t>
        </is>
      </c>
      <c r="C97" s="8" t="inlineStr">
        <is>
          <t>Máy khoan bê tông cầm tay 0,62 kW</t>
        </is>
      </c>
      <c r="E97" s="8" t="inlineStr">
        <is>
          <t>ca</t>
        </is>
      </c>
      <c r="F97" s="8" t="inlineStr"/>
      <c r="G97" s="8" t="inlineStr"/>
      <c r="H97" s="8" t="inlineStr"/>
      <c r="I97" s="8" t="n">
        <v>0.3</v>
      </c>
      <c r="J97" s="8" t="n">
        <v>1</v>
      </c>
      <c r="K97" s="8" t="inlineStr"/>
      <c r="L97" s="8" t="inlineStr"/>
      <c r="M97" s="8" t="n">
        <v>0.3</v>
      </c>
      <c r="N97" s="8" t="inlineStr"/>
      <c r="O97" s="8" t="inlineStr"/>
      <c r="P97" s="8" t="inlineStr"/>
      <c r="Q97" s="8" t="inlineStr"/>
      <c r="R97" s="8" t="inlineStr"/>
      <c r="S97" s="8" t="inlineStr"/>
      <c r="T97" s="8" t="n">
        <v>303</v>
      </c>
    </row>
    <row r="98">
      <c r="A98" s="8" t="n">
        <v>11</v>
      </c>
      <c r="B98" s="11" t="inlineStr">
        <is>
          <t>BA.12110</t>
        </is>
      </c>
      <c r="C98" s="8" t="inlineStr">
        <is>
          <t>Dàn lạnh treo tường CSL: 5.0 kW</t>
        </is>
      </c>
      <c r="D98" s="12">
        <f>HYPERLINK("tt38://pl3/6", "👉 Phụ lục III - Trang 6 (Khớp nhóm BA.121)")</f>
        <v/>
      </c>
      <c r="E98" s="8" t="inlineStr">
        <is>
          <t>máy</t>
        </is>
      </c>
      <c r="F98" s="8" t="n">
        <v>2</v>
      </c>
      <c r="G98" s="8" t="inlineStr"/>
      <c r="H98" s="8" t="inlineStr"/>
      <c r="I98" s="8" t="inlineStr"/>
      <c r="J98" s="8" t="inlineStr"/>
      <c r="K98" s="8" t="inlineStr"/>
      <c r="L98" s="8" t="inlineStr"/>
      <c r="M98" s="8" t="inlineStr"/>
      <c r="N98" s="8" t="inlineStr"/>
      <c r="O98" s="8" t="inlineStr"/>
      <c r="P98" s="8" t="inlineStr"/>
      <c r="Q98" s="8" t="inlineStr"/>
      <c r="R98" s="8" t="inlineStr"/>
      <c r="S98" s="8" t="inlineStr"/>
      <c r="T98" s="8" t="inlineStr"/>
    </row>
    <row r="99">
      <c r="A99" s="8" t="inlineStr"/>
      <c r="B99" s="8" t="inlineStr"/>
      <c r="C99" s="8" t="inlineStr">
        <is>
          <t>a) Vật liệu</t>
        </is>
      </c>
      <c r="E99" s="8" t="inlineStr"/>
      <c r="F99" s="8" t="inlineStr"/>
      <c r="G99" s="8" t="inlineStr"/>
      <c r="H99" s="8" t="inlineStr"/>
      <c r="I99" s="8" t="inlineStr"/>
      <c r="J99" s="8" t="inlineStr"/>
      <c r="K99" s="8" t="inlineStr"/>
      <c r="L99" s="8" t="inlineStr"/>
      <c r="M99" s="8" t="inlineStr"/>
      <c r="N99" s="8" t="inlineStr"/>
      <c r="O99" s="8" t="inlineStr"/>
      <c r="P99" s="8" t="inlineStr"/>
      <c r="Q99" s="8" t="inlineStr"/>
      <c r="R99" s="8" t="inlineStr"/>
      <c r="S99" s="8" t="inlineStr"/>
      <c r="T99" s="8" t="inlineStr"/>
    </row>
    <row r="100">
      <c r="A100" s="8" t="inlineStr"/>
      <c r="B100" s="8" t="inlineStr">
        <is>
          <t>A33.0009</t>
        </is>
      </c>
      <c r="C100" s="8" t="inlineStr">
        <is>
          <t>Giá đỡ máy treo tường</t>
        </is>
      </c>
      <c r="E100" s="8" t="inlineStr">
        <is>
          <t>cái</t>
        </is>
      </c>
      <c r="F100" s="8" t="inlineStr"/>
      <c r="G100" s="8" t="n">
        <v>1</v>
      </c>
      <c r="H100" s="8" t="inlineStr"/>
      <c r="I100" s="8" t="inlineStr"/>
      <c r="J100" s="8" t="n">
        <v>1</v>
      </c>
      <c r="K100" s="8" t="n">
        <v>2</v>
      </c>
      <c r="L100" s="8" t="inlineStr"/>
      <c r="M100" s="8" t="inlineStr"/>
      <c r="N100" s="8" t="inlineStr"/>
      <c r="O100" s="8" t="inlineStr"/>
      <c r="P100" s="8" t="inlineStr"/>
      <c r="Q100" s="8" t="inlineStr"/>
      <c r="R100" s="8" t="n">
        <v>0</v>
      </c>
      <c r="S100" s="8" t="n">
        <v>0</v>
      </c>
      <c r="T100" s="8" t="n">
        <v>106</v>
      </c>
    </row>
    <row r="101">
      <c r="A101" s="8" t="inlineStr"/>
      <c r="B101" s="8" t="inlineStr">
        <is>
          <t>Z999</t>
        </is>
      </c>
      <c r="C101" s="8" t="inlineStr">
        <is>
          <t>Vật liệu khác</t>
        </is>
      </c>
      <c r="E101" s="8" t="inlineStr">
        <is>
          <t>%</t>
        </is>
      </c>
      <c r="F101" s="8" t="inlineStr"/>
      <c r="G101" s="8" t="n">
        <v>5</v>
      </c>
      <c r="H101" s="8" t="inlineStr"/>
      <c r="I101" s="8" t="inlineStr"/>
      <c r="J101" s="8" t="inlineStr"/>
      <c r="K101" s="8" t="inlineStr"/>
      <c r="L101" s="8" t="inlineStr"/>
      <c r="M101" s="8" t="inlineStr"/>
      <c r="N101" s="8" t="n">
        <v>0</v>
      </c>
      <c r="O101" s="8" t="inlineStr"/>
      <c r="P101" s="8" t="n">
        <v>30000</v>
      </c>
      <c r="Q101" s="8" t="inlineStr"/>
      <c r="R101" s="8" t="inlineStr"/>
      <c r="S101" s="8" t="inlineStr"/>
      <c r="T101" s="8" t="inlineStr"/>
    </row>
    <row r="102">
      <c r="A102" s="8" t="inlineStr"/>
      <c r="B102" s="8" t="inlineStr"/>
      <c r="C102" s="8" t="inlineStr">
        <is>
          <t>b) Nhân công</t>
        </is>
      </c>
      <c r="E102" s="8" t="inlineStr"/>
      <c r="F102" s="8" t="inlineStr"/>
      <c r="G102" s="8" t="inlineStr"/>
      <c r="H102" s="8" t="inlineStr"/>
      <c r="I102" s="8" t="inlineStr"/>
      <c r="J102" s="8" t="inlineStr"/>
      <c r="K102" s="8" t="inlineStr"/>
      <c r="L102" s="8" t="inlineStr"/>
      <c r="M102" s="8" t="inlineStr"/>
      <c r="N102" s="8" t="inlineStr"/>
      <c r="O102" s="8" t="inlineStr"/>
      <c r="P102" s="8" t="inlineStr"/>
      <c r="Q102" s="8" t="inlineStr"/>
      <c r="R102" s="8" t="inlineStr"/>
      <c r="S102" s="8" t="inlineStr"/>
      <c r="T102" s="8" t="inlineStr"/>
    </row>
    <row r="103">
      <c r="A103" s="8" t="inlineStr"/>
      <c r="B103" s="8" t="inlineStr">
        <is>
          <t>N3</t>
        </is>
      </c>
      <c r="C103" s="8" t="inlineStr">
        <is>
          <t>Nhân công nhóm 3</t>
        </is>
      </c>
      <c r="E103" s="8" t="inlineStr">
        <is>
          <t>công</t>
        </is>
      </c>
      <c r="F103" s="8" t="inlineStr"/>
      <c r="G103" s="8" t="inlineStr"/>
      <c r="H103" s="8" t="n">
        <v>0.78</v>
      </c>
      <c r="I103" s="8" t="inlineStr"/>
      <c r="J103" s="8" t="n">
        <v>1</v>
      </c>
      <c r="K103" s="8" t="inlineStr"/>
      <c r="L103" s="8" t="n">
        <v>1.56</v>
      </c>
      <c r="M103" s="8" t="inlineStr"/>
      <c r="N103" s="8" t="inlineStr"/>
      <c r="O103" s="8" t="inlineStr"/>
      <c r="P103" s="8" t="inlineStr"/>
      <c r="Q103" s="8" t="inlineStr"/>
      <c r="R103" s="8" t="inlineStr"/>
      <c r="S103" s="8" t="inlineStr"/>
      <c r="T103" s="8" t="n">
        <v>200</v>
      </c>
    </row>
    <row r="104">
      <c r="A104" s="8" t="inlineStr"/>
      <c r="B104" s="8" t="inlineStr"/>
      <c r="C104" s="8" t="inlineStr">
        <is>
          <t>c) Máy thi công</t>
        </is>
      </c>
      <c r="E104" s="8" t="inlineStr"/>
      <c r="F104" s="8" t="inlineStr"/>
      <c r="G104" s="8" t="inlineStr"/>
      <c r="H104" s="8" t="inlineStr"/>
      <c r="I104" s="8" t="inlineStr"/>
      <c r="J104" s="8" t="inlineStr"/>
      <c r="K104" s="8" t="inlineStr"/>
      <c r="L104" s="8" t="inlineStr"/>
      <c r="M104" s="8" t="inlineStr"/>
      <c r="N104" s="8" t="inlineStr"/>
      <c r="O104" s="8" t="inlineStr"/>
      <c r="P104" s="8" t="inlineStr"/>
      <c r="Q104" s="8" t="inlineStr"/>
      <c r="R104" s="8" t="inlineStr"/>
      <c r="S104" s="8" t="inlineStr"/>
      <c r="T104" s="8" t="inlineStr"/>
    </row>
    <row r="105">
      <c r="A105" s="8" t="inlineStr"/>
      <c r="B105" s="8" t="inlineStr">
        <is>
          <t>M112.1701</t>
        </is>
      </c>
      <c r="C105" s="8" t="inlineStr">
        <is>
          <t>Máy khoan bê tông cầm tay 0,62 kW</t>
        </is>
      </c>
      <c r="E105" s="8" t="inlineStr">
        <is>
          <t>ca</t>
        </is>
      </c>
      <c r="F105" s="8" t="inlineStr"/>
      <c r="G105" s="8" t="inlineStr"/>
      <c r="H105" s="8" t="inlineStr"/>
      <c r="I105" s="8" t="n">
        <v>0.3</v>
      </c>
      <c r="J105" s="8" t="n">
        <v>1</v>
      </c>
      <c r="K105" s="8" t="inlineStr"/>
      <c r="L105" s="8" t="inlineStr"/>
      <c r="M105" s="8" t="n">
        <v>0.6</v>
      </c>
      <c r="N105" s="8" t="inlineStr"/>
      <c r="O105" s="8" t="inlineStr"/>
      <c r="P105" s="8" t="inlineStr"/>
      <c r="Q105" s="8" t="inlineStr"/>
      <c r="R105" s="8" t="inlineStr"/>
      <c r="S105" s="8" t="inlineStr"/>
      <c r="T105" s="8" t="n">
        <v>303</v>
      </c>
    </row>
    <row r="106">
      <c r="A106" s="8" t="n">
        <v>12</v>
      </c>
      <c r="B106" s="11" t="inlineStr">
        <is>
          <t>BA.12110</t>
        </is>
      </c>
      <c r="C106" s="8" t="inlineStr">
        <is>
          <t>Dàn lạnh treo tường CSL: 7.1 kW</t>
        </is>
      </c>
      <c r="D106" s="12">
        <f>HYPERLINK("tt38://pl3/6", "👉 Phụ lục III - Trang 6 (Khớp nhóm BA.121)")</f>
        <v/>
      </c>
      <c r="E106" s="8" t="inlineStr">
        <is>
          <t>máy</t>
        </is>
      </c>
      <c r="F106" s="8" t="n">
        <v>2</v>
      </c>
      <c r="G106" s="8" t="inlineStr"/>
      <c r="H106" s="8" t="inlineStr"/>
      <c r="I106" s="8" t="inlineStr"/>
      <c r="J106" s="8" t="inlineStr"/>
      <c r="K106" s="8" t="inlineStr"/>
      <c r="L106" s="8" t="inlineStr"/>
      <c r="M106" s="8" t="inlineStr"/>
      <c r="N106" s="8" t="inlineStr"/>
      <c r="O106" s="8" t="inlineStr"/>
      <c r="P106" s="8" t="inlineStr"/>
      <c r="Q106" s="8" t="inlineStr"/>
      <c r="R106" s="8" t="inlineStr"/>
      <c r="S106" s="8" t="inlineStr"/>
      <c r="T106" s="8" t="inlineStr"/>
    </row>
    <row r="107">
      <c r="A107" s="8" t="inlineStr"/>
      <c r="B107" s="8" t="inlineStr"/>
      <c r="C107" s="8" t="inlineStr">
        <is>
          <t>a) Vật liệu</t>
        </is>
      </c>
      <c r="E107" s="8" t="inlineStr"/>
      <c r="F107" s="8" t="inlineStr"/>
      <c r="G107" s="8" t="inlineStr"/>
      <c r="H107" s="8" t="inlineStr"/>
      <c r="I107" s="8" t="inlineStr"/>
      <c r="J107" s="8" t="inlineStr"/>
      <c r="K107" s="8" t="inlineStr"/>
      <c r="L107" s="8" t="inlineStr"/>
      <c r="M107" s="8" t="inlineStr"/>
      <c r="N107" s="8" t="inlineStr"/>
      <c r="O107" s="8" t="inlineStr"/>
      <c r="P107" s="8" t="inlineStr"/>
      <c r="Q107" s="8" t="inlineStr"/>
      <c r="R107" s="8" t="inlineStr"/>
      <c r="S107" s="8" t="inlineStr"/>
      <c r="T107" s="8" t="inlineStr"/>
    </row>
    <row r="108">
      <c r="A108" s="8" t="inlineStr"/>
      <c r="B108" s="8" t="inlineStr">
        <is>
          <t>A33.0009</t>
        </is>
      </c>
      <c r="C108" s="8" t="inlineStr">
        <is>
          <t>Giá đỡ máy treo tường</t>
        </is>
      </c>
      <c r="E108" s="8" t="inlineStr">
        <is>
          <t>cái</t>
        </is>
      </c>
      <c r="F108" s="8" t="inlineStr"/>
      <c r="G108" s="8" t="n">
        <v>1</v>
      </c>
      <c r="H108" s="8" t="inlineStr"/>
      <c r="I108" s="8" t="inlineStr"/>
      <c r="J108" s="8" t="n">
        <v>1</v>
      </c>
      <c r="K108" s="8" t="n">
        <v>2</v>
      </c>
      <c r="L108" s="8" t="inlineStr"/>
      <c r="M108" s="8" t="inlineStr"/>
      <c r="N108" s="8" t="inlineStr"/>
      <c r="O108" s="8" t="inlineStr"/>
      <c r="P108" s="8" t="inlineStr"/>
      <c r="Q108" s="8" t="inlineStr"/>
      <c r="R108" s="8" t="n">
        <v>0</v>
      </c>
      <c r="S108" s="8" t="n">
        <v>0</v>
      </c>
      <c r="T108" s="8" t="n">
        <v>106</v>
      </c>
    </row>
    <row r="109">
      <c r="A109" s="8" t="inlineStr"/>
      <c r="B109" s="8" t="inlineStr">
        <is>
          <t>Z999</t>
        </is>
      </c>
      <c r="C109" s="8" t="inlineStr">
        <is>
          <t>Vật liệu khác</t>
        </is>
      </c>
      <c r="E109" s="8" t="inlineStr">
        <is>
          <t>%</t>
        </is>
      </c>
      <c r="F109" s="8" t="inlineStr"/>
      <c r="G109" s="8" t="n">
        <v>5</v>
      </c>
      <c r="H109" s="8" t="inlineStr"/>
      <c r="I109" s="8" t="inlineStr"/>
      <c r="J109" s="8" t="inlineStr"/>
      <c r="K109" s="8" t="inlineStr"/>
      <c r="L109" s="8" t="inlineStr"/>
      <c r="M109" s="8" t="inlineStr"/>
      <c r="N109" s="8" t="n">
        <v>0</v>
      </c>
      <c r="O109" s="8" t="inlineStr"/>
      <c r="P109" s="8" t="n">
        <v>30000</v>
      </c>
      <c r="Q109" s="8" t="inlineStr"/>
      <c r="R109" s="8" t="inlineStr"/>
      <c r="S109" s="8" t="inlineStr"/>
      <c r="T109" s="8" t="inlineStr"/>
    </row>
    <row r="110">
      <c r="A110" s="8" t="inlineStr"/>
      <c r="B110" s="8" t="inlineStr"/>
      <c r="C110" s="8" t="inlineStr">
        <is>
          <t>b) Nhân công</t>
        </is>
      </c>
      <c r="E110" s="8" t="inlineStr"/>
      <c r="F110" s="8" t="inlineStr"/>
      <c r="G110" s="8" t="inlineStr"/>
      <c r="H110" s="8" t="inlineStr"/>
      <c r="I110" s="8" t="inlineStr"/>
      <c r="J110" s="8" t="inlineStr"/>
      <c r="K110" s="8" t="inlineStr"/>
      <c r="L110" s="8" t="inlineStr"/>
      <c r="M110" s="8" t="inlineStr"/>
      <c r="N110" s="8" t="inlineStr"/>
      <c r="O110" s="8" t="inlineStr"/>
      <c r="P110" s="8" t="inlineStr"/>
      <c r="Q110" s="8" t="inlineStr"/>
      <c r="R110" s="8" t="inlineStr"/>
      <c r="S110" s="8" t="inlineStr"/>
      <c r="T110" s="8" t="inlineStr"/>
    </row>
    <row r="111">
      <c r="A111" s="8" t="inlineStr"/>
      <c r="B111" s="8" t="inlineStr">
        <is>
          <t>N3</t>
        </is>
      </c>
      <c r="C111" s="8" t="inlineStr">
        <is>
          <t>Nhân công nhóm 3</t>
        </is>
      </c>
      <c r="E111" s="8" t="inlineStr">
        <is>
          <t>công</t>
        </is>
      </c>
      <c r="F111" s="8" t="inlineStr"/>
      <c r="G111" s="8" t="inlineStr"/>
      <c r="H111" s="8" t="n">
        <v>0.78</v>
      </c>
      <c r="I111" s="8" t="inlineStr"/>
      <c r="J111" s="8" t="n">
        <v>1</v>
      </c>
      <c r="K111" s="8" t="inlineStr"/>
      <c r="L111" s="8" t="n">
        <v>1.56</v>
      </c>
      <c r="M111" s="8" t="inlineStr"/>
      <c r="N111" s="8" t="inlineStr"/>
      <c r="O111" s="8" t="inlineStr"/>
      <c r="P111" s="8" t="inlineStr"/>
      <c r="Q111" s="8" t="inlineStr"/>
      <c r="R111" s="8" t="inlineStr"/>
      <c r="S111" s="8" t="inlineStr"/>
      <c r="T111" s="8" t="n">
        <v>200</v>
      </c>
    </row>
    <row r="112">
      <c r="A112" s="8" t="inlineStr"/>
      <c r="B112" s="8" t="inlineStr"/>
      <c r="C112" s="8" t="inlineStr">
        <is>
          <t>c) Máy thi công</t>
        </is>
      </c>
      <c r="E112" s="8" t="inlineStr"/>
      <c r="F112" s="8" t="inlineStr"/>
      <c r="G112" s="8" t="inlineStr"/>
      <c r="H112" s="8" t="inlineStr"/>
      <c r="I112" s="8" t="inlineStr"/>
      <c r="J112" s="8" t="inlineStr"/>
      <c r="K112" s="8" t="inlineStr"/>
      <c r="L112" s="8" t="inlineStr"/>
      <c r="M112" s="8" t="inlineStr"/>
      <c r="N112" s="8" t="inlineStr"/>
      <c r="O112" s="8" t="inlineStr"/>
      <c r="P112" s="8" t="inlineStr"/>
      <c r="Q112" s="8" t="inlineStr"/>
      <c r="R112" s="8" t="inlineStr"/>
      <c r="S112" s="8" t="inlineStr"/>
      <c r="T112" s="8" t="inlineStr"/>
    </row>
    <row r="113">
      <c r="A113" s="8" t="inlineStr"/>
      <c r="B113" s="8" t="inlineStr">
        <is>
          <t>M112.1701</t>
        </is>
      </c>
      <c r="C113" s="8" t="inlineStr">
        <is>
          <t>Máy khoan bê tông cầm tay 0,62 kW</t>
        </is>
      </c>
      <c r="E113" s="8" t="inlineStr">
        <is>
          <t>ca</t>
        </is>
      </c>
      <c r="F113" s="8" t="inlineStr"/>
      <c r="G113" s="8" t="inlineStr"/>
      <c r="H113" s="8" t="inlineStr"/>
      <c r="I113" s="8" t="n">
        <v>0.3</v>
      </c>
      <c r="J113" s="8" t="n">
        <v>1</v>
      </c>
      <c r="K113" s="8" t="inlineStr"/>
      <c r="L113" s="8" t="inlineStr"/>
      <c r="M113" s="8" t="n">
        <v>0.6</v>
      </c>
      <c r="N113" s="8" t="inlineStr"/>
      <c r="O113" s="8" t="inlineStr"/>
      <c r="P113" s="8" t="inlineStr"/>
      <c r="Q113" s="8" t="inlineStr"/>
      <c r="R113" s="8" t="inlineStr"/>
      <c r="S113" s="8" t="inlineStr"/>
      <c r="T113" s="8" t="n">
        <v>303</v>
      </c>
    </row>
    <row r="114">
      <c r="A114" s="8" t="inlineStr">
        <is>
          <t>HAO PHÍ VẬT LIỆU, NHÂN CÔNG, MÁY CHO CÁC CÔNG TÁC</t>
        </is>
      </c>
      <c r="B114" s="8" t="inlineStr"/>
      <c r="C114" s="8" t="inlineStr"/>
      <c r="E114" s="8" t="inlineStr"/>
      <c r="F114" s="8" t="inlineStr"/>
      <c r="G114" s="8" t="inlineStr"/>
      <c r="H114" s="8" t="inlineStr"/>
      <c r="I114" s="8" t="inlineStr"/>
      <c r="J114" s="8" t="inlineStr"/>
      <c r="K114" s="8" t="inlineStr"/>
      <c r="L114" s="8" t="inlineStr"/>
      <c r="M114" s="8" t="inlineStr"/>
      <c r="N114" s="8" t="inlineStr"/>
      <c r="O114" s="8" t="inlineStr"/>
      <c r="P114" s="8" t="inlineStr"/>
      <c r="Q114" s="8" t="inlineStr"/>
      <c r="R114" s="8" t="inlineStr"/>
      <c r="S114" s="8" t="inlineStr"/>
      <c r="T114" s="8" t="inlineStr"/>
    </row>
    <row r="115">
      <c r="A115" s="8" t="inlineStr">
        <is>
          <t>DỰ ÁN: XÂY DỰNG NHÀ Ở CHO LỰC LƯỢNG VŨ TRANG CÔNG AN NHÂN DÂN TẠI Ô ĐẤT NO1 THUỘC LÔ ĐẤT D12 KHU ĐÔ THỊ MỚI CẦU GIẤY,
 PHƯỜNG CẦU GIẤY, THÀNH PHỐ HÀ NỘI</t>
        </is>
      </c>
      <c r="B115" s="8" t="inlineStr"/>
      <c r="C115" s="8" t="inlineStr"/>
      <c r="E115" s="8" t="inlineStr"/>
      <c r="F115" s="8" t="inlineStr"/>
      <c r="G115" s="8" t="inlineStr"/>
      <c r="H115" s="8" t="inlineStr"/>
      <c r="I115" s="8" t="inlineStr"/>
      <c r="J115" s="8" t="inlineStr"/>
      <c r="K115" s="8" t="inlineStr"/>
      <c r="L115" s="8" t="inlineStr"/>
      <c r="M115" s="8" t="inlineStr"/>
      <c r="N115" s="8" t="inlineStr">
        <is>
          <t>VL khác, Máy khác</t>
        </is>
      </c>
      <c r="O115" s="8" t="inlineStr"/>
      <c r="P115" s="8" t="inlineStr"/>
      <c r="Q115" s="8" t="inlineStr"/>
      <c r="R115" s="8" t="inlineStr"/>
      <c r="S115" s="8" t="inlineStr"/>
      <c r="T115" s="8" t="inlineStr"/>
    </row>
    <row r="116">
      <c r="A116" s="8" t="inlineStr">
        <is>
          <t>HẠNG MỤC: ĐIỀU HÒA KHÔNG KHÍ &amp; THÔNG GIÓ - VẬT TƯ XÂY LẮP</t>
        </is>
      </c>
      <c r="B116" s="8" t="inlineStr"/>
      <c r="C116" s="8" t="inlineStr"/>
      <c r="E116" s="8" t="inlineStr"/>
      <c r="F116" s="8" t="inlineStr"/>
      <c r="G116" s="8" t="inlineStr"/>
      <c r="H116" s="8" t="inlineStr"/>
      <c r="I116" s="8" t="inlineStr"/>
      <c r="J116" s="8" t="inlineStr"/>
      <c r="K116" s="8" t="inlineStr"/>
      <c r="L116" s="8" t="inlineStr"/>
      <c r="M116" s="8" t="inlineStr"/>
      <c r="N116" s="8" t="inlineStr">
        <is>
          <t>VLK gốc</t>
        </is>
      </c>
      <c r="O116" s="8" t="inlineStr">
        <is>
          <t>MK gốc</t>
        </is>
      </c>
      <c r="P116" s="8" t="inlineStr">
        <is>
          <t>VLK HT</t>
        </is>
      </c>
      <c r="Q116" s="8" t="inlineStr">
        <is>
          <t>MK HT</t>
        </is>
      </c>
      <c r="R116" s="8" t="inlineStr"/>
      <c r="S116" s="8" t="inlineStr"/>
      <c r="T116" s="8" t="inlineStr">
        <is>
          <t>So sánh</t>
        </is>
      </c>
    </row>
    <row r="117">
      <c r="A117" s="8" t="inlineStr">
        <is>
          <t>STT</t>
        </is>
      </c>
      <c r="B117" s="8" t="inlineStr">
        <is>
          <t>Mã hiệu</t>
        </is>
      </c>
      <c r="C117" s="8" t="inlineStr">
        <is>
          <t>Tên công tác / vật tư</t>
        </is>
      </c>
      <c r="E117" s="8" t="inlineStr">
        <is>
          <t>Đơn vị</t>
        </is>
      </c>
      <c r="F117" s="8" t="inlineStr">
        <is>
          <t>Khối lượng</t>
        </is>
      </c>
      <c r="G117" s="8" t="inlineStr">
        <is>
          <t>Định mức hao phí</t>
        </is>
      </c>
      <c r="H117" s="8" t="n">
        <v>0</v>
      </c>
      <c r="I117" s="8" t="n">
        <v>0</v>
      </c>
      <c r="J117" s="8" t="inlineStr">
        <is>
          <t>Hệ số</t>
        </is>
      </c>
      <c r="K117" s="8" t="inlineStr">
        <is>
          <t>Khối lượng hao phí</t>
        </is>
      </c>
      <c r="L117" s="8" t="n">
        <v>0</v>
      </c>
      <c r="M117" s="8" t="n">
        <v>0</v>
      </c>
      <c r="N117" s="8" t="n">
        <v>0</v>
      </c>
      <c r="O117" s="8" t="inlineStr"/>
      <c r="P117" s="8" t="n">
        <v>10880399.17973858</v>
      </c>
      <c r="Q117" s="8" t="inlineStr"/>
      <c r="R117" s="8" t="inlineStr"/>
      <c r="S117" s="8" t="inlineStr"/>
      <c r="T117" s="8" t="inlineStr"/>
    </row>
    <row r="118">
      <c r="A118" s="8" t="n">
        <v>0</v>
      </c>
      <c r="B118" s="8" t="n">
        <v>0</v>
      </c>
      <c r="C118" s="8" t="n">
        <v>0</v>
      </c>
      <c r="E118" s="8" t="n">
        <v>0</v>
      </c>
      <c r="F118" s="8" t="n">
        <v>0</v>
      </c>
      <c r="G118" s="8" t="inlineStr">
        <is>
          <t>Vật liệu</t>
        </is>
      </c>
      <c r="H118" s="8" t="inlineStr">
        <is>
          <t>N. công</t>
        </is>
      </c>
      <c r="I118" s="8" t="inlineStr">
        <is>
          <t>Máy</t>
        </is>
      </c>
      <c r="J118" s="8" t="n">
        <v>0</v>
      </c>
      <c r="K118" s="8" t="inlineStr">
        <is>
          <t>Vật liệu</t>
        </is>
      </c>
      <c r="L118" s="8" t="inlineStr">
        <is>
          <t>Nhân công</t>
        </is>
      </c>
      <c r="M118" s="8" t="inlineStr">
        <is>
          <t>Máy</t>
        </is>
      </c>
      <c r="N118" s="8" t="inlineStr"/>
      <c r="O118" s="8" t="inlineStr"/>
      <c r="P118" s="8" t="inlineStr"/>
      <c r="Q118" s="8" t="inlineStr"/>
      <c r="R118" s="8" t="inlineStr"/>
      <c r="S118" s="8" t="inlineStr"/>
      <c r="T118" s="8" t="inlineStr"/>
    </row>
    <row r="119">
      <c r="A119" s="8" t="inlineStr"/>
      <c r="B119" s="8" t="inlineStr">
        <is>
          <t>*</t>
        </is>
      </c>
      <c r="C119" s="8" t="inlineStr">
        <is>
          <t>Ống đồng</t>
        </is>
      </c>
      <c r="E119" s="8" t="n">
        <v>0</v>
      </c>
      <c r="F119" s="8" t="n">
        <v>0</v>
      </c>
      <c r="G119" s="8" t="inlineStr"/>
      <c r="H119" s="8" t="inlineStr"/>
      <c r="I119" s="8" t="inlineStr"/>
      <c r="J119" s="8" t="inlineStr"/>
      <c r="K119" s="8" t="inlineStr"/>
      <c r="L119" s="8" t="inlineStr"/>
      <c r="M119" s="8" t="inlineStr"/>
      <c r="N119" s="8" t="inlineStr"/>
      <c r="O119" s="8" t="inlineStr"/>
      <c r="P119" s="8" t="inlineStr"/>
      <c r="Q119" s="8" t="inlineStr"/>
      <c r="R119" s="8" t="inlineStr"/>
      <c r="S119" s="8" t="inlineStr"/>
      <c r="T119" s="8" t="inlineStr"/>
    </row>
    <row r="120">
      <c r="A120" s="8" t="n">
        <v>1</v>
      </c>
      <c r="B120" s="11" t="inlineStr">
        <is>
          <t>BB.51001</t>
        </is>
      </c>
      <c r="C120" s="8" t="inlineStr">
        <is>
          <t>Ống đồng_D6.4_0.81mm</t>
        </is>
      </c>
      <c r="D120" s="12">
        <f>HYPERLINK("tt38://pl3/100", "👉 Phụ lục III - Trang 100 (Khớp nhóm BB.5100)")</f>
        <v/>
      </c>
      <c r="E120" s="8" t="inlineStr">
        <is>
          <t>100m</t>
        </is>
      </c>
      <c r="F120" s="8" t="n">
        <v>0.8</v>
      </c>
      <c r="G120" s="8" t="inlineStr"/>
      <c r="H120" s="8" t="inlineStr"/>
      <c r="I120" s="8" t="inlineStr"/>
      <c r="J120" s="8" t="inlineStr"/>
      <c r="K120" s="8" t="inlineStr"/>
      <c r="L120" s="8" t="inlineStr"/>
      <c r="M120" s="8" t="inlineStr"/>
      <c r="N120" s="8" t="inlineStr"/>
      <c r="O120" s="8" t="inlineStr"/>
      <c r="P120" s="8" t="inlineStr"/>
      <c r="Q120" s="8" t="inlineStr"/>
      <c r="R120" s="8" t="inlineStr"/>
      <c r="S120" s="8" t="inlineStr"/>
      <c r="T120" s="8" t="inlineStr"/>
    </row>
    <row r="121">
      <c r="A121" s="8" t="inlineStr"/>
      <c r="B121" s="8" t="inlineStr"/>
      <c r="C121" s="8" t="inlineStr">
        <is>
          <t>a) Vật liệu</t>
        </is>
      </c>
      <c r="E121" s="8" t="inlineStr"/>
      <c r="F121" s="8" t="inlineStr"/>
      <c r="G121" s="8" t="inlineStr"/>
      <c r="H121" s="8" t="inlineStr"/>
      <c r="I121" s="8" t="inlineStr"/>
      <c r="J121" s="8" t="inlineStr"/>
      <c r="K121" s="8" t="inlineStr"/>
      <c r="L121" s="8" t="inlineStr"/>
      <c r="M121" s="8" t="inlineStr"/>
      <c r="N121" s="8" t="inlineStr"/>
      <c r="O121" s="8" t="inlineStr"/>
      <c r="P121" s="8" t="inlineStr"/>
      <c r="Q121" s="8" t="inlineStr"/>
      <c r="R121" s="8" t="inlineStr"/>
      <c r="S121" s="8" t="inlineStr"/>
      <c r="T121" s="8" t="inlineStr"/>
    </row>
    <row r="122">
      <c r="A122" s="8" t="inlineStr"/>
      <c r="B122" s="8" t="inlineStr">
        <is>
          <t>A33.0458</t>
        </is>
      </c>
      <c r="C122" s="8" t="inlineStr">
        <is>
          <t>Ống đồng_D6.4_0.81mm</t>
        </is>
      </c>
      <c r="E122" s="8" t="inlineStr">
        <is>
          <t>m</t>
        </is>
      </c>
      <c r="F122" s="8" t="inlineStr"/>
      <c r="G122" s="8" t="n">
        <v>100.5</v>
      </c>
      <c r="H122" s="8" t="inlineStr"/>
      <c r="I122" s="8" t="inlineStr"/>
      <c r="J122" s="8" t="n">
        <v>1</v>
      </c>
      <c r="K122" s="8" t="n">
        <v>80.40000000000001</v>
      </c>
      <c r="L122" s="8" t="inlineStr"/>
      <c r="M122" s="8" t="inlineStr"/>
      <c r="N122" s="8" t="inlineStr"/>
      <c r="O122" s="8" t="inlineStr"/>
      <c r="P122" s="8" t="inlineStr"/>
      <c r="Q122" s="8" t="inlineStr"/>
      <c r="R122" s="8" t="n">
        <v>0</v>
      </c>
      <c r="S122" s="8" t="n">
        <v>0</v>
      </c>
      <c r="T122" s="8" t="n">
        <v>1130</v>
      </c>
    </row>
    <row r="123">
      <c r="A123" s="8" t="inlineStr"/>
      <c r="B123" s="8" t="inlineStr">
        <is>
          <t>A33.0113</t>
        </is>
      </c>
      <c r="C123" s="8" t="inlineStr">
        <is>
          <t>Que hàn đồng</t>
        </is>
      </c>
      <c r="E123" s="8" t="inlineStr">
        <is>
          <t>kg</t>
        </is>
      </c>
      <c r="F123" s="8" t="inlineStr"/>
      <c r="G123" s="8" t="n">
        <v>0.065</v>
      </c>
      <c r="H123" s="8" t="inlineStr"/>
      <c r="I123" s="8" t="inlineStr"/>
      <c r="J123" s="8" t="n">
        <v>1</v>
      </c>
      <c r="K123" s="8" t="n">
        <v>0.052</v>
      </c>
      <c r="L123" s="8" t="inlineStr"/>
      <c r="M123" s="8" t="inlineStr"/>
      <c r="N123" s="8" t="inlineStr"/>
      <c r="O123" s="8" t="inlineStr"/>
      <c r="P123" s="8" t="inlineStr"/>
      <c r="Q123" s="8" t="inlineStr"/>
      <c r="R123" s="8" t="n">
        <v>0</v>
      </c>
      <c r="S123" s="8" t="n">
        <v>0</v>
      </c>
      <c r="T123" s="8" t="n">
        <v>1137</v>
      </c>
    </row>
    <row r="124">
      <c r="A124" s="8" t="inlineStr"/>
      <c r="B124" s="8" t="inlineStr">
        <is>
          <t>A33.0001</t>
        </is>
      </c>
      <c r="C124" s="8" t="inlineStr">
        <is>
          <t>Ô xy</t>
        </is>
      </c>
      <c r="E124" s="8" t="inlineStr">
        <is>
          <t>chai</t>
        </is>
      </c>
      <c r="F124" s="8" t="inlineStr"/>
      <c r="G124" s="8" t="n">
        <v>0.003</v>
      </c>
      <c r="H124" s="8" t="inlineStr"/>
      <c r="I124" s="8" t="inlineStr"/>
      <c r="J124" s="8" t="n">
        <v>1</v>
      </c>
      <c r="K124" s="8" t="n">
        <v>0.0024</v>
      </c>
      <c r="L124" s="8" t="inlineStr"/>
      <c r="M124" s="8" t="inlineStr"/>
      <c r="N124" s="8" t="inlineStr"/>
      <c r="O124" s="8" t="inlineStr"/>
      <c r="P124" s="8" t="inlineStr"/>
      <c r="Q124" s="8" t="inlineStr"/>
      <c r="R124" s="8" t="n">
        <v>0</v>
      </c>
      <c r="S124" s="8" t="n">
        <v>0</v>
      </c>
      <c r="T124" s="8" t="n">
        <v>1122</v>
      </c>
    </row>
    <row r="125">
      <c r="A125" s="8" t="inlineStr"/>
      <c r="B125" s="8" t="inlineStr">
        <is>
          <t>A24.0931</t>
        </is>
      </c>
      <c r="C125" s="8" t="inlineStr">
        <is>
          <t>Khí gas</t>
        </is>
      </c>
      <c r="E125" s="8" t="inlineStr">
        <is>
          <t>kg</t>
        </is>
      </c>
      <c r="F125" s="8" t="inlineStr"/>
      <c r="G125" s="8" t="n">
        <v>0.006</v>
      </c>
      <c r="H125" s="8" t="inlineStr"/>
      <c r="I125" s="8" t="inlineStr"/>
      <c r="J125" s="8" t="n">
        <v>1</v>
      </c>
      <c r="K125" s="8" t="n">
        <v>0.0048</v>
      </c>
      <c r="L125" s="8" t="inlineStr"/>
      <c r="M125" s="8" t="inlineStr"/>
      <c r="N125" s="8" t="inlineStr"/>
      <c r="O125" s="8" t="inlineStr"/>
      <c r="P125" s="8" t="inlineStr"/>
      <c r="Q125" s="8" t="inlineStr"/>
      <c r="R125" s="8" t="n">
        <v>0</v>
      </c>
      <c r="S125" s="8" t="n">
        <v>0</v>
      </c>
      <c r="T125" s="8" t="n">
        <v>1120</v>
      </c>
    </row>
    <row r="126">
      <c r="A126" s="8" t="inlineStr"/>
      <c r="B126" s="8" t="inlineStr">
        <is>
          <t>A33.0469</t>
        </is>
      </c>
      <c r="C126" s="8" t="inlineStr">
        <is>
          <t>Thuốc hàn</t>
        </is>
      </c>
      <c r="E126" s="8" t="inlineStr">
        <is>
          <t>kg</t>
        </is>
      </c>
      <c r="F126" s="8" t="inlineStr"/>
      <c r="G126" s="8" t="n">
        <v>0.004</v>
      </c>
      <c r="H126" s="8" t="inlineStr"/>
      <c r="I126" s="8" t="inlineStr"/>
      <c r="J126" s="8" t="n">
        <v>1</v>
      </c>
      <c r="K126" s="8" t="n">
        <v>0.0032</v>
      </c>
      <c r="L126" s="8" t="inlineStr"/>
      <c r="M126" s="8" t="inlineStr"/>
      <c r="N126" s="8" t="inlineStr"/>
      <c r="O126" s="8" t="inlineStr"/>
      <c r="P126" s="8" t="inlineStr"/>
      <c r="Q126" s="8" t="inlineStr"/>
      <c r="R126" s="8" t="n">
        <v>0</v>
      </c>
      <c r="S126" s="8" t="n">
        <v>0</v>
      </c>
      <c r="T126" s="8" t="n">
        <v>1138</v>
      </c>
    </row>
    <row r="127">
      <c r="A127" s="8" t="inlineStr"/>
      <c r="B127" s="8" t="inlineStr">
        <is>
          <t>Z999</t>
        </is>
      </c>
      <c r="C127" s="8" t="inlineStr">
        <is>
          <t>Vật liệu khác</t>
        </is>
      </c>
      <c r="E127" s="8" t="inlineStr">
        <is>
          <t>%</t>
        </is>
      </c>
      <c r="F127" s="8" t="inlineStr"/>
      <c r="G127" s="8" t="n">
        <v>0.01</v>
      </c>
      <c r="H127" s="8" t="inlineStr"/>
      <c r="I127" s="8" t="inlineStr"/>
      <c r="J127" s="8" t="inlineStr"/>
      <c r="K127" s="8" t="inlineStr"/>
      <c r="L127" s="8" t="inlineStr"/>
      <c r="M127" s="8" t="inlineStr"/>
      <c r="N127" s="8" t="n">
        <v>0</v>
      </c>
      <c r="O127" s="8" t="inlineStr"/>
      <c r="P127" s="8" t="n">
        <v>406.54998544</v>
      </c>
      <c r="Q127" s="8" t="inlineStr"/>
      <c r="R127" s="8" t="inlineStr"/>
      <c r="S127" s="8" t="inlineStr"/>
      <c r="T127" s="8" t="inlineStr"/>
    </row>
    <row r="128">
      <c r="A128" s="8" t="inlineStr"/>
      <c r="B128" s="8" t="inlineStr"/>
      <c r="C128" s="8" t="inlineStr">
        <is>
          <t>b) Nhân công</t>
        </is>
      </c>
      <c r="E128" s="8" t="inlineStr"/>
      <c r="F128" s="8" t="inlineStr"/>
      <c r="G128" s="8" t="inlineStr"/>
      <c r="H128" s="8" t="inlineStr"/>
      <c r="I128" s="8" t="inlineStr"/>
      <c r="J128" s="8" t="inlineStr"/>
      <c r="K128" s="8" t="inlineStr"/>
      <c r="L128" s="8" t="inlineStr"/>
      <c r="M128" s="8" t="inlineStr"/>
      <c r="N128" s="8" t="inlineStr"/>
      <c r="O128" s="8" t="inlineStr"/>
      <c r="P128" s="8" t="inlineStr"/>
      <c r="Q128" s="8" t="inlineStr"/>
      <c r="R128" s="8" t="inlineStr"/>
      <c r="S128" s="8" t="inlineStr"/>
      <c r="T128" s="8" t="inlineStr"/>
    </row>
    <row r="129">
      <c r="A129" s="8" t="inlineStr"/>
      <c r="B129" s="8" t="inlineStr">
        <is>
          <t>N3</t>
        </is>
      </c>
      <c r="C129" s="8" t="inlineStr">
        <is>
          <t>Nhân công nhóm 3</t>
        </is>
      </c>
      <c r="E129" s="8" t="inlineStr">
        <is>
          <t>công</t>
        </is>
      </c>
      <c r="F129" s="8" t="inlineStr"/>
      <c r="G129" s="8" t="inlineStr"/>
      <c r="H129" s="8" t="n">
        <v>13.5</v>
      </c>
      <c r="I129" s="8" t="inlineStr"/>
      <c r="J129" s="8" t="n">
        <v>1</v>
      </c>
      <c r="K129" s="8" t="inlineStr"/>
      <c r="L129" s="8" t="n">
        <v>10.8</v>
      </c>
      <c r="M129" s="8" t="inlineStr"/>
      <c r="N129" s="8" t="inlineStr"/>
      <c r="O129" s="8" t="inlineStr"/>
      <c r="P129" s="8" t="inlineStr"/>
      <c r="Q129" s="8" t="inlineStr"/>
      <c r="R129" s="8" t="inlineStr"/>
      <c r="S129" s="8" t="inlineStr"/>
      <c r="T129" s="8" t="n">
        <v>210</v>
      </c>
    </row>
    <row r="130">
      <c r="A130" s="8" t="n">
        <v>2</v>
      </c>
      <c r="B130" s="11" t="inlineStr">
        <is>
          <t>BB.51002</t>
        </is>
      </c>
      <c r="C130" s="8" t="inlineStr">
        <is>
          <t>Ống đồng_D9.5_0.81mm</t>
        </is>
      </c>
      <c r="D130" s="12">
        <f>HYPERLINK("tt38://pl3/100", "👉 Phụ lục III - Trang 100 (Khớp nhóm BB.5100)")</f>
        <v/>
      </c>
      <c r="E130" s="8" t="inlineStr">
        <is>
          <t>100m</t>
        </is>
      </c>
      <c r="F130" s="8" t="n">
        <v>23.4</v>
      </c>
      <c r="G130" s="8" t="inlineStr"/>
      <c r="H130" s="8" t="inlineStr"/>
      <c r="I130" s="8" t="inlineStr"/>
      <c r="J130" s="8" t="inlineStr"/>
      <c r="K130" s="8" t="inlineStr"/>
      <c r="L130" s="8" t="inlineStr"/>
      <c r="M130" s="8" t="inlineStr"/>
      <c r="N130" s="8" t="inlineStr"/>
      <c r="O130" s="8" t="inlineStr"/>
      <c r="P130" s="8" t="inlineStr"/>
      <c r="Q130" s="8" t="inlineStr"/>
      <c r="R130" s="8" t="inlineStr"/>
      <c r="S130" s="8" t="inlineStr"/>
      <c r="T130" s="8" t="inlineStr"/>
    </row>
    <row r="131">
      <c r="A131" s="8" t="inlineStr"/>
      <c r="B131" s="8" t="inlineStr"/>
      <c r="C131" s="8" t="inlineStr">
        <is>
          <t>a) Vật liệu</t>
        </is>
      </c>
      <c r="E131" s="8" t="inlineStr"/>
      <c r="F131" s="8" t="inlineStr"/>
      <c r="G131" s="8" t="inlineStr"/>
      <c r="H131" s="8" t="inlineStr"/>
      <c r="I131" s="8" t="inlineStr"/>
      <c r="J131" s="8" t="inlineStr"/>
      <c r="K131" s="8" t="inlineStr"/>
      <c r="L131" s="8" t="inlineStr"/>
      <c r="M131" s="8" t="inlineStr"/>
      <c r="N131" s="8" t="inlineStr"/>
      <c r="O131" s="8" t="inlineStr"/>
      <c r="P131" s="8" t="inlineStr"/>
      <c r="Q131" s="8" t="inlineStr"/>
      <c r="R131" s="8" t="inlineStr"/>
      <c r="S131" s="8" t="inlineStr"/>
      <c r="T131" s="8" t="inlineStr"/>
    </row>
    <row r="132">
      <c r="A132" s="8" t="inlineStr"/>
      <c r="B132" s="8" t="inlineStr">
        <is>
          <t>A33.0459</t>
        </is>
      </c>
      <c r="C132" s="8" t="inlineStr">
        <is>
          <t>Ống đồng_D9.5_0.81mm</t>
        </is>
      </c>
      <c r="E132" s="8" t="inlineStr">
        <is>
          <t>m</t>
        </is>
      </c>
      <c r="F132" s="8" t="inlineStr"/>
      <c r="G132" s="8" t="n">
        <v>100.5</v>
      </c>
      <c r="H132" s="8" t="inlineStr"/>
      <c r="I132" s="8" t="inlineStr"/>
      <c r="J132" s="8" t="n">
        <v>1</v>
      </c>
      <c r="K132" s="8" t="n">
        <v>2351.7</v>
      </c>
      <c r="L132" s="8" t="inlineStr"/>
      <c r="M132" s="8" t="inlineStr"/>
      <c r="N132" s="8" t="inlineStr"/>
      <c r="O132" s="8" t="inlineStr"/>
      <c r="P132" s="8" t="inlineStr"/>
      <c r="Q132" s="8" t="inlineStr"/>
      <c r="R132" s="8" t="n">
        <v>0</v>
      </c>
      <c r="S132" s="8" t="n">
        <v>0</v>
      </c>
      <c r="T132" s="8" t="n">
        <v>1131</v>
      </c>
    </row>
    <row r="133">
      <c r="A133" s="8" t="inlineStr"/>
      <c r="B133" s="8" t="inlineStr">
        <is>
          <t>A33.0113</t>
        </is>
      </c>
      <c r="C133" s="8" t="inlineStr">
        <is>
          <t>Que hàn đồng</t>
        </is>
      </c>
      <c r="E133" s="8" t="inlineStr">
        <is>
          <t>kg</t>
        </is>
      </c>
      <c r="F133" s="8" t="inlineStr"/>
      <c r="G133" s="8" t="n">
        <v>0.08699999999999999</v>
      </c>
      <c r="H133" s="8" t="inlineStr"/>
      <c r="I133" s="8" t="inlineStr"/>
      <c r="J133" s="8" t="n">
        <v>1</v>
      </c>
      <c r="K133" s="8" t="n">
        <v>2.0358</v>
      </c>
      <c r="L133" s="8" t="inlineStr"/>
      <c r="M133" s="8" t="inlineStr"/>
      <c r="N133" s="8" t="inlineStr"/>
      <c r="O133" s="8" t="inlineStr"/>
      <c r="P133" s="8" t="inlineStr"/>
      <c r="Q133" s="8" t="inlineStr"/>
      <c r="R133" s="8" t="n">
        <v>0</v>
      </c>
      <c r="S133" s="8" t="n">
        <v>0</v>
      </c>
      <c r="T133" s="8" t="n">
        <v>1137</v>
      </c>
    </row>
    <row r="134">
      <c r="A134" s="8" t="inlineStr"/>
      <c r="B134" s="8" t="inlineStr">
        <is>
          <t>A33.0001</t>
        </is>
      </c>
      <c r="C134" s="8" t="inlineStr">
        <is>
          <t>Ô xy</t>
        </is>
      </c>
      <c r="E134" s="8" t="inlineStr">
        <is>
          <t>chai</t>
        </is>
      </c>
      <c r="F134" s="8" t="inlineStr"/>
      <c r="G134" s="8" t="n">
        <v>0.004</v>
      </c>
      <c r="H134" s="8" t="inlineStr"/>
      <c r="I134" s="8" t="inlineStr"/>
      <c r="J134" s="8" t="n">
        <v>1</v>
      </c>
      <c r="K134" s="8" t="n">
        <v>0.0936</v>
      </c>
      <c r="L134" s="8" t="inlineStr"/>
      <c r="M134" s="8" t="inlineStr"/>
      <c r="N134" s="8" t="inlineStr"/>
      <c r="O134" s="8" t="inlineStr"/>
      <c r="P134" s="8" t="inlineStr"/>
      <c r="Q134" s="8" t="inlineStr"/>
      <c r="R134" s="8" t="n">
        <v>0</v>
      </c>
      <c r="S134" s="8" t="n">
        <v>0</v>
      </c>
      <c r="T134" s="8" t="n">
        <v>1122</v>
      </c>
    </row>
    <row r="135">
      <c r="A135" s="8" t="inlineStr"/>
      <c r="B135" s="8" t="inlineStr">
        <is>
          <t>A24.0931</t>
        </is>
      </c>
      <c r="C135" s="8" t="inlineStr">
        <is>
          <t>Khí gas</t>
        </is>
      </c>
      <c r="E135" s="8" t="inlineStr">
        <is>
          <t>kg</t>
        </is>
      </c>
      <c r="F135" s="8" t="inlineStr"/>
      <c r="G135" s="8" t="n">
        <v>0.008</v>
      </c>
      <c r="H135" s="8" t="inlineStr"/>
      <c r="I135" s="8" t="inlineStr"/>
      <c r="J135" s="8" t="n">
        <v>1</v>
      </c>
      <c r="K135" s="8" t="n">
        <v>0.1872</v>
      </c>
      <c r="L135" s="8" t="inlineStr"/>
      <c r="M135" s="8" t="inlineStr"/>
      <c r="N135" s="8" t="inlineStr"/>
      <c r="O135" s="8" t="inlineStr"/>
      <c r="P135" s="8" t="inlineStr"/>
      <c r="Q135" s="8" t="inlineStr"/>
      <c r="R135" s="8" t="n">
        <v>0</v>
      </c>
      <c r="S135" s="8" t="n">
        <v>0</v>
      </c>
      <c r="T135" s="8" t="n">
        <v>1120</v>
      </c>
    </row>
    <row r="136">
      <c r="A136" s="8" t="inlineStr"/>
      <c r="B136" s="8" t="inlineStr">
        <is>
          <t>A33.0469</t>
        </is>
      </c>
      <c r="C136" s="8" t="inlineStr">
        <is>
          <t>Thuốc hàn</t>
        </is>
      </c>
      <c r="E136" s="8" t="inlineStr">
        <is>
          <t>kg</t>
        </is>
      </c>
      <c r="F136" s="8" t="inlineStr"/>
      <c r="G136" s="8" t="n">
        <v>0.006</v>
      </c>
      <c r="H136" s="8" t="inlineStr"/>
      <c r="I136" s="8" t="inlineStr"/>
      <c r="J136" s="8" t="n">
        <v>1</v>
      </c>
      <c r="K136" s="8" t="n">
        <v>0.1404</v>
      </c>
      <c r="L136" s="8" t="inlineStr"/>
      <c r="M136" s="8" t="inlineStr"/>
      <c r="N136" s="8" t="inlineStr"/>
      <c r="O136" s="8" t="inlineStr"/>
      <c r="P136" s="8" t="inlineStr"/>
      <c r="Q136" s="8" t="inlineStr"/>
      <c r="R136" s="8" t="n">
        <v>0</v>
      </c>
      <c r="S136" s="8" t="n">
        <v>0</v>
      </c>
      <c r="T136" s="8" t="n">
        <v>1138</v>
      </c>
    </row>
    <row r="137">
      <c r="A137" s="8" t="inlineStr"/>
      <c r="B137" s="8" t="inlineStr">
        <is>
          <t>Z999</t>
        </is>
      </c>
      <c r="C137" s="8" t="inlineStr">
        <is>
          <t>Vật liệu khác</t>
        </is>
      </c>
      <c r="E137" s="8" t="inlineStr">
        <is>
          <t>%</t>
        </is>
      </c>
      <c r="F137" s="8" t="inlineStr"/>
      <c r="G137" s="8" t="n">
        <v>0.01</v>
      </c>
      <c r="H137" s="8" t="inlineStr"/>
      <c r="I137" s="8" t="inlineStr"/>
      <c r="J137" s="8" t="inlineStr"/>
      <c r="K137" s="8" t="inlineStr"/>
      <c r="L137" s="8" t="inlineStr"/>
      <c r="M137" s="8" t="inlineStr"/>
      <c r="N137" s="8" t="n">
        <v>0</v>
      </c>
      <c r="O137" s="8" t="inlineStr"/>
      <c r="P137" s="8" t="n">
        <v>18677.72655216</v>
      </c>
      <c r="Q137" s="8" t="inlineStr"/>
      <c r="R137" s="8" t="inlineStr"/>
      <c r="S137" s="8" t="inlineStr"/>
      <c r="T137" s="8" t="inlineStr"/>
    </row>
    <row r="138">
      <c r="A138" s="8" t="inlineStr"/>
      <c r="B138" s="8" t="inlineStr"/>
      <c r="C138" s="8" t="inlineStr">
        <is>
          <t>b) Nhân công</t>
        </is>
      </c>
      <c r="E138" s="8" t="inlineStr"/>
      <c r="F138" s="8" t="inlineStr"/>
      <c r="G138" s="8" t="inlineStr"/>
      <c r="H138" s="8" t="inlineStr"/>
      <c r="I138" s="8" t="inlineStr"/>
      <c r="J138" s="8" t="inlineStr"/>
      <c r="K138" s="8" t="inlineStr"/>
      <c r="L138" s="8" t="inlineStr"/>
      <c r="M138" s="8" t="inlineStr"/>
      <c r="N138" s="8" t="inlineStr"/>
      <c r="O138" s="8" t="inlineStr"/>
      <c r="P138" s="8" t="inlineStr"/>
      <c r="Q138" s="8" t="inlineStr"/>
      <c r="R138" s="8" t="inlineStr"/>
      <c r="S138" s="8" t="inlineStr"/>
      <c r="T138" s="8" t="inlineStr"/>
    </row>
    <row r="139">
      <c r="A139" s="8" t="inlineStr"/>
      <c r="B139" s="8" t="inlineStr">
        <is>
          <t>N3</t>
        </is>
      </c>
      <c r="C139" s="8" t="inlineStr">
        <is>
          <t>Nhân công nhóm 3</t>
        </is>
      </c>
      <c r="E139" s="8" t="inlineStr">
        <is>
          <t>công</t>
        </is>
      </c>
      <c r="F139" s="8" t="inlineStr"/>
      <c r="G139" s="8" t="inlineStr"/>
      <c r="H139" s="8" t="n">
        <v>15.9</v>
      </c>
      <c r="I139" s="8" t="inlineStr"/>
      <c r="J139" s="8" t="n">
        <v>1</v>
      </c>
      <c r="K139" s="8" t="inlineStr"/>
      <c r="L139" s="8" t="n">
        <v>372.06</v>
      </c>
      <c r="M139" s="8" t="inlineStr"/>
      <c r="N139" s="8" t="inlineStr"/>
      <c r="O139" s="8" t="inlineStr"/>
      <c r="P139" s="8" t="inlineStr"/>
      <c r="Q139" s="8" t="inlineStr"/>
      <c r="R139" s="8" t="inlineStr"/>
      <c r="S139" s="8" t="inlineStr"/>
      <c r="T139" s="8" t="n">
        <v>210</v>
      </c>
    </row>
    <row r="140">
      <c r="A140" s="8" t="n">
        <v>3</v>
      </c>
      <c r="B140" s="11" t="inlineStr">
        <is>
          <t>BB.51003</t>
        </is>
      </c>
      <c r="C140" s="8" t="inlineStr">
        <is>
          <t>Ống đồng_D12.7_0.81mm</t>
        </is>
      </c>
      <c r="D140" s="12">
        <f>HYPERLINK("tt38://pl3/100", "👉 Phụ lục III - Trang 100 (Khớp nhóm BB.5100)")</f>
        <v/>
      </c>
      <c r="E140" s="8" t="inlineStr">
        <is>
          <t>100m</t>
        </is>
      </c>
      <c r="F140" s="8" t="n">
        <v>0.5</v>
      </c>
      <c r="G140" s="8" t="inlineStr"/>
      <c r="H140" s="8" t="inlineStr"/>
      <c r="I140" s="8" t="inlineStr"/>
      <c r="J140" s="8" t="inlineStr"/>
      <c r="K140" s="8" t="inlineStr"/>
      <c r="L140" s="8" t="inlineStr"/>
      <c r="M140" s="8" t="inlineStr"/>
      <c r="N140" s="8" t="inlineStr"/>
      <c r="O140" s="8" t="inlineStr"/>
      <c r="P140" s="8" t="inlineStr"/>
      <c r="Q140" s="8" t="inlineStr"/>
      <c r="R140" s="8" t="inlineStr"/>
      <c r="S140" s="8" t="inlineStr"/>
      <c r="T140" s="8" t="inlineStr"/>
    </row>
    <row r="141">
      <c r="A141" s="8" t="inlineStr"/>
      <c r="B141" s="8" t="inlineStr"/>
      <c r="C141" s="8" t="inlineStr">
        <is>
          <t>a) Vật liệu</t>
        </is>
      </c>
      <c r="E141" s="8" t="inlineStr"/>
      <c r="F141" s="8" t="inlineStr"/>
      <c r="G141" s="8" t="inlineStr"/>
      <c r="H141" s="8" t="inlineStr"/>
      <c r="I141" s="8" t="inlineStr"/>
      <c r="J141" s="8" t="inlineStr"/>
      <c r="K141" s="8" t="inlineStr"/>
      <c r="L141" s="8" t="inlineStr"/>
      <c r="M141" s="8" t="inlineStr"/>
      <c r="N141" s="8" t="inlineStr"/>
      <c r="O141" s="8" t="inlineStr"/>
      <c r="P141" s="8" t="inlineStr"/>
      <c r="Q141" s="8" t="inlineStr"/>
      <c r="R141" s="8" t="inlineStr"/>
      <c r="S141" s="8" t="inlineStr"/>
      <c r="T141" s="8" t="inlineStr"/>
    </row>
    <row r="142">
      <c r="A142" s="8" t="inlineStr"/>
      <c r="B142" s="8" t="inlineStr">
        <is>
          <t>A33.0460</t>
        </is>
      </c>
      <c r="C142" s="8" t="inlineStr">
        <is>
          <t>Ống đồng_D12.7_0.81mm</t>
        </is>
      </c>
      <c r="E142" s="8" t="inlineStr">
        <is>
          <t>m</t>
        </is>
      </c>
      <c r="F142" s="8" t="inlineStr"/>
      <c r="G142" s="8" t="n">
        <v>100.5</v>
      </c>
      <c r="H142" s="8" t="inlineStr"/>
      <c r="I142" s="8" t="inlineStr"/>
      <c r="J142" s="8" t="n">
        <v>1</v>
      </c>
      <c r="K142" s="8" t="n">
        <v>50.25</v>
      </c>
      <c r="L142" s="8" t="inlineStr"/>
      <c r="M142" s="8" t="inlineStr"/>
      <c r="N142" s="8" t="inlineStr"/>
      <c r="O142" s="8" t="inlineStr"/>
      <c r="P142" s="8" t="inlineStr"/>
      <c r="Q142" s="8" t="inlineStr"/>
      <c r="R142" s="8" t="n">
        <v>0</v>
      </c>
      <c r="S142" s="8" t="n">
        <v>0</v>
      </c>
      <c r="T142" s="8" t="n">
        <v>1123</v>
      </c>
    </row>
    <row r="143">
      <c r="A143" s="8" t="inlineStr"/>
      <c r="B143" s="8" t="inlineStr">
        <is>
          <t>A33.0113</t>
        </is>
      </c>
      <c r="C143" s="8" t="inlineStr">
        <is>
          <t>Que hàn đồng</t>
        </is>
      </c>
      <c r="E143" s="8" t="inlineStr">
        <is>
          <t>kg</t>
        </is>
      </c>
      <c r="F143" s="8" t="inlineStr"/>
      <c r="G143" s="8" t="n">
        <v>0.109</v>
      </c>
      <c r="H143" s="8" t="inlineStr"/>
      <c r="I143" s="8" t="inlineStr"/>
      <c r="J143" s="8" t="n">
        <v>1</v>
      </c>
      <c r="K143" s="8" t="n">
        <v>0.0545</v>
      </c>
      <c r="L143" s="8" t="inlineStr"/>
      <c r="M143" s="8" t="inlineStr"/>
      <c r="N143" s="8" t="inlineStr"/>
      <c r="O143" s="8" t="inlineStr"/>
      <c r="P143" s="8" t="inlineStr"/>
      <c r="Q143" s="8" t="inlineStr"/>
      <c r="R143" s="8" t="n">
        <v>0</v>
      </c>
      <c r="S143" s="8" t="n">
        <v>0</v>
      </c>
      <c r="T143" s="8" t="n">
        <v>1137</v>
      </c>
    </row>
    <row r="144">
      <c r="A144" s="8" t="inlineStr"/>
      <c r="B144" s="8" t="inlineStr">
        <is>
          <t>A33.0001</t>
        </is>
      </c>
      <c r="C144" s="8" t="inlineStr">
        <is>
          <t>Ô xy</t>
        </is>
      </c>
      <c r="E144" s="8" t="inlineStr">
        <is>
          <t>chai</t>
        </is>
      </c>
      <c r="F144" s="8" t="inlineStr"/>
      <c r="G144" s="8" t="n">
        <v>0.005</v>
      </c>
      <c r="H144" s="8" t="inlineStr"/>
      <c r="I144" s="8" t="inlineStr"/>
      <c r="J144" s="8" t="n">
        <v>1</v>
      </c>
      <c r="K144" s="8" t="n">
        <v>0.0025</v>
      </c>
      <c r="L144" s="8" t="inlineStr"/>
      <c r="M144" s="8" t="inlineStr"/>
      <c r="N144" s="8" t="inlineStr"/>
      <c r="O144" s="8" t="inlineStr"/>
      <c r="P144" s="8" t="inlineStr"/>
      <c r="Q144" s="8" t="inlineStr"/>
      <c r="R144" s="8" t="n">
        <v>0</v>
      </c>
      <c r="S144" s="8" t="n">
        <v>0</v>
      </c>
      <c r="T144" s="8" t="n">
        <v>1122</v>
      </c>
    </row>
    <row r="145">
      <c r="A145" s="8" t="inlineStr"/>
      <c r="B145" s="8" t="inlineStr">
        <is>
          <t>A24.0931</t>
        </is>
      </c>
      <c r="C145" s="8" t="inlineStr">
        <is>
          <t>Khí gas</t>
        </is>
      </c>
      <c r="E145" s="8" t="inlineStr">
        <is>
          <t>kg</t>
        </is>
      </c>
      <c r="F145" s="8" t="inlineStr"/>
      <c r="G145" s="8" t="n">
        <v>0.01</v>
      </c>
      <c r="H145" s="8" t="inlineStr"/>
      <c r="I145" s="8" t="inlineStr"/>
      <c r="J145" s="8" t="n">
        <v>1</v>
      </c>
      <c r="K145" s="8" t="n">
        <v>0.005</v>
      </c>
      <c r="L145" s="8" t="inlineStr"/>
      <c r="M145" s="8" t="inlineStr"/>
      <c r="N145" s="8" t="inlineStr"/>
      <c r="O145" s="8" t="inlineStr"/>
      <c r="P145" s="8" t="inlineStr"/>
      <c r="Q145" s="8" t="inlineStr"/>
      <c r="R145" s="8" t="n">
        <v>0</v>
      </c>
      <c r="S145" s="8" t="n">
        <v>0</v>
      </c>
      <c r="T145" s="8" t="n">
        <v>1120</v>
      </c>
    </row>
    <row r="146">
      <c r="A146" s="8" t="inlineStr"/>
      <c r="B146" s="8" t="inlineStr">
        <is>
          <t>A33.0469</t>
        </is>
      </c>
      <c r="C146" s="8" t="inlineStr">
        <is>
          <t>Thuốc hàn</t>
        </is>
      </c>
      <c r="E146" s="8" t="inlineStr">
        <is>
          <t>kg</t>
        </is>
      </c>
      <c r="F146" s="8" t="inlineStr"/>
      <c r="G146" s="8" t="n">
        <v>0.007</v>
      </c>
      <c r="H146" s="8" t="inlineStr"/>
      <c r="I146" s="8" t="inlineStr"/>
      <c r="J146" s="8" t="n">
        <v>1</v>
      </c>
      <c r="K146" s="8" t="n">
        <v>0.0035</v>
      </c>
      <c r="L146" s="8" t="inlineStr"/>
      <c r="M146" s="8" t="inlineStr"/>
      <c r="N146" s="8" t="inlineStr"/>
      <c r="O146" s="8" t="inlineStr"/>
      <c r="P146" s="8" t="inlineStr"/>
      <c r="Q146" s="8" t="inlineStr"/>
      <c r="R146" s="8" t="n">
        <v>0</v>
      </c>
      <c r="S146" s="8" t="n">
        <v>0</v>
      </c>
      <c r="T146" s="8" t="n">
        <v>1138</v>
      </c>
    </row>
    <row r="147">
      <c r="A147" s="8" t="inlineStr"/>
      <c r="B147" s="8" t="inlineStr">
        <is>
          <t>Z999</t>
        </is>
      </c>
      <c r="C147" s="8" t="inlineStr">
        <is>
          <t>Vật liệu khác</t>
        </is>
      </c>
      <c r="E147" s="8" t="inlineStr">
        <is>
          <t>%</t>
        </is>
      </c>
      <c r="F147" s="8" t="inlineStr"/>
      <c r="G147" s="8" t="n">
        <v>0.01</v>
      </c>
      <c r="H147" s="8" t="inlineStr"/>
      <c r="I147" s="8" t="inlineStr"/>
      <c r="J147" s="8" t="inlineStr"/>
      <c r="K147" s="8" t="inlineStr"/>
      <c r="L147" s="8" t="inlineStr"/>
      <c r="M147" s="8" t="inlineStr"/>
      <c r="N147" s="8" t="n">
        <v>0</v>
      </c>
      <c r="O147" s="8" t="inlineStr"/>
      <c r="P147" s="8" t="n">
        <v>544.0983515</v>
      </c>
      <c r="Q147" s="8" t="inlineStr"/>
      <c r="R147" s="8" t="inlineStr"/>
      <c r="S147" s="8" t="inlineStr"/>
      <c r="T147" s="8" t="inlineStr"/>
    </row>
    <row r="148">
      <c r="A148" s="8" t="inlineStr"/>
      <c r="B148" s="8" t="inlineStr"/>
      <c r="C148" s="8" t="inlineStr">
        <is>
          <t>b) Nhân công</t>
        </is>
      </c>
      <c r="E148" s="8" t="inlineStr"/>
      <c r="F148" s="8" t="inlineStr"/>
      <c r="G148" s="8" t="inlineStr"/>
      <c r="H148" s="8" t="inlineStr"/>
      <c r="I148" s="8" t="inlineStr"/>
      <c r="J148" s="8" t="inlineStr"/>
      <c r="K148" s="8" t="inlineStr"/>
      <c r="L148" s="8" t="inlineStr"/>
      <c r="M148" s="8" t="inlineStr"/>
      <c r="N148" s="8" t="inlineStr"/>
      <c r="O148" s="8" t="inlineStr"/>
      <c r="P148" s="8" t="inlineStr"/>
      <c r="Q148" s="8" t="inlineStr"/>
      <c r="R148" s="8" t="inlineStr"/>
      <c r="S148" s="8" t="inlineStr"/>
      <c r="T148" s="8" t="inlineStr"/>
    </row>
    <row r="149">
      <c r="A149" s="8" t="inlineStr"/>
      <c r="B149" s="8" t="inlineStr">
        <is>
          <t>N3</t>
        </is>
      </c>
      <c r="C149" s="8" t="inlineStr">
        <is>
          <t>Nhân công nhóm 3</t>
        </is>
      </c>
      <c r="E149" s="8" t="inlineStr">
        <is>
          <t>công</t>
        </is>
      </c>
      <c r="F149" s="8" t="inlineStr"/>
      <c r="G149" s="8" t="inlineStr"/>
      <c r="H149" s="8" t="n">
        <v>16.74</v>
      </c>
      <c r="I149" s="8" t="inlineStr"/>
      <c r="J149" s="8" t="n">
        <v>1</v>
      </c>
      <c r="K149" s="8" t="inlineStr"/>
      <c r="L149" s="8" t="n">
        <v>8.369999999999999</v>
      </c>
      <c r="M149" s="8" t="inlineStr"/>
      <c r="N149" s="8" t="inlineStr"/>
      <c r="O149" s="8" t="inlineStr"/>
      <c r="P149" s="8" t="inlineStr"/>
      <c r="Q149" s="8" t="inlineStr"/>
      <c r="R149" s="8" t="inlineStr"/>
      <c r="S149" s="8" t="inlineStr"/>
      <c r="T149" s="8" t="n">
        <v>210</v>
      </c>
    </row>
    <row r="150">
      <c r="A150" s="8" t="n">
        <v>4</v>
      </c>
      <c r="B150" s="11" t="inlineStr">
        <is>
          <t>BB.51004</t>
        </is>
      </c>
      <c r="C150" s="8" t="inlineStr">
        <is>
          <t>Ống đồng_D15.9_0.99mm</t>
        </is>
      </c>
      <c r="D150" s="12">
        <f>HYPERLINK("tt38://pl3/100", "👉 Phụ lục III - Trang 100 (Khớp nhóm BB.5100)")</f>
        <v/>
      </c>
      <c r="E150" s="8" t="inlineStr">
        <is>
          <t>100m</t>
        </is>
      </c>
      <c r="F150" s="8" t="n">
        <v>23.3</v>
      </c>
      <c r="G150" s="8" t="inlineStr"/>
      <c r="H150" s="8" t="inlineStr"/>
      <c r="I150" s="8" t="inlineStr"/>
      <c r="J150" s="8" t="inlineStr"/>
      <c r="K150" s="8" t="inlineStr"/>
      <c r="L150" s="8" t="inlineStr"/>
      <c r="M150" s="8" t="inlineStr"/>
      <c r="N150" s="8" t="inlineStr"/>
      <c r="O150" s="8" t="inlineStr"/>
      <c r="P150" s="8" t="inlineStr"/>
      <c r="Q150" s="8" t="inlineStr"/>
      <c r="R150" s="8" t="inlineStr"/>
      <c r="S150" s="8" t="inlineStr"/>
      <c r="T150" s="8" t="inlineStr"/>
    </row>
    <row r="151">
      <c r="A151" s="8" t="inlineStr"/>
      <c r="B151" s="8" t="inlineStr"/>
      <c r="C151" s="8" t="inlineStr">
        <is>
          <t>a) Vật liệu</t>
        </is>
      </c>
      <c r="E151" s="8" t="inlineStr"/>
      <c r="F151" s="8" t="inlineStr"/>
      <c r="G151" s="8" t="inlineStr"/>
      <c r="H151" s="8" t="inlineStr"/>
      <c r="I151" s="8" t="inlineStr"/>
      <c r="J151" s="8" t="inlineStr"/>
      <c r="K151" s="8" t="inlineStr"/>
      <c r="L151" s="8" t="inlineStr"/>
      <c r="M151" s="8" t="inlineStr"/>
      <c r="N151" s="8" t="inlineStr"/>
      <c r="O151" s="8" t="inlineStr"/>
      <c r="P151" s="8" t="inlineStr"/>
      <c r="Q151" s="8" t="inlineStr"/>
      <c r="R151" s="8" t="inlineStr"/>
      <c r="S151" s="8" t="inlineStr"/>
      <c r="T151" s="8" t="inlineStr"/>
    </row>
    <row r="152">
      <c r="A152" s="8" t="inlineStr"/>
      <c r="B152" s="8" t="inlineStr">
        <is>
          <t>A33.0461</t>
        </is>
      </c>
      <c r="C152" s="8" t="inlineStr">
        <is>
          <t>Ống đồng_D15.9_0.99mm</t>
        </is>
      </c>
      <c r="E152" s="8" t="inlineStr">
        <is>
          <t>m</t>
        </is>
      </c>
      <c r="F152" s="8" t="inlineStr"/>
      <c r="G152" s="8" t="n">
        <v>100.5</v>
      </c>
      <c r="H152" s="8" t="inlineStr"/>
      <c r="I152" s="8" t="inlineStr"/>
      <c r="J152" s="8" t="n">
        <v>1</v>
      </c>
      <c r="K152" s="8" t="n">
        <v>2341.65</v>
      </c>
      <c r="L152" s="8" t="inlineStr"/>
      <c r="M152" s="8" t="inlineStr"/>
      <c r="N152" s="8" t="inlineStr"/>
      <c r="O152" s="8" t="inlineStr"/>
      <c r="P152" s="8" t="inlineStr"/>
      <c r="Q152" s="8" t="inlineStr"/>
      <c r="R152" s="8" t="n">
        <v>0</v>
      </c>
      <c r="S152" s="8" t="n">
        <v>0</v>
      </c>
      <c r="T152" s="8" t="n">
        <v>1124</v>
      </c>
    </row>
    <row r="153">
      <c r="A153" s="8" t="inlineStr"/>
      <c r="B153" s="8" t="inlineStr">
        <is>
          <t>A33.0113</t>
        </is>
      </c>
      <c r="C153" s="8" t="inlineStr">
        <is>
          <t>Que hàn đồng</t>
        </is>
      </c>
      <c r="E153" s="8" t="inlineStr">
        <is>
          <t>kg</t>
        </is>
      </c>
      <c r="F153" s="8" t="inlineStr"/>
      <c r="G153" s="8" t="n">
        <v>0.125</v>
      </c>
      <c r="H153" s="8" t="inlineStr"/>
      <c r="I153" s="8" t="inlineStr"/>
      <c r="J153" s="8" t="n">
        <v>1</v>
      </c>
      <c r="K153" s="8" t="n">
        <v>2.9125</v>
      </c>
      <c r="L153" s="8" t="inlineStr"/>
      <c r="M153" s="8" t="inlineStr"/>
      <c r="N153" s="8" t="inlineStr"/>
      <c r="O153" s="8" t="inlineStr"/>
      <c r="P153" s="8" t="inlineStr"/>
      <c r="Q153" s="8" t="inlineStr"/>
      <c r="R153" s="8" t="n">
        <v>0</v>
      </c>
      <c r="S153" s="8" t="n">
        <v>0</v>
      </c>
      <c r="T153" s="8" t="n">
        <v>1137</v>
      </c>
    </row>
    <row r="154">
      <c r="A154" s="8" t="inlineStr"/>
      <c r="B154" s="8" t="inlineStr">
        <is>
          <t>A33.0001</t>
        </is>
      </c>
      <c r="C154" s="8" t="inlineStr">
        <is>
          <t>Ô xy</t>
        </is>
      </c>
      <c r="E154" s="8" t="inlineStr">
        <is>
          <t>chai</t>
        </is>
      </c>
      <c r="F154" s="8" t="inlineStr"/>
      <c r="G154" s="8" t="n">
        <v>0.006</v>
      </c>
      <c r="H154" s="8" t="inlineStr"/>
      <c r="I154" s="8" t="inlineStr"/>
      <c r="J154" s="8" t="n">
        <v>1</v>
      </c>
      <c r="K154" s="8" t="n">
        <v>0.1398</v>
      </c>
      <c r="L154" s="8" t="inlineStr"/>
      <c r="M154" s="8" t="inlineStr"/>
      <c r="N154" s="8" t="inlineStr"/>
      <c r="O154" s="8" t="inlineStr"/>
      <c r="P154" s="8" t="inlineStr"/>
      <c r="Q154" s="8" t="inlineStr"/>
      <c r="R154" s="8" t="n">
        <v>0</v>
      </c>
      <c r="S154" s="8" t="n">
        <v>0</v>
      </c>
      <c r="T154" s="8" t="n">
        <v>1122</v>
      </c>
    </row>
    <row r="155">
      <c r="A155" s="8" t="inlineStr"/>
      <c r="B155" s="8" t="inlineStr">
        <is>
          <t>A24.0931</t>
        </is>
      </c>
      <c r="C155" s="8" t="inlineStr">
        <is>
          <t>Khí gas</t>
        </is>
      </c>
      <c r="E155" s="8" t="inlineStr">
        <is>
          <t>kg</t>
        </is>
      </c>
      <c r="F155" s="8" t="inlineStr"/>
      <c r="G155" s="8" t="n">
        <v>0.012</v>
      </c>
      <c r="H155" s="8" t="inlineStr"/>
      <c r="I155" s="8" t="inlineStr"/>
      <c r="J155" s="8" t="n">
        <v>1</v>
      </c>
      <c r="K155" s="8" t="n">
        <v>0.2796</v>
      </c>
      <c r="L155" s="8" t="inlineStr"/>
      <c r="M155" s="8" t="inlineStr"/>
      <c r="N155" s="8" t="inlineStr"/>
      <c r="O155" s="8" t="inlineStr"/>
      <c r="P155" s="8" t="inlineStr"/>
      <c r="Q155" s="8" t="inlineStr"/>
      <c r="R155" s="8" t="n">
        <v>0</v>
      </c>
      <c r="S155" s="8" t="n">
        <v>0</v>
      </c>
      <c r="T155" s="8" t="n">
        <v>1120</v>
      </c>
    </row>
    <row r="156">
      <c r="A156" s="8" t="inlineStr"/>
      <c r="B156" s="8" t="inlineStr">
        <is>
          <t>A33.0469</t>
        </is>
      </c>
      <c r="C156" s="8" t="inlineStr">
        <is>
          <t>Thuốc hàn</t>
        </is>
      </c>
      <c r="E156" s="8" t="inlineStr">
        <is>
          <t>kg</t>
        </is>
      </c>
      <c r="F156" s="8" t="inlineStr"/>
      <c r="G156" s="8" t="n">
        <v>0.008</v>
      </c>
      <c r="H156" s="8" t="inlineStr"/>
      <c r="I156" s="8" t="inlineStr"/>
      <c r="J156" s="8" t="n">
        <v>1</v>
      </c>
      <c r="K156" s="8" t="n">
        <v>0.1864</v>
      </c>
      <c r="L156" s="8" t="inlineStr"/>
      <c r="M156" s="8" t="inlineStr"/>
      <c r="N156" s="8" t="inlineStr"/>
      <c r="O156" s="8" t="inlineStr"/>
      <c r="P156" s="8" t="inlineStr"/>
      <c r="Q156" s="8" t="inlineStr"/>
      <c r="R156" s="8" t="n">
        <v>0</v>
      </c>
      <c r="S156" s="8" t="n">
        <v>0</v>
      </c>
      <c r="T156" s="8" t="n">
        <v>1138</v>
      </c>
    </row>
    <row r="157">
      <c r="A157" s="8" t="inlineStr"/>
      <c r="B157" s="8" t="inlineStr">
        <is>
          <t>Z999</t>
        </is>
      </c>
      <c r="C157" s="8" t="inlineStr">
        <is>
          <t>Vật liệu khác</t>
        </is>
      </c>
      <c r="E157" s="8" t="inlineStr">
        <is>
          <t>%</t>
        </is>
      </c>
      <c r="F157" s="8" t="inlineStr"/>
      <c r="G157" s="8" t="n">
        <v>0.01</v>
      </c>
      <c r="H157" s="8" t="inlineStr"/>
      <c r="I157" s="8" t="inlineStr"/>
      <c r="J157" s="8" t="inlineStr"/>
      <c r="K157" s="8" t="inlineStr"/>
      <c r="L157" s="8" t="inlineStr"/>
      <c r="M157" s="8" t="inlineStr"/>
      <c r="N157" s="8" t="n">
        <v>0</v>
      </c>
      <c r="O157" s="8" t="inlineStr"/>
      <c r="P157" s="8" t="n">
        <v>39156.93065188</v>
      </c>
      <c r="Q157" s="8" t="inlineStr"/>
      <c r="R157" s="8" t="inlineStr"/>
      <c r="S157" s="8" t="inlineStr"/>
      <c r="T157" s="8" t="inlineStr"/>
    </row>
    <row r="158">
      <c r="A158" s="8" t="inlineStr"/>
      <c r="B158" s="8" t="inlineStr"/>
      <c r="C158" s="8" t="inlineStr">
        <is>
          <t>b) Nhân công</t>
        </is>
      </c>
      <c r="E158" s="8" t="inlineStr"/>
      <c r="F158" s="8" t="inlineStr"/>
      <c r="G158" s="8" t="inlineStr"/>
      <c r="H158" s="8" t="inlineStr"/>
      <c r="I158" s="8" t="inlineStr"/>
      <c r="J158" s="8" t="inlineStr"/>
      <c r="K158" s="8" t="inlineStr"/>
      <c r="L158" s="8" t="inlineStr"/>
      <c r="M158" s="8" t="inlineStr"/>
      <c r="N158" s="8" t="inlineStr"/>
      <c r="O158" s="8" t="inlineStr"/>
      <c r="P158" s="8" t="inlineStr"/>
      <c r="Q158" s="8" t="inlineStr"/>
      <c r="R158" s="8" t="inlineStr"/>
      <c r="S158" s="8" t="inlineStr"/>
      <c r="T158" s="8" t="inlineStr"/>
    </row>
    <row r="159">
      <c r="A159" s="8" t="inlineStr"/>
      <c r="B159" s="8" t="inlineStr">
        <is>
          <t>N3</t>
        </is>
      </c>
      <c r="C159" s="8" t="inlineStr">
        <is>
          <t>Nhân công nhóm 3</t>
        </is>
      </c>
      <c r="E159" s="8" t="inlineStr">
        <is>
          <t>công</t>
        </is>
      </c>
      <c r="F159" s="8" t="inlineStr"/>
      <c r="G159" s="8" t="inlineStr"/>
      <c r="H159" s="8" t="n">
        <v>18.39</v>
      </c>
      <c r="I159" s="8" t="inlineStr"/>
      <c r="J159" s="8" t="n">
        <v>1</v>
      </c>
      <c r="K159" s="8" t="inlineStr"/>
      <c r="L159" s="8" t="n">
        <v>428.487</v>
      </c>
      <c r="M159" s="8" t="inlineStr"/>
      <c r="N159" s="8" t="inlineStr"/>
      <c r="O159" s="8" t="inlineStr"/>
      <c r="P159" s="8" t="inlineStr"/>
      <c r="Q159" s="8" t="inlineStr"/>
      <c r="R159" s="8" t="inlineStr"/>
      <c r="S159" s="8" t="inlineStr"/>
      <c r="T159" s="8" t="n">
        <v>210</v>
      </c>
    </row>
    <row r="160">
      <c r="A160" s="8" t="n">
        <v>5</v>
      </c>
      <c r="B160" s="11" t="inlineStr">
        <is>
          <t>BB.51005</t>
        </is>
      </c>
      <c r="C160" s="8" t="inlineStr">
        <is>
          <t>Ống đồng_D19.1_0.99mm</t>
        </is>
      </c>
      <c r="D160" s="12">
        <f>HYPERLINK("tt38://pl3/100", "👉 Phụ lục III - Trang 100 (Khớp nhóm BB.5100)")</f>
        <v/>
      </c>
      <c r="E160" s="8" t="inlineStr">
        <is>
          <t>100m</t>
        </is>
      </c>
      <c r="F160" s="8" t="n">
        <v>4</v>
      </c>
      <c r="G160" s="8" t="inlineStr"/>
      <c r="H160" s="8" t="inlineStr"/>
      <c r="I160" s="8" t="inlineStr"/>
      <c r="J160" s="8" t="inlineStr"/>
      <c r="K160" s="8" t="inlineStr"/>
      <c r="L160" s="8" t="inlineStr"/>
      <c r="M160" s="8" t="inlineStr"/>
      <c r="N160" s="8" t="inlineStr"/>
      <c r="O160" s="8" t="inlineStr"/>
      <c r="P160" s="8" t="inlineStr"/>
      <c r="Q160" s="8" t="inlineStr"/>
      <c r="R160" s="8" t="inlineStr"/>
      <c r="S160" s="8" t="inlineStr"/>
      <c r="T160" s="8" t="inlineStr"/>
    </row>
    <row r="161">
      <c r="A161" s="8" t="inlineStr"/>
      <c r="B161" s="8" t="inlineStr"/>
      <c r="C161" s="8" t="inlineStr">
        <is>
          <t>a) Vật liệu</t>
        </is>
      </c>
      <c r="E161" s="8" t="inlineStr"/>
      <c r="F161" s="8" t="inlineStr"/>
      <c r="G161" s="8" t="inlineStr"/>
      <c r="H161" s="8" t="inlineStr"/>
      <c r="I161" s="8" t="inlineStr"/>
      <c r="J161" s="8" t="inlineStr"/>
      <c r="K161" s="8" t="inlineStr"/>
      <c r="L161" s="8" t="inlineStr"/>
      <c r="M161" s="8" t="inlineStr"/>
      <c r="N161" s="8" t="inlineStr"/>
      <c r="O161" s="8" t="inlineStr"/>
      <c r="P161" s="8" t="inlineStr"/>
      <c r="Q161" s="8" t="inlineStr"/>
      <c r="R161" s="8" t="inlineStr"/>
      <c r="S161" s="8" t="inlineStr"/>
      <c r="T161" s="8" t="inlineStr"/>
    </row>
    <row r="162">
      <c r="A162" s="8" t="inlineStr"/>
      <c r="B162" s="8" t="inlineStr">
        <is>
          <t>A33.0462</t>
        </is>
      </c>
      <c r="C162" s="8" t="inlineStr">
        <is>
          <t>Ống đồng_D19.1_0.99mm</t>
        </is>
      </c>
      <c r="E162" s="8" t="inlineStr">
        <is>
          <t>m</t>
        </is>
      </c>
      <c r="F162" s="8" t="inlineStr"/>
      <c r="G162" s="8" t="n">
        <v>100.5</v>
      </c>
      <c r="H162" s="8" t="inlineStr"/>
      <c r="I162" s="8" t="inlineStr"/>
      <c r="J162" s="8" t="n">
        <v>1</v>
      </c>
      <c r="K162" s="8" t="n">
        <v>402</v>
      </c>
      <c r="L162" s="8" t="inlineStr"/>
      <c r="M162" s="8" t="inlineStr"/>
      <c r="N162" s="8" t="inlineStr"/>
      <c r="O162" s="8" t="inlineStr"/>
      <c r="P162" s="8" t="inlineStr"/>
      <c r="Q162" s="8" t="inlineStr"/>
      <c r="R162" s="8" t="n">
        <v>0</v>
      </c>
      <c r="S162" s="8" t="n">
        <v>0</v>
      </c>
      <c r="T162" s="8" t="n">
        <v>1125</v>
      </c>
    </row>
    <row r="163">
      <c r="A163" s="8" t="inlineStr"/>
      <c r="B163" s="8" t="inlineStr">
        <is>
          <t>A33.0113</t>
        </is>
      </c>
      <c r="C163" s="8" t="inlineStr">
        <is>
          <t>Que hàn đồng</t>
        </is>
      </c>
      <c r="E163" s="8" t="inlineStr">
        <is>
          <t>kg</t>
        </is>
      </c>
      <c r="F163" s="8" t="inlineStr"/>
      <c r="G163" s="8" t="n">
        <v>0.132</v>
      </c>
      <c r="H163" s="8" t="inlineStr"/>
      <c r="I163" s="8" t="inlineStr"/>
      <c r="J163" s="8" t="n">
        <v>1</v>
      </c>
      <c r="K163" s="8" t="n">
        <v>0.528</v>
      </c>
      <c r="L163" s="8" t="inlineStr"/>
      <c r="M163" s="8" t="inlineStr"/>
      <c r="N163" s="8" t="inlineStr"/>
      <c r="O163" s="8" t="inlineStr"/>
      <c r="P163" s="8" t="inlineStr"/>
      <c r="Q163" s="8" t="inlineStr"/>
      <c r="R163" s="8" t="n">
        <v>0</v>
      </c>
      <c r="S163" s="8" t="n">
        <v>0</v>
      </c>
      <c r="T163" s="8" t="n">
        <v>1137</v>
      </c>
    </row>
    <row r="164">
      <c r="A164" s="8" t="inlineStr"/>
      <c r="B164" s="8" t="inlineStr">
        <is>
          <t>A33.0001</t>
        </is>
      </c>
      <c r="C164" s="8" t="inlineStr">
        <is>
          <t>Ô xy</t>
        </is>
      </c>
      <c r="E164" s="8" t="inlineStr">
        <is>
          <t>chai</t>
        </is>
      </c>
      <c r="F164" s="8" t="inlineStr"/>
      <c r="G164" s="8" t="n">
        <v>0.006</v>
      </c>
      <c r="H164" s="8" t="inlineStr"/>
      <c r="I164" s="8" t="inlineStr"/>
      <c r="J164" s="8" t="n">
        <v>1</v>
      </c>
      <c r="K164" s="8" t="n">
        <v>0.024</v>
      </c>
      <c r="L164" s="8" t="inlineStr"/>
      <c r="M164" s="8" t="inlineStr"/>
      <c r="N164" s="8" t="inlineStr"/>
      <c r="O164" s="8" t="inlineStr"/>
      <c r="P164" s="8" t="inlineStr"/>
      <c r="Q164" s="8" t="inlineStr"/>
      <c r="R164" s="8" t="n">
        <v>0</v>
      </c>
      <c r="S164" s="8" t="n">
        <v>0</v>
      </c>
      <c r="T164" s="8" t="n">
        <v>1122</v>
      </c>
    </row>
    <row r="165">
      <c r="A165" s="8" t="inlineStr"/>
      <c r="B165" s="8" t="inlineStr">
        <is>
          <t>A24.0931</t>
        </is>
      </c>
      <c r="C165" s="8" t="inlineStr">
        <is>
          <t>Khí gas</t>
        </is>
      </c>
      <c r="E165" s="8" t="inlineStr">
        <is>
          <t>kg</t>
        </is>
      </c>
      <c r="F165" s="8" t="inlineStr"/>
      <c r="G165" s="8" t="n">
        <v>0.012</v>
      </c>
      <c r="H165" s="8" t="inlineStr"/>
      <c r="I165" s="8" t="inlineStr"/>
      <c r="J165" s="8" t="n">
        <v>1</v>
      </c>
      <c r="K165" s="8" t="n">
        <v>0.048</v>
      </c>
      <c r="L165" s="8" t="inlineStr"/>
      <c r="M165" s="8" t="inlineStr"/>
      <c r="N165" s="8" t="inlineStr"/>
      <c r="O165" s="8" t="inlineStr"/>
      <c r="P165" s="8" t="inlineStr"/>
      <c r="Q165" s="8" t="inlineStr"/>
      <c r="R165" s="8" t="n">
        <v>0</v>
      </c>
      <c r="S165" s="8" t="n">
        <v>0</v>
      </c>
      <c r="T165" s="8" t="n">
        <v>1120</v>
      </c>
    </row>
    <row r="166">
      <c r="A166" s="8" t="inlineStr"/>
      <c r="B166" s="8" t="inlineStr">
        <is>
          <t>A33.0469</t>
        </is>
      </c>
      <c r="C166" s="8" t="inlineStr">
        <is>
          <t>Thuốc hàn</t>
        </is>
      </c>
      <c r="E166" s="8" t="inlineStr">
        <is>
          <t>kg</t>
        </is>
      </c>
      <c r="F166" s="8" t="inlineStr"/>
      <c r="G166" s="8" t="n">
        <v>0.09</v>
      </c>
      <c r="H166" s="8" t="inlineStr"/>
      <c r="I166" s="8" t="inlineStr"/>
      <c r="J166" s="8" t="n">
        <v>1</v>
      </c>
      <c r="K166" s="8" t="n">
        <v>0.36</v>
      </c>
      <c r="L166" s="8" t="inlineStr"/>
      <c r="M166" s="8" t="inlineStr"/>
      <c r="N166" s="8" t="inlineStr"/>
      <c r="O166" s="8" t="inlineStr"/>
      <c r="P166" s="8" t="inlineStr"/>
      <c r="Q166" s="8" t="inlineStr"/>
      <c r="R166" s="8" t="n">
        <v>0</v>
      </c>
      <c r="S166" s="8" t="n">
        <v>0</v>
      </c>
      <c r="T166" s="8" t="n">
        <v>1138</v>
      </c>
    </row>
    <row r="167">
      <c r="A167" s="8" t="inlineStr"/>
      <c r="B167" s="8" t="inlineStr">
        <is>
          <t>Z999</t>
        </is>
      </c>
      <c r="C167" s="8" t="inlineStr">
        <is>
          <t>Vật liệu khác</t>
        </is>
      </c>
      <c r="E167" s="8" t="inlineStr">
        <is>
          <t>%</t>
        </is>
      </c>
      <c r="F167" s="8" t="inlineStr"/>
      <c r="G167" s="8" t="n">
        <v>0.01</v>
      </c>
      <c r="H167" s="8" t="inlineStr"/>
      <c r="I167" s="8" t="inlineStr"/>
      <c r="J167" s="8" t="inlineStr"/>
      <c r="K167" s="8" t="inlineStr"/>
      <c r="L167" s="8" t="inlineStr"/>
      <c r="M167" s="8" t="inlineStr"/>
      <c r="N167" s="8" t="n">
        <v>0</v>
      </c>
      <c r="O167" s="8" t="inlineStr"/>
      <c r="P167" s="8" t="n">
        <v>8146.885454400001</v>
      </c>
      <c r="Q167" s="8" t="inlineStr"/>
      <c r="R167" s="8" t="inlineStr"/>
      <c r="S167" s="8" t="inlineStr"/>
      <c r="T167" s="8" t="inlineStr"/>
    </row>
    <row r="168">
      <c r="A168" s="8" t="inlineStr"/>
      <c r="B168" s="8" t="inlineStr"/>
      <c r="C168" s="8" t="inlineStr">
        <is>
          <t>b) Nhân công</t>
        </is>
      </c>
      <c r="E168" s="8" t="inlineStr"/>
      <c r="F168" s="8" t="inlineStr"/>
      <c r="G168" s="8" t="inlineStr"/>
      <c r="H168" s="8" t="inlineStr"/>
      <c r="I168" s="8" t="inlineStr"/>
      <c r="J168" s="8" t="inlineStr"/>
      <c r="K168" s="8" t="inlineStr"/>
      <c r="L168" s="8" t="inlineStr"/>
      <c r="M168" s="8" t="inlineStr"/>
      <c r="N168" s="8" t="inlineStr"/>
      <c r="O168" s="8" t="inlineStr"/>
      <c r="P168" s="8" t="inlineStr"/>
      <c r="Q168" s="8" t="inlineStr"/>
      <c r="R168" s="8" t="inlineStr"/>
      <c r="S168" s="8" t="inlineStr"/>
      <c r="T168" s="8" t="inlineStr"/>
    </row>
    <row r="169">
      <c r="A169" s="8" t="inlineStr"/>
      <c r="B169" s="8" t="inlineStr">
        <is>
          <t>N3</t>
        </is>
      </c>
      <c r="C169" s="8" t="inlineStr">
        <is>
          <t>Nhân công nhóm 3</t>
        </is>
      </c>
      <c r="E169" s="8" t="inlineStr">
        <is>
          <t>công</t>
        </is>
      </c>
      <c r="F169" s="8" t="inlineStr"/>
      <c r="G169" s="8" t="inlineStr"/>
      <c r="H169" s="8" t="n">
        <v>22.19</v>
      </c>
      <c r="I169" s="8" t="inlineStr"/>
      <c r="J169" s="8" t="n">
        <v>1</v>
      </c>
      <c r="K169" s="8" t="inlineStr"/>
      <c r="L169" s="8" t="n">
        <v>88.76000000000001</v>
      </c>
      <c r="M169" s="8" t="inlineStr"/>
      <c r="N169" s="8" t="inlineStr"/>
      <c r="O169" s="8" t="inlineStr"/>
      <c r="P169" s="8" t="inlineStr"/>
      <c r="Q169" s="8" t="inlineStr"/>
      <c r="R169" s="8" t="inlineStr"/>
      <c r="S169" s="8" t="inlineStr"/>
      <c r="T169" s="8" t="n">
        <v>210</v>
      </c>
    </row>
    <row r="170">
      <c r="A170" s="8" t="n">
        <v>6</v>
      </c>
      <c r="B170" s="11" t="inlineStr">
        <is>
          <t>BB.51006</t>
        </is>
      </c>
      <c r="C170" s="8" t="inlineStr">
        <is>
          <t>Ống đồng_D22.2_1.14mm</t>
        </is>
      </c>
      <c r="D170" s="12">
        <f>HYPERLINK("tt38://pl3/100", "👉 Phụ lục III - Trang 100 (Khớp nhóm BB.5100)")</f>
        <v/>
      </c>
      <c r="E170" s="8" t="inlineStr">
        <is>
          <t>100m</t>
        </is>
      </c>
      <c r="F170" s="8" t="n">
        <v>0.8</v>
      </c>
      <c r="G170" s="8" t="inlineStr"/>
      <c r="H170" s="8" t="inlineStr"/>
      <c r="I170" s="8" t="inlineStr"/>
      <c r="J170" s="8" t="inlineStr"/>
      <c r="K170" s="8" t="inlineStr"/>
      <c r="L170" s="8" t="inlineStr"/>
      <c r="M170" s="8" t="inlineStr"/>
      <c r="N170" s="8" t="inlineStr"/>
      <c r="O170" s="8" t="inlineStr"/>
      <c r="P170" s="8" t="inlineStr"/>
      <c r="Q170" s="8" t="inlineStr"/>
      <c r="R170" s="8" t="inlineStr"/>
      <c r="S170" s="8" t="inlineStr"/>
      <c r="T170" s="8" t="inlineStr"/>
    </row>
    <row r="171">
      <c r="A171" s="8" t="inlineStr"/>
      <c r="B171" s="8" t="inlineStr"/>
      <c r="C171" s="8" t="inlineStr">
        <is>
          <t>a) Vật liệu</t>
        </is>
      </c>
      <c r="E171" s="8" t="inlineStr"/>
      <c r="F171" s="8" t="inlineStr"/>
      <c r="G171" s="8" t="inlineStr"/>
      <c r="H171" s="8" t="inlineStr"/>
      <c r="I171" s="8" t="inlineStr"/>
      <c r="J171" s="8" t="inlineStr"/>
      <c r="K171" s="8" t="inlineStr"/>
      <c r="L171" s="8" t="inlineStr"/>
      <c r="M171" s="8" t="inlineStr"/>
      <c r="N171" s="8" t="inlineStr"/>
      <c r="O171" s="8" t="inlineStr"/>
      <c r="P171" s="8" t="inlineStr"/>
      <c r="Q171" s="8" t="inlineStr"/>
      <c r="R171" s="8" t="inlineStr"/>
      <c r="S171" s="8" t="inlineStr"/>
      <c r="T171" s="8" t="inlineStr"/>
    </row>
    <row r="172">
      <c r="A172" s="8" t="inlineStr"/>
      <c r="B172" s="8" t="inlineStr">
        <is>
          <t>A33.0463</t>
        </is>
      </c>
      <c r="C172" s="8" t="inlineStr">
        <is>
          <t>Ống đồng_D22.2_1.14mm</t>
        </is>
      </c>
      <c r="E172" s="8" t="inlineStr">
        <is>
          <t>m</t>
        </is>
      </c>
      <c r="F172" s="8" t="inlineStr"/>
      <c r="G172" s="8" t="n">
        <v>100.5</v>
      </c>
      <c r="H172" s="8" t="inlineStr"/>
      <c r="I172" s="8" t="inlineStr"/>
      <c r="J172" s="8" t="n">
        <v>1</v>
      </c>
      <c r="K172" s="8" t="n">
        <v>80.40000000000001</v>
      </c>
      <c r="L172" s="8" t="inlineStr"/>
      <c r="M172" s="8" t="inlineStr"/>
      <c r="N172" s="8" t="inlineStr"/>
      <c r="O172" s="8" t="inlineStr"/>
      <c r="P172" s="8" t="inlineStr"/>
      <c r="Q172" s="8" t="inlineStr"/>
      <c r="R172" s="8" t="n">
        <v>0</v>
      </c>
      <c r="S172" s="8" t="n">
        <v>0</v>
      </c>
      <c r="T172" s="8" t="n">
        <v>1126</v>
      </c>
    </row>
    <row r="173">
      <c r="A173" s="8" t="inlineStr"/>
      <c r="B173" s="8" t="inlineStr">
        <is>
          <t>A33.0113</t>
        </is>
      </c>
      <c r="C173" s="8" t="inlineStr">
        <is>
          <t>Que hàn đồng</t>
        </is>
      </c>
      <c r="E173" s="8" t="inlineStr">
        <is>
          <t>kg</t>
        </is>
      </c>
      <c r="F173" s="8" t="inlineStr"/>
      <c r="G173" s="8" t="n">
        <v>0.159</v>
      </c>
      <c r="H173" s="8" t="inlineStr"/>
      <c r="I173" s="8" t="inlineStr"/>
      <c r="J173" s="8" t="n">
        <v>1</v>
      </c>
      <c r="K173" s="8" t="n">
        <v>0.1272</v>
      </c>
      <c r="L173" s="8" t="inlineStr"/>
      <c r="M173" s="8" t="inlineStr"/>
      <c r="N173" s="8" t="inlineStr"/>
      <c r="O173" s="8" t="inlineStr"/>
      <c r="P173" s="8" t="inlineStr"/>
      <c r="Q173" s="8" t="inlineStr"/>
      <c r="R173" s="8" t="n">
        <v>0</v>
      </c>
      <c r="S173" s="8" t="n">
        <v>0</v>
      </c>
      <c r="T173" s="8" t="n">
        <v>1137</v>
      </c>
    </row>
    <row r="174">
      <c r="A174" s="8" t="inlineStr"/>
      <c r="B174" s="8" t="inlineStr">
        <is>
          <t>A33.0001</t>
        </is>
      </c>
      <c r="C174" s="8" t="inlineStr">
        <is>
          <t>Ô xy</t>
        </is>
      </c>
      <c r="E174" s="8" t="inlineStr">
        <is>
          <t>chai</t>
        </is>
      </c>
      <c r="F174" s="8" t="inlineStr"/>
      <c r="G174" s="8" t="n">
        <v>0.007</v>
      </c>
      <c r="H174" s="8" t="inlineStr"/>
      <c r="I174" s="8" t="inlineStr"/>
      <c r="J174" s="8" t="n">
        <v>1</v>
      </c>
      <c r="K174" s="8" t="n">
        <v>0.005600000000000001</v>
      </c>
      <c r="L174" s="8" t="inlineStr"/>
      <c r="M174" s="8" t="inlineStr"/>
      <c r="N174" s="8" t="inlineStr"/>
      <c r="O174" s="8" t="inlineStr"/>
      <c r="P174" s="8" t="inlineStr"/>
      <c r="Q174" s="8" t="inlineStr"/>
      <c r="R174" s="8" t="n">
        <v>0</v>
      </c>
      <c r="S174" s="8" t="n">
        <v>0</v>
      </c>
      <c r="T174" s="8" t="n">
        <v>1122</v>
      </c>
    </row>
    <row r="175">
      <c r="A175" s="8" t="inlineStr"/>
      <c r="B175" s="8" t="inlineStr">
        <is>
          <t>A24.0931</t>
        </is>
      </c>
      <c r="C175" s="8" t="inlineStr">
        <is>
          <t>Khí gas</t>
        </is>
      </c>
      <c r="E175" s="8" t="inlineStr">
        <is>
          <t>kg</t>
        </is>
      </c>
      <c r="F175" s="8" t="inlineStr"/>
      <c r="G175" s="8" t="n">
        <v>0.014</v>
      </c>
      <c r="H175" s="8" t="inlineStr"/>
      <c r="I175" s="8" t="inlineStr"/>
      <c r="J175" s="8" t="n">
        <v>1</v>
      </c>
      <c r="K175" s="8" t="n">
        <v>0.0112</v>
      </c>
      <c r="L175" s="8" t="inlineStr"/>
      <c r="M175" s="8" t="inlineStr"/>
      <c r="N175" s="8" t="inlineStr"/>
      <c r="O175" s="8" t="inlineStr"/>
      <c r="P175" s="8" t="inlineStr"/>
      <c r="Q175" s="8" t="inlineStr"/>
      <c r="R175" s="8" t="n">
        <v>0</v>
      </c>
      <c r="S175" s="8" t="n">
        <v>0</v>
      </c>
      <c r="T175" s="8" t="n">
        <v>1120</v>
      </c>
    </row>
    <row r="176">
      <c r="A176" s="8" t="inlineStr"/>
      <c r="B176" s="8" t="inlineStr">
        <is>
          <t>A33.0469</t>
        </is>
      </c>
      <c r="C176" s="8" t="inlineStr">
        <is>
          <t>Thuốc hàn</t>
        </is>
      </c>
      <c r="E176" s="8" t="inlineStr">
        <is>
          <t>kg</t>
        </is>
      </c>
      <c r="F176" s="8" t="inlineStr"/>
      <c r="G176" s="8" t="n">
        <v>0.011</v>
      </c>
      <c r="H176" s="8" t="inlineStr"/>
      <c r="I176" s="8" t="inlineStr"/>
      <c r="J176" s="8" t="n">
        <v>1</v>
      </c>
      <c r="K176" s="8" t="n">
        <v>0.008800000000000001</v>
      </c>
      <c r="L176" s="8" t="inlineStr"/>
      <c r="M176" s="8" t="inlineStr"/>
      <c r="N176" s="8" t="inlineStr"/>
      <c r="O176" s="8" t="inlineStr"/>
      <c r="P176" s="8" t="inlineStr"/>
      <c r="Q176" s="8" t="inlineStr"/>
      <c r="R176" s="8" t="n">
        <v>0</v>
      </c>
      <c r="S176" s="8" t="n">
        <v>0</v>
      </c>
      <c r="T176" s="8" t="n">
        <v>1138</v>
      </c>
    </row>
    <row r="177">
      <c r="A177" s="8" t="inlineStr"/>
      <c r="B177" s="8" t="inlineStr">
        <is>
          <t>Z999</t>
        </is>
      </c>
      <c r="C177" s="8" t="inlineStr">
        <is>
          <t>Vật liệu khác</t>
        </is>
      </c>
      <c r="E177" s="8" t="inlineStr">
        <is>
          <t>%</t>
        </is>
      </c>
      <c r="F177" s="8" t="inlineStr"/>
      <c r="G177" s="8" t="n">
        <v>0.01</v>
      </c>
      <c r="H177" s="8" t="inlineStr"/>
      <c r="I177" s="8" t="inlineStr"/>
      <c r="J177" s="8" t="inlineStr"/>
      <c r="K177" s="8" t="inlineStr"/>
      <c r="L177" s="8" t="inlineStr"/>
      <c r="M177" s="8" t="inlineStr"/>
      <c r="N177" s="8" t="n">
        <v>0</v>
      </c>
      <c r="O177" s="8" t="inlineStr"/>
      <c r="P177" s="8" t="n">
        <v>2191.75089936</v>
      </c>
      <c r="Q177" s="8" t="inlineStr"/>
      <c r="R177" s="8" t="inlineStr"/>
      <c r="S177" s="8" t="inlineStr"/>
      <c r="T177" s="8" t="inlineStr"/>
    </row>
    <row r="178">
      <c r="A178" s="8" t="inlineStr"/>
      <c r="B178" s="8" t="inlineStr"/>
      <c r="C178" s="8" t="inlineStr">
        <is>
          <t>b) Nhân công</t>
        </is>
      </c>
      <c r="E178" s="8" t="inlineStr"/>
      <c r="F178" s="8" t="inlineStr"/>
      <c r="G178" s="8" t="inlineStr"/>
      <c r="H178" s="8" t="inlineStr"/>
      <c r="I178" s="8" t="inlineStr"/>
      <c r="J178" s="8" t="inlineStr"/>
      <c r="K178" s="8" t="inlineStr"/>
      <c r="L178" s="8" t="inlineStr"/>
      <c r="M178" s="8" t="inlineStr"/>
      <c r="N178" s="8" t="inlineStr"/>
      <c r="O178" s="8" t="inlineStr"/>
      <c r="P178" s="8" t="inlineStr"/>
      <c r="Q178" s="8" t="inlineStr"/>
      <c r="R178" s="8" t="inlineStr"/>
      <c r="S178" s="8" t="inlineStr"/>
      <c r="T178" s="8" t="inlineStr"/>
    </row>
    <row r="179">
      <c r="A179" s="8" t="inlineStr"/>
      <c r="B179" s="8" t="inlineStr">
        <is>
          <t>N3</t>
        </is>
      </c>
      <c r="C179" s="8" t="inlineStr">
        <is>
          <t>Nhân công nhóm 3</t>
        </is>
      </c>
      <c r="E179" s="8" t="inlineStr">
        <is>
          <t>công</t>
        </is>
      </c>
      <c r="F179" s="8" t="inlineStr"/>
      <c r="G179" s="8" t="inlineStr"/>
      <c r="H179" s="8" t="n">
        <v>23.07</v>
      </c>
      <c r="I179" s="8" t="inlineStr"/>
      <c r="J179" s="8" t="n">
        <v>1</v>
      </c>
      <c r="K179" s="8" t="inlineStr"/>
      <c r="L179" s="8" t="n">
        <v>18.456</v>
      </c>
      <c r="M179" s="8" t="inlineStr"/>
      <c r="N179" s="8" t="inlineStr"/>
      <c r="O179" s="8" t="inlineStr"/>
      <c r="P179" s="8" t="inlineStr"/>
      <c r="Q179" s="8" t="inlineStr"/>
      <c r="R179" s="8" t="inlineStr"/>
      <c r="S179" s="8" t="inlineStr"/>
      <c r="T179" s="8" t="n">
        <v>210</v>
      </c>
    </row>
    <row r="180">
      <c r="A180" s="8" t="n">
        <v>7</v>
      </c>
      <c r="B180" s="11" t="inlineStr">
        <is>
          <t>BB.51008</t>
        </is>
      </c>
      <c r="C180" s="8" t="inlineStr">
        <is>
          <t>Ống đồng_D28.6_1.27mm</t>
        </is>
      </c>
      <c r="D180" s="12">
        <f>HYPERLINK("tt38://pl3/100", "👉 Phụ lục III - Trang 100 (Khớp nhóm BB.5100)")</f>
        <v/>
      </c>
      <c r="E180" s="8" t="inlineStr">
        <is>
          <t>100m</t>
        </is>
      </c>
      <c r="F180" s="8" t="n">
        <v>1.6</v>
      </c>
      <c r="G180" s="8" t="inlineStr"/>
      <c r="H180" s="8" t="inlineStr"/>
      <c r="I180" s="8" t="inlineStr"/>
      <c r="J180" s="8" t="inlineStr"/>
      <c r="K180" s="8" t="inlineStr"/>
      <c r="L180" s="8" t="inlineStr"/>
      <c r="M180" s="8" t="inlineStr"/>
      <c r="N180" s="8" t="inlineStr"/>
      <c r="O180" s="8" t="inlineStr"/>
      <c r="P180" s="8" t="inlineStr"/>
      <c r="Q180" s="8" t="inlineStr"/>
      <c r="R180" s="8" t="inlineStr"/>
      <c r="S180" s="8" t="inlineStr"/>
      <c r="T180" s="8" t="inlineStr"/>
    </row>
    <row r="181">
      <c r="A181" s="8" t="inlineStr"/>
      <c r="B181" s="8" t="inlineStr"/>
      <c r="C181" s="8" t="inlineStr">
        <is>
          <t>a) Vật liệu</t>
        </is>
      </c>
      <c r="E181" s="8" t="inlineStr"/>
      <c r="F181" s="8" t="inlineStr"/>
      <c r="G181" s="8" t="inlineStr"/>
      <c r="H181" s="8" t="inlineStr"/>
      <c r="I181" s="8" t="inlineStr"/>
      <c r="J181" s="8" t="inlineStr"/>
      <c r="K181" s="8" t="inlineStr"/>
      <c r="L181" s="8" t="inlineStr"/>
      <c r="M181" s="8" t="inlineStr"/>
      <c r="N181" s="8" t="inlineStr"/>
      <c r="O181" s="8" t="inlineStr"/>
      <c r="P181" s="8" t="inlineStr"/>
      <c r="Q181" s="8" t="inlineStr"/>
      <c r="R181" s="8" t="inlineStr"/>
      <c r="S181" s="8" t="inlineStr"/>
      <c r="T181" s="8" t="inlineStr"/>
    </row>
    <row r="182">
      <c r="A182" s="8" t="inlineStr"/>
      <c r="B182" s="8" t="inlineStr">
        <is>
          <t>A33.0465</t>
        </is>
      </c>
      <c r="C182" s="8" t="inlineStr">
        <is>
          <t>Ống đồng_D28.6_1.27mm</t>
        </is>
      </c>
      <c r="E182" s="8" t="inlineStr">
        <is>
          <t>m</t>
        </is>
      </c>
      <c r="F182" s="8" t="inlineStr"/>
      <c r="G182" s="8" t="n">
        <v>100.5</v>
      </c>
      <c r="H182" s="8" t="inlineStr"/>
      <c r="I182" s="8" t="inlineStr"/>
      <c r="J182" s="8" t="n">
        <v>1</v>
      </c>
      <c r="K182" s="8" t="n">
        <v>160.8</v>
      </c>
      <c r="L182" s="8" t="inlineStr"/>
      <c r="M182" s="8" t="inlineStr"/>
      <c r="N182" s="8" t="inlineStr"/>
      <c r="O182" s="8" t="inlineStr"/>
      <c r="P182" s="8" t="inlineStr"/>
      <c r="Q182" s="8" t="inlineStr"/>
      <c r="R182" s="8" t="n">
        <v>0</v>
      </c>
      <c r="S182" s="8" t="n">
        <v>0</v>
      </c>
      <c r="T182" s="8" t="n">
        <v>1127</v>
      </c>
    </row>
    <row r="183">
      <c r="A183" s="8" t="inlineStr"/>
      <c r="B183" s="8" t="inlineStr">
        <is>
          <t>A33.0113</t>
        </is>
      </c>
      <c r="C183" s="8" t="inlineStr">
        <is>
          <t>Que hàn đồng</t>
        </is>
      </c>
      <c r="E183" s="8" t="inlineStr">
        <is>
          <t>kg</t>
        </is>
      </c>
      <c r="F183" s="8" t="inlineStr"/>
      <c r="G183" s="8" t="n">
        <v>0.215</v>
      </c>
      <c r="H183" s="8" t="inlineStr"/>
      <c r="I183" s="8" t="inlineStr"/>
      <c r="J183" s="8" t="n">
        <v>1</v>
      </c>
      <c r="K183" s="8" t="n">
        <v>0.344</v>
      </c>
      <c r="L183" s="8" t="inlineStr"/>
      <c r="M183" s="8" t="inlineStr"/>
      <c r="N183" s="8" t="inlineStr"/>
      <c r="O183" s="8" t="inlineStr"/>
      <c r="P183" s="8" t="inlineStr"/>
      <c r="Q183" s="8" t="inlineStr"/>
      <c r="R183" s="8" t="n">
        <v>0</v>
      </c>
      <c r="S183" s="8" t="n">
        <v>0</v>
      </c>
      <c r="T183" s="8" t="n">
        <v>1137</v>
      </c>
    </row>
    <row r="184">
      <c r="A184" s="8" t="inlineStr"/>
      <c r="B184" s="8" t="inlineStr">
        <is>
          <t>A33.0001</t>
        </is>
      </c>
      <c r="C184" s="8" t="inlineStr">
        <is>
          <t>Ô xy</t>
        </is>
      </c>
      <c r="E184" s="8" t="inlineStr">
        <is>
          <t>chai</t>
        </is>
      </c>
      <c r="F184" s="8" t="inlineStr"/>
      <c r="G184" s="8" t="n">
        <v>0.01</v>
      </c>
      <c r="H184" s="8" t="inlineStr"/>
      <c r="I184" s="8" t="inlineStr"/>
      <c r="J184" s="8" t="n">
        <v>1</v>
      </c>
      <c r="K184" s="8" t="n">
        <v>0.016</v>
      </c>
      <c r="L184" s="8" t="inlineStr"/>
      <c r="M184" s="8" t="inlineStr"/>
      <c r="N184" s="8" t="inlineStr"/>
      <c r="O184" s="8" t="inlineStr"/>
      <c r="P184" s="8" t="inlineStr"/>
      <c r="Q184" s="8" t="inlineStr"/>
      <c r="R184" s="8" t="n">
        <v>0</v>
      </c>
      <c r="S184" s="8" t="n">
        <v>0</v>
      </c>
      <c r="T184" s="8" t="n">
        <v>1122</v>
      </c>
    </row>
    <row r="185">
      <c r="A185" s="8" t="inlineStr"/>
      <c r="B185" s="8" t="inlineStr">
        <is>
          <t>A24.0931</t>
        </is>
      </c>
      <c r="C185" s="8" t="inlineStr">
        <is>
          <t>Khí gas</t>
        </is>
      </c>
      <c r="E185" s="8" t="inlineStr">
        <is>
          <t>kg</t>
        </is>
      </c>
      <c r="F185" s="8" t="inlineStr"/>
      <c r="G185" s="8" t="n">
        <v>0.02</v>
      </c>
      <c r="H185" s="8" t="inlineStr"/>
      <c r="I185" s="8" t="inlineStr"/>
      <c r="J185" s="8" t="n">
        <v>1</v>
      </c>
      <c r="K185" s="8" t="n">
        <v>0.032</v>
      </c>
      <c r="L185" s="8" t="inlineStr"/>
      <c r="M185" s="8" t="inlineStr"/>
      <c r="N185" s="8" t="inlineStr"/>
      <c r="O185" s="8" t="inlineStr"/>
      <c r="P185" s="8" t="inlineStr"/>
      <c r="Q185" s="8" t="inlineStr"/>
      <c r="R185" s="8" t="n">
        <v>0</v>
      </c>
      <c r="S185" s="8" t="n">
        <v>0</v>
      </c>
      <c r="T185" s="8" t="n">
        <v>1120</v>
      </c>
    </row>
    <row r="186">
      <c r="A186" s="8" t="inlineStr"/>
      <c r="B186" s="8" t="inlineStr">
        <is>
          <t>A33.0469</t>
        </is>
      </c>
      <c r="C186" s="8" t="inlineStr">
        <is>
          <t>Thuốc hàn</t>
        </is>
      </c>
      <c r="E186" s="8" t="inlineStr">
        <is>
          <t>kg</t>
        </is>
      </c>
      <c r="F186" s="8" t="inlineStr"/>
      <c r="G186" s="8" t="n">
        <v>0.014</v>
      </c>
      <c r="H186" s="8" t="inlineStr"/>
      <c r="I186" s="8" t="inlineStr"/>
      <c r="J186" s="8" t="n">
        <v>1</v>
      </c>
      <c r="K186" s="8" t="n">
        <v>0.0224</v>
      </c>
      <c r="L186" s="8" t="inlineStr"/>
      <c r="M186" s="8" t="inlineStr"/>
      <c r="N186" s="8" t="inlineStr"/>
      <c r="O186" s="8" t="inlineStr"/>
      <c r="P186" s="8" t="inlineStr"/>
      <c r="Q186" s="8" t="inlineStr"/>
      <c r="R186" s="8" t="n">
        <v>0</v>
      </c>
      <c r="S186" s="8" t="n">
        <v>0</v>
      </c>
      <c r="T186" s="8" t="n">
        <v>1138</v>
      </c>
    </row>
    <row r="187">
      <c r="A187" s="8" t="inlineStr"/>
      <c r="B187" s="8" t="inlineStr">
        <is>
          <t>Z999</t>
        </is>
      </c>
      <c r="C187" s="8" t="inlineStr">
        <is>
          <t>Vật liệu khác</t>
        </is>
      </c>
      <c r="E187" s="8" t="inlineStr">
        <is>
          <t>%</t>
        </is>
      </c>
      <c r="F187" s="8" t="inlineStr"/>
      <c r="G187" s="8" t="n">
        <v>0.01</v>
      </c>
      <c r="H187" s="8" t="inlineStr"/>
      <c r="I187" s="8" t="inlineStr"/>
      <c r="J187" s="8" t="inlineStr"/>
      <c r="K187" s="8" t="inlineStr"/>
      <c r="L187" s="8" t="inlineStr"/>
      <c r="M187" s="8" t="inlineStr"/>
      <c r="N187" s="8" t="n">
        <v>0</v>
      </c>
      <c r="O187" s="8" t="inlineStr"/>
      <c r="P187" s="8" t="n">
        <v>6323.445449600001</v>
      </c>
      <c r="Q187" s="8" t="inlineStr"/>
      <c r="R187" s="8" t="inlineStr"/>
      <c r="S187" s="8" t="inlineStr"/>
      <c r="T187" s="8" t="inlineStr"/>
    </row>
    <row r="188">
      <c r="A188" s="8" t="inlineStr"/>
      <c r="B188" s="8" t="inlineStr"/>
      <c r="C188" s="8" t="inlineStr">
        <is>
          <t>b) Nhân công</t>
        </is>
      </c>
      <c r="E188" s="8" t="inlineStr"/>
      <c r="F188" s="8" t="inlineStr"/>
      <c r="G188" s="8" t="inlineStr"/>
      <c r="H188" s="8" t="inlineStr"/>
      <c r="I188" s="8" t="inlineStr"/>
      <c r="J188" s="8" t="inlineStr"/>
      <c r="K188" s="8" t="inlineStr"/>
      <c r="L188" s="8" t="inlineStr"/>
      <c r="M188" s="8" t="inlineStr"/>
      <c r="N188" s="8" t="inlineStr"/>
      <c r="O188" s="8" t="inlineStr"/>
      <c r="P188" s="8" t="inlineStr"/>
      <c r="Q188" s="8" t="inlineStr"/>
      <c r="R188" s="8" t="inlineStr"/>
      <c r="S188" s="8" t="inlineStr"/>
      <c r="T188" s="8" t="inlineStr"/>
    </row>
    <row r="189">
      <c r="A189" s="8" t="inlineStr"/>
      <c r="B189" s="8" t="inlineStr">
        <is>
          <t>N3</t>
        </is>
      </c>
      <c r="C189" s="8" t="inlineStr">
        <is>
          <t>Nhân công nhóm 3</t>
        </is>
      </c>
      <c r="E189" s="8" t="inlineStr">
        <is>
          <t>công</t>
        </is>
      </c>
      <c r="F189" s="8" t="inlineStr"/>
      <c r="G189" s="8" t="inlineStr"/>
      <c r="H189" s="8" t="n">
        <v>24.17</v>
      </c>
      <c r="I189" s="8" t="inlineStr"/>
      <c r="J189" s="8" t="n">
        <v>1</v>
      </c>
      <c r="K189" s="8" t="inlineStr"/>
      <c r="L189" s="8" t="n">
        <v>38.672</v>
      </c>
      <c r="M189" s="8" t="inlineStr"/>
      <c r="N189" s="8" t="inlineStr"/>
      <c r="O189" s="8" t="inlineStr"/>
      <c r="P189" s="8" t="inlineStr"/>
      <c r="Q189" s="8" t="inlineStr"/>
      <c r="R189" s="8" t="inlineStr"/>
      <c r="S189" s="8" t="inlineStr"/>
      <c r="T189" s="8" t="n">
        <v>210</v>
      </c>
    </row>
    <row r="190">
      <c r="A190" s="8" t="n">
        <v>8</v>
      </c>
      <c r="B190" s="11" t="inlineStr">
        <is>
          <t>BB.51010</t>
        </is>
      </c>
      <c r="C190" s="8" t="inlineStr">
        <is>
          <t>Ống đồng_D34.9_1.40mm</t>
        </is>
      </c>
      <c r="D190" s="12">
        <f>HYPERLINK("tt38://pl3/100", "👉 Phụ lục III - Trang 100 (Khớp nhóm BB.510)")</f>
        <v/>
      </c>
      <c r="E190" s="8" t="inlineStr">
        <is>
          <t>100m</t>
        </is>
      </c>
      <c r="F190" s="8" t="n">
        <v>1.6</v>
      </c>
      <c r="G190" s="8" t="inlineStr"/>
      <c r="H190" s="8" t="inlineStr"/>
      <c r="I190" s="8" t="inlineStr"/>
      <c r="J190" s="8" t="inlineStr"/>
      <c r="K190" s="8" t="inlineStr"/>
      <c r="L190" s="8" t="inlineStr"/>
      <c r="M190" s="8" t="inlineStr"/>
      <c r="N190" s="8" t="inlineStr"/>
      <c r="O190" s="8" t="inlineStr"/>
      <c r="P190" s="8" t="inlineStr"/>
      <c r="Q190" s="8" t="inlineStr"/>
      <c r="R190" s="8" t="inlineStr"/>
      <c r="S190" s="8" t="inlineStr"/>
      <c r="T190" s="8" t="inlineStr"/>
    </row>
    <row r="191">
      <c r="A191" s="8" t="inlineStr"/>
      <c r="B191" s="8" t="inlineStr"/>
      <c r="C191" s="8" t="inlineStr">
        <is>
          <t>a) Vật liệu</t>
        </is>
      </c>
      <c r="E191" s="8" t="inlineStr"/>
      <c r="F191" s="8" t="inlineStr"/>
      <c r="G191" s="8" t="inlineStr"/>
      <c r="H191" s="8" t="inlineStr"/>
      <c r="I191" s="8" t="inlineStr"/>
      <c r="J191" s="8" t="inlineStr"/>
      <c r="K191" s="8" t="inlineStr"/>
      <c r="L191" s="8" t="inlineStr"/>
      <c r="M191" s="8" t="inlineStr"/>
      <c r="N191" s="8" t="inlineStr"/>
      <c r="O191" s="8" t="inlineStr"/>
      <c r="P191" s="8" t="inlineStr"/>
      <c r="Q191" s="8" t="inlineStr"/>
      <c r="R191" s="8" t="inlineStr"/>
      <c r="S191" s="8" t="inlineStr"/>
      <c r="T191" s="8" t="inlineStr"/>
    </row>
    <row r="192">
      <c r="A192" s="8" t="inlineStr"/>
      <c r="B192" s="8" t="inlineStr">
        <is>
          <t>A33.0467</t>
        </is>
      </c>
      <c r="C192" s="8" t="inlineStr">
        <is>
          <t>Ống đồng_D34.9_1.40mm</t>
        </is>
      </c>
      <c r="E192" s="8" t="inlineStr">
        <is>
          <t>m</t>
        </is>
      </c>
      <c r="F192" s="8" t="inlineStr"/>
      <c r="G192" s="8" t="n">
        <v>100.5</v>
      </c>
      <c r="H192" s="8" t="inlineStr"/>
      <c r="I192" s="8" t="inlineStr"/>
      <c r="J192" s="8" t="n">
        <v>1</v>
      </c>
      <c r="K192" s="8" t="n">
        <v>160.8</v>
      </c>
      <c r="L192" s="8" t="inlineStr"/>
      <c r="M192" s="8" t="inlineStr"/>
      <c r="N192" s="8" t="inlineStr"/>
      <c r="O192" s="8" t="inlineStr"/>
      <c r="P192" s="8" t="inlineStr"/>
      <c r="Q192" s="8" t="inlineStr"/>
      <c r="R192" s="8" t="n">
        <v>0</v>
      </c>
      <c r="S192" s="8" t="n">
        <v>0</v>
      </c>
      <c r="T192" s="8" t="n">
        <v>1128</v>
      </c>
    </row>
    <row r="193">
      <c r="A193" s="8" t="inlineStr"/>
      <c r="B193" s="8" t="inlineStr">
        <is>
          <t>A33.0113</t>
        </is>
      </c>
      <c r="C193" s="8" t="inlineStr">
        <is>
          <t>Que hàn đồng</t>
        </is>
      </c>
      <c r="E193" s="8" t="inlineStr">
        <is>
          <t>kg</t>
        </is>
      </c>
      <c r="F193" s="8" t="inlineStr"/>
      <c r="G193" s="8" t="n">
        <v>0.262</v>
      </c>
      <c r="H193" s="8" t="inlineStr"/>
      <c r="I193" s="8" t="inlineStr"/>
      <c r="J193" s="8" t="n">
        <v>1</v>
      </c>
      <c r="K193" s="8" t="n">
        <v>0.4192</v>
      </c>
      <c r="L193" s="8" t="inlineStr"/>
      <c r="M193" s="8" t="inlineStr"/>
      <c r="N193" s="8" t="inlineStr"/>
      <c r="O193" s="8" t="inlineStr"/>
      <c r="P193" s="8" t="inlineStr"/>
      <c r="Q193" s="8" t="inlineStr"/>
      <c r="R193" s="8" t="n">
        <v>0</v>
      </c>
      <c r="S193" s="8" t="n">
        <v>0</v>
      </c>
      <c r="T193" s="8" t="n">
        <v>1137</v>
      </c>
    </row>
    <row r="194">
      <c r="A194" s="8" t="inlineStr"/>
      <c r="B194" s="8" t="inlineStr">
        <is>
          <t>A33.0001</t>
        </is>
      </c>
      <c r="C194" s="8" t="inlineStr">
        <is>
          <t>Ô xy</t>
        </is>
      </c>
      <c r="E194" s="8" t="inlineStr">
        <is>
          <t>chai</t>
        </is>
      </c>
      <c r="F194" s="8" t="inlineStr"/>
      <c r="G194" s="8" t="n">
        <v>0.012</v>
      </c>
      <c r="H194" s="8" t="inlineStr"/>
      <c r="I194" s="8" t="inlineStr"/>
      <c r="J194" s="8" t="n">
        <v>1</v>
      </c>
      <c r="K194" s="8" t="n">
        <v>0.0192</v>
      </c>
      <c r="L194" s="8" t="inlineStr"/>
      <c r="M194" s="8" t="inlineStr"/>
      <c r="N194" s="8" t="inlineStr"/>
      <c r="O194" s="8" t="inlineStr"/>
      <c r="P194" s="8" t="inlineStr"/>
      <c r="Q194" s="8" t="inlineStr"/>
      <c r="R194" s="8" t="n">
        <v>0</v>
      </c>
      <c r="S194" s="8" t="n">
        <v>0</v>
      </c>
      <c r="T194" s="8" t="n">
        <v>1122</v>
      </c>
    </row>
    <row r="195">
      <c r="A195" s="8" t="inlineStr"/>
      <c r="B195" s="8" t="inlineStr">
        <is>
          <t>A24.0931</t>
        </is>
      </c>
      <c r="C195" s="8" t="inlineStr">
        <is>
          <t>Khí gas</t>
        </is>
      </c>
      <c r="E195" s="8" t="inlineStr">
        <is>
          <t>kg</t>
        </is>
      </c>
      <c r="F195" s="8" t="inlineStr"/>
      <c r="G195" s="8" t="n">
        <v>0.024</v>
      </c>
      <c r="H195" s="8" t="inlineStr"/>
      <c r="I195" s="8" t="inlineStr"/>
      <c r="J195" s="8" t="n">
        <v>1</v>
      </c>
      <c r="K195" s="8" t="n">
        <v>0.0384</v>
      </c>
      <c r="L195" s="8" t="inlineStr"/>
      <c r="M195" s="8" t="inlineStr"/>
      <c r="N195" s="8" t="inlineStr"/>
      <c r="O195" s="8" t="inlineStr"/>
      <c r="P195" s="8" t="inlineStr"/>
      <c r="Q195" s="8" t="inlineStr"/>
      <c r="R195" s="8" t="n">
        <v>0</v>
      </c>
      <c r="S195" s="8" t="n">
        <v>0</v>
      </c>
      <c r="T195" s="8" t="n">
        <v>1120</v>
      </c>
    </row>
    <row r="196">
      <c r="A196" s="8" t="inlineStr"/>
      <c r="B196" s="8" t="inlineStr">
        <is>
          <t>A33.0469</t>
        </is>
      </c>
      <c r="C196" s="8" t="inlineStr">
        <is>
          <t>Thuốc hàn</t>
        </is>
      </c>
      <c r="E196" s="8" t="inlineStr">
        <is>
          <t>kg</t>
        </is>
      </c>
      <c r="F196" s="8" t="inlineStr"/>
      <c r="G196" s="8" t="n">
        <v>0.017</v>
      </c>
      <c r="H196" s="8" t="inlineStr"/>
      <c r="I196" s="8" t="inlineStr"/>
      <c r="J196" s="8" t="n">
        <v>1</v>
      </c>
      <c r="K196" s="8" t="n">
        <v>0.0272</v>
      </c>
      <c r="L196" s="8" t="inlineStr"/>
      <c r="M196" s="8" t="inlineStr"/>
      <c r="N196" s="8" t="inlineStr"/>
      <c r="O196" s="8" t="inlineStr"/>
      <c r="P196" s="8" t="inlineStr"/>
      <c r="Q196" s="8" t="inlineStr"/>
      <c r="R196" s="8" t="n">
        <v>0</v>
      </c>
      <c r="S196" s="8" t="n">
        <v>0</v>
      </c>
      <c r="T196" s="8" t="n">
        <v>1138</v>
      </c>
    </row>
    <row r="197">
      <c r="A197" s="8" t="inlineStr"/>
      <c r="B197" s="8" t="inlineStr">
        <is>
          <t>Z999</t>
        </is>
      </c>
      <c r="C197" s="8" t="inlineStr">
        <is>
          <t>Vật liệu khác</t>
        </is>
      </c>
      <c r="E197" s="8" t="inlineStr">
        <is>
          <t>%</t>
        </is>
      </c>
      <c r="F197" s="8" t="inlineStr"/>
      <c r="G197" s="8" t="n">
        <v>0.01</v>
      </c>
      <c r="H197" s="8" t="inlineStr"/>
      <c r="I197" s="8" t="inlineStr"/>
      <c r="J197" s="8" t="inlineStr"/>
      <c r="K197" s="8" t="inlineStr"/>
      <c r="L197" s="8" t="inlineStr"/>
      <c r="M197" s="8" t="inlineStr"/>
      <c r="N197" s="8" t="n">
        <v>0</v>
      </c>
      <c r="O197" s="8" t="inlineStr"/>
      <c r="P197" s="8" t="n">
        <v>8558.88420352</v>
      </c>
      <c r="Q197" s="8" t="inlineStr"/>
      <c r="R197" s="8" t="inlineStr"/>
      <c r="S197" s="8" t="inlineStr"/>
      <c r="T197" s="8" t="inlineStr"/>
    </row>
    <row r="198">
      <c r="A198" s="8" t="inlineStr"/>
      <c r="B198" s="8" t="inlineStr"/>
      <c r="C198" s="8" t="inlineStr">
        <is>
          <t>b) Nhân công</t>
        </is>
      </c>
      <c r="E198" s="8" t="inlineStr"/>
      <c r="F198" s="8" t="inlineStr"/>
      <c r="G198" s="8" t="inlineStr"/>
      <c r="H198" s="8" t="inlineStr"/>
      <c r="I198" s="8" t="inlineStr"/>
      <c r="J198" s="8" t="inlineStr"/>
      <c r="K198" s="8" t="inlineStr"/>
      <c r="L198" s="8" t="inlineStr"/>
      <c r="M198" s="8" t="inlineStr"/>
      <c r="N198" s="8" t="inlineStr"/>
      <c r="O198" s="8" t="inlineStr"/>
      <c r="P198" s="8" t="inlineStr"/>
      <c r="Q198" s="8" t="inlineStr"/>
      <c r="R198" s="8" t="inlineStr"/>
      <c r="S198" s="8" t="inlineStr"/>
      <c r="T198" s="8" t="inlineStr"/>
    </row>
    <row r="199">
      <c r="A199" s="8" t="inlineStr"/>
      <c r="B199" s="8" t="inlineStr">
        <is>
          <t>N3</t>
        </is>
      </c>
      <c r="C199" s="8" t="inlineStr">
        <is>
          <t>Nhân công nhóm 3</t>
        </is>
      </c>
      <c r="E199" s="8" t="inlineStr">
        <is>
          <t>công</t>
        </is>
      </c>
      <c r="F199" s="8" t="inlineStr"/>
      <c r="G199" s="8" t="inlineStr"/>
      <c r="H199" s="8" t="n">
        <v>25.17</v>
      </c>
      <c r="I199" s="8" t="inlineStr"/>
      <c r="J199" s="8" t="n">
        <v>1</v>
      </c>
      <c r="K199" s="8" t="inlineStr"/>
      <c r="L199" s="8" t="n">
        <v>40.27200000000001</v>
      </c>
      <c r="M199" s="8" t="inlineStr"/>
      <c r="N199" s="8" t="inlineStr"/>
      <c r="O199" s="8" t="inlineStr"/>
      <c r="P199" s="8" t="inlineStr"/>
      <c r="Q199" s="8" t="inlineStr"/>
      <c r="R199" s="8" t="inlineStr"/>
      <c r="S199" s="8" t="inlineStr"/>
      <c r="T199" s="8" t="n">
        <v>210</v>
      </c>
    </row>
    <row r="200">
      <c r="A200" s="8" t="n">
        <v>9</v>
      </c>
      <c r="B200" s="11" t="inlineStr">
        <is>
          <t>BB.51012</t>
        </is>
      </c>
      <c r="C200" s="8" t="inlineStr">
        <is>
          <t>Ống đồng_D41.3_1.53mm</t>
        </is>
      </c>
      <c r="D200" s="12">
        <f>HYPERLINK("tt38://pl3/100", "👉 Phụ lục III - Trang 100 (Khớp nhóm BB.510)")</f>
        <v/>
      </c>
      <c r="E200" s="8" t="inlineStr">
        <is>
          <t>100m</t>
        </is>
      </c>
      <c r="F200" s="8" t="n">
        <v>2.4</v>
      </c>
      <c r="G200" s="8" t="inlineStr"/>
      <c r="H200" s="8" t="inlineStr"/>
      <c r="I200" s="8" t="inlineStr"/>
      <c r="J200" s="8" t="inlineStr"/>
      <c r="K200" s="8" t="inlineStr"/>
      <c r="L200" s="8" t="inlineStr"/>
      <c r="M200" s="8" t="inlineStr"/>
      <c r="N200" s="8" t="inlineStr"/>
      <c r="O200" s="8" t="inlineStr"/>
      <c r="P200" s="8" t="inlineStr"/>
      <c r="Q200" s="8" t="inlineStr"/>
      <c r="R200" s="8" t="inlineStr"/>
      <c r="S200" s="8" t="inlineStr"/>
      <c r="T200" s="8" t="inlineStr"/>
    </row>
    <row r="201">
      <c r="A201" s="8" t="inlineStr"/>
      <c r="B201" s="8" t="inlineStr"/>
      <c r="C201" s="8" t="inlineStr">
        <is>
          <t>a) Vật liệu</t>
        </is>
      </c>
      <c r="E201" s="8" t="inlineStr"/>
      <c r="F201" s="8" t="inlineStr"/>
      <c r="G201" s="8" t="inlineStr"/>
      <c r="H201" s="8" t="inlineStr"/>
      <c r="I201" s="8" t="inlineStr"/>
      <c r="J201" s="8" t="inlineStr"/>
      <c r="K201" s="8" t="inlineStr"/>
      <c r="L201" s="8" t="inlineStr"/>
      <c r="M201" s="8" t="inlineStr"/>
      <c r="N201" s="8" t="inlineStr"/>
      <c r="O201" s="8" t="inlineStr"/>
      <c r="P201" s="8" t="inlineStr"/>
      <c r="Q201" s="8" t="inlineStr"/>
      <c r="R201" s="8" t="inlineStr"/>
      <c r="S201" s="8" t="inlineStr"/>
      <c r="T201" s="8" t="inlineStr"/>
    </row>
    <row r="202">
      <c r="A202" s="8" t="inlineStr"/>
      <c r="B202" s="8" t="inlineStr">
        <is>
          <t>A33.0471</t>
        </is>
      </c>
      <c r="C202" s="8" t="inlineStr">
        <is>
          <t>Ống đồng_D41.3_1.53mm</t>
        </is>
      </c>
      <c r="E202" s="8" t="inlineStr">
        <is>
          <t>m</t>
        </is>
      </c>
      <c r="F202" s="8" t="inlineStr"/>
      <c r="G202" s="8" t="n">
        <v>100.5</v>
      </c>
      <c r="H202" s="8" t="inlineStr"/>
      <c r="I202" s="8" t="inlineStr"/>
      <c r="J202" s="8" t="n">
        <v>1</v>
      </c>
      <c r="K202" s="8" t="n">
        <v>241.2</v>
      </c>
      <c r="L202" s="8" t="inlineStr"/>
      <c r="M202" s="8" t="inlineStr"/>
      <c r="N202" s="8" t="inlineStr"/>
      <c r="O202" s="8" t="inlineStr"/>
      <c r="P202" s="8" t="inlineStr"/>
      <c r="Q202" s="8" t="inlineStr"/>
      <c r="R202" s="8" t="n">
        <v>0</v>
      </c>
      <c r="S202" s="8" t="n">
        <v>0</v>
      </c>
      <c r="T202" s="8" t="n">
        <v>1129</v>
      </c>
    </row>
    <row r="203">
      <c r="A203" s="8" t="inlineStr"/>
      <c r="B203" s="8" t="inlineStr">
        <is>
          <t>A33.0113</t>
        </is>
      </c>
      <c r="C203" s="8" t="inlineStr">
        <is>
          <t>Que hàn đồng</t>
        </is>
      </c>
      <c r="E203" s="8" t="inlineStr">
        <is>
          <t>kg</t>
        </is>
      </c>
      <c r="F203" s="8" t="inlineStr"/>
      <c r="G203" s="8" t="n">
        <v>0.298</v>
      </c>
      <c r="H203" s="8" t="inlineStr"/>
      <c r="I203" s="8" t="inlineStr"/>
      <c r="J203" s="8" t="n">
        <v>1</v>
      </c>
      <c r="K203" s="8" t="n">
        <v>0.7151999999999999</v>
      </c>
      <c r="L203" s="8" t="inlineStr"/>
      <c r="M203" s="8" t="inlineStr"/>
      <c r="N203" s="8" t="inlineStr"/>
      <c r="O203" s="8" t="inlineStr"/>
      <c r="P203" s="8" t="inlineStr"/>
      <c r="Q203" s="8" t="inlineStr"/>
      <c r="R203" s="8" t="n">
        <v>0</v>
      </c>
      <c r="S203" s="8" t="n">
        <v>0</v>
      </c>
      <c r="T203" s="8" t="n">
        <v>1137</v>
      </c>
    </row>
    <row r="204">
      <c r="A204" s="8" t="inlineStr"/>
      <c r="B204" s="8" t="inlineStr">
        <is>
          <t>A33.0001</t>
        </is>
      </c>
      <c r="C204" s="8" t="inlineStr">
        <is>
          <t>Ô xy</t>
        </is>
      </c>
      <c r="E204" s="8" t="inlineStr">
        <is>
          <t>chai</t>
        </is>
      </c>
      <c r="F204" s="8" t="inlineStr"/>
      <c r="G204" s="8" t="n">
        <v>0.013</v>
      </c>
      <c r="H204" s="8" t="inlineStr"/>
      <c r="I204" s="8" t="inlineStr"/>
      <c r="J204" s="8" t="n">
        <v>1</v>
      </c>
      <c r="K204" s="8" t="n">
        <v>0.0312</v>
      </c>
      <c r="L204" s="8" t="inlineStr"/>
      <c r="M204" s="8" t="inlineStr"/>
      <c r="N204" s="8" t="inlineStr"/>
      <c r="O204" s="8" t="inlineStr"/>
      <c r="P204" s="8" t="inlineStr"/>
      <c r="Q204" s="8" t="inlineStr"/>
      <c r="R204" s="8" t="n">
        <v>0</v>
      </c>
      <c r="S204" s="8" t="n">
        <v>0</v>
      </c>
      <c r="T204" s="8" t="n">
        <v>1122</v>
      </c>
    </row>
    <row r="205">
      <c r="A205" s="8" t="inlineStr"/>
      <c r="B205" s="8" t="inlineStr">
        <is>
          <t>A24.0931</t>
        </is>
      </c>
      <c r="C205" s="8" t="inlineStr">
        <is>
          <t>Khí gas</t>
        </is>
      </c>
      <c r="E205" s="8" t="inlineStr">
        <is>
          <t>kg</t>
        </is>
      </c>
      <c r="F205" s="8" t="inlineStr"/>
      <c r="G205" s="8" t="n">
        <v>0.026</v>
      </c>
      <c r="H205" s="8" t="inlineStr"/>
      <c r="I205" s="8" t="inlineStr"/>
      <c r="J205" s="8" t="n">
        <v>1</v>
      </c>
      <c r="K205" s="8" t="n">
        <v>0.0624</v>
      </c>
      <c r="L205" s="8" t="inlineStr"/>
      <c r="M205" s="8" t="inlineStr"/>
      <c r="N205" s="8" t="inlineStr"/>
      <c r="O205" s="8" t="inlineStr"/>
      <c r="P205" s="8" t="inlineStr"/>
      <c r="Q205" s="8" t="inlineStr"/>
      <c r="R205" s="8" t="n">
        <v>0</v>
      </c>
      <c r="S205" s="8" t="n">
        <v>0</v>
      </c>
      <c r="T205" s="8" t="n">
        <v>1120</v>
      </c>
    </row>
    <row r="206">
      <c r="A206" s="8" t="inlineStr"/>
      <c r="B206" s="8" t="inlineStr">
        <is>
          <t>A33.0469</t>
        </is>
      </c>
      <c r="C206" s="8" t="inlineStr">
        <is>
          <t>Thuốc hàn</t>
        </is>
      </c>
      <c r="E206" s="8" t="inlineStr">
        <is>
          <t>kg</t>
        </is>
      </c>
      <c r="F206" s="8" t="inlineStr"/>
      <c r="G206" s="8" t="n">
        <v>0.02</v>
      </c>
      <c r="H206" s="8" t="inlineStr"/>
      <c r="I206" s="8" t="inlineStr"/>
      <c r="J206" s="8" t="n">
        <v>1</v>
      </c>
      <c r="K206" s="8" t="n">
        <v>0.048</v>
      </c>
      <c r="L206" s="8" t="inlineStr"/>
      <c r="M206" s="8" t="inlineStr"/>
      <c r="N206" s="8" t="inlineStr"/>
      <c r="O206" s="8" t="inlineStr"/>
      <c r="P206" s="8" t="inlineStr"/>
      <c r="Q206" s="8" t="inlineStr"/>
      <c r="R206" s="8" t="n">
        <v>0</v>
      </c>
      <c r="S206" s="8" t="n">
        <v>0</v>
      </c>
      <c r="T206" s="8" t="n">
        <v>1138</v>
      </c>
    </row>
    <row r="207">
      <c r="A207" s="8" t="inlineStr"/>
      <c r="B207" s="8" t="inlineStr">
        <is>
          <t>Z999</t>
        </is>
      </c>
      <c r="C207" s="8" t="inlineStr">
        <is>
          <t>Vật liệu khác</t>
        </is>
      </c>
      <c r="E207" s="8" t="inlineStr">
        <is>
          <t>%</t>
        </is>
      </c>
      <c r="F207" s="8" t="inlineStr"/>
      <c r="G207" s="8" t="n">
        <v>0.01</v>
      </c>
      <c r="H207" s="8" t="inlineStr"/>
      <c r="I207" s="8" t="inlineStr"/>
      <c r="J207" s="8" t="inlineStr"/>
      <c r="K207" s="8" t="inlineStr"/>
      <c r="L207" s="8" t="inlineStr"/>
      <c r="M207" s="8" t="inlineStr"/>
      <c r="N207" s="8" t="n">
        <v>0</v>
      </c>
      <c r="O207" s="8" t="inlineStr"/>
      <c r="P207" s="8" t="n">
        <v>16523.65509072</v>
      </c>
      <c r="Q207" s="8" t="inlineStr"/>
      <c r="R207" s="8" t="inlineStr"/>
      <c r="S207" s="8" t="inlineStr"/>
      <c r="T207" s="8" t="inlineStr"/>
    </row>
    <row r="208">
      <c r="A208" s="8" t="inlineStr"/>
      <c r="B208" s="8" t="inlineStr"/>
      <c r="C208" s="8" t="inlineStr">
        <is>
          <t>b) Nhân công</t>
        </is>
      </c>
      <c r="E208" s="8" t="inlineStr"/>
      <c r="F208" s="8" t="inlineStr"/>
      <c r="G208" s="8" t="inlineStr"/>
      <c r="H208" s="8" t="inlineStr"/>
      <c r="I208" s="8" t="inlineStr"/>
      <c r="J208" s="8" t="inlineStr"/>
      <c r="K208" s="8" t="inlineStr"/>
      <c r="L208" s="8" t="inlineStr"/>
      <c r="M208" s="8" t="inlineStr"/>
      <c r="N208" s="8" t="inlineStr"/>
      <c r="O208" s="8" t="inlineStr"/>
      <c r="P208" s="8" t="inlineStr"/>
      <c r="Q208" s="8" t="inlineStr"/>
      <c r="R208" s="8" t="inlineStr"/>
      <c r="S208" s="8" t="inlineStr"/>
      <c r="T208" s="8" t="inlineStr"/>
    </row>
    <row r="209">
      <c r="A209" s="8" t="inlineStr"/>
      <c r="B209" s="8" t="inlineStr">
        <is>
          <t>N3</t>
        </is>
      </c>
      <c r="C209" s="8" t="inlineStr">
        <is>
          <t>Nhân công nhóm 3</t>
        </is>
      </c>
      <c r="E209" s="8" t="inlineStr">
        <is>
          <t>công</t>
        </is>
      </c>
      <c r="F209" s="8" t="inlineStr"/>
      <c r="G209" s="8" t="inlineStr"/>
      <c r="H209" s="8" t="n">
        <v>27.22</v>
      </c>
      <c r="I209" s="8" t="inlineStr"/>
      <c r="J209" s="8" t="n">
        <v>1</v>
      </c>
      <c r="K209" s="8" t="inlineStr"/>
      <c r="L209" s="8" t="n">
        <v>65.32799999999999</v>
      </c>
      <c r="M209" s="8" t="inlineStr"/>
      <c r="N209" s="8" t="inlineStr"/>
      <c r="O209" s="8" t="inlineStr"/>
      <c r="P209" s="8" t="inlineStr"/>
      <c r="Q209" s="8" t="inlineStr"/>
      <c r="R209" s="8" t="inlineStr"/>
      <c r="S209" s="8" t="inlineStr"/>
      <c r="T209" s="8" t="n">
        <v>210</v>
      </c>
    </row>
    <row r="210">
      <c r="A210" s="8" t="n">
        <v>10</v>
      </c>
      <c r="B210" s="11" t="inlineStr">
        <is>
          <t>BC.14101</t>
        </is>
      </c>
      <c r="C210" s="8" t="inlineStr">
        <is>
          <t>Bảo ôn ống đồng D6.4 dày 19mm</t>
        </is>
      </c>
      <c r="D210" s="12">
        <f>HYPERLINK("tt38://pl3/212", "👉 Phụ lục III - Trang 212 (Khớp nhóm BC.1410)")</f>
        <v/>
      </c>
      <c r="E210" s="8" t="inlineStr">
        <is>
          <t>100m</t>
        </is>
      </c>
      <c r="F210" s="8" t="n">
        <v>0.8</v>
      </c>
      <c r="G210" s="8" t="inlineStr"/>
      <c r="H210" s="8" t="inlineStr"/>
      <c r="I210" s="8" t="inlineStr"/>
      <c r="J210" s="8" t="inlineStr"/>
      <c r="K210" s="8" t="inlineStr"/>
      <c r="L210" s="8" t="inlineStr"/>
      <c r="M210" s="8" t="inlineStr"/>
      <c r="N210" s="8" t="inlineStr"/>
      <c r="O210" s="8" t="inlineStr"/>
      <c r="P210" s="8" t="inlineStr"/>
      <c r="Q210" s="8" t="inlineStr"/>
      <c r="R210" s="8" t="inlineStr"/>
      <c r="S210" s="8" t="inlineStr"/>
      <c r="T210" s="8" t="inlineStr"/>
    </row>
    <row r="211">
      <c r="A211" s="8" t="inlineStr"/>
      <c r="B211" s="8" t="inlineStr"/>
      <c r="C211" s="8" t="inlineStr">
        <is>
          <t>a) Vật liệu</t>
        </is>
      </c>
      <c r="E211" s="8" t="inlineStr"/>
      <c r="F211" s="8" t="inlineStr"/>
      <c r="G211" s="8" t="inlineStr"/>
      <c r="H211" s="8" t="inlineStr"/>
      <c r="I211" s="8" t="inlineStr"/>
      <c r="J211" s="8" t="inlineStr"/>
      <c r="K211" s="8" t="inlineStr"/>
      <c r="L211" s="8" t="inlineStr"/>
      <c r="M211" s="8" t="inlineStr"/>
      <c r="N211" s="8" t="inlineStr"/>
      <c r="O211" s="8" t="inlineStr"/>
      <c r="P211" s="8" t="inlineStr"/>
      <c r="Q211" s="8" t="inlineStr"/>
      <c r="R211" s="8" t="inlineStr"/>
      <c r="S211" s="8" t="inlineStr"/>
      <c r="T211" s="8" t="inlineStr"/>
    </row>
    <row r="212">
      <c r="A212" s="8" t="inlineStr"/>
      <c r="B212" s="8" t="inlineStr">
        <is>
          <t>A33.085201</t>
        </is>
      </c>
      <c r="C212" s="8" t="inlineStr">
        <is>
          <t>Bảo ôn ống đồng D6.4 dày 19mm</t>
        </is>
      </c>
      <c r="E212" s="8" t="inlineStr">
        <is>
          <t>m</t>
        </is>
      </c>
      <c r="F212" s="8" t="inlineStr"/>
      <c r="G212" s="8" t="n">
        <v>100.5</v>
      </c>
      <c r="H212" s="8" t="inlineStr"/>
      <c r="I212" s="8" t="inlineStr"/>
      <c r="J212" s="8" t="n">
        <v>1</v>
      </c>
      <c r="K212" s="8" t="n">
        <v>80.40000000000001</v>
      </c>
      <c r="L212" s="8" t="inlineStr"/>
      <c r="M212" s="8" t="inlineStr"/>
      <c r="N212" s="8" t="inlineStr"/>
      <c r="O212" s="8" t="inlineStr"/>
      <c r="P212" s="8" t="inlineStr"/>
      <c r="Q212" s="8" t="inlineStr"/>
      <c r="R212" s="8" t="n">
        <v>0</v>
      </c>
      <c r="S212" s="8" t="n">
        <v>0</v>
      </c>
      <c r="T212" s="8" t="n">
        <v>117</v>
      </c>
    </row>
    <row r="213">
      <c r="A213" s="8" t="inlineStr"/>
      <c r="B213" s="8" t="inlineStr">
        <is>
          <t>A33.1143</t>
        </is>
      </c>
      <c r="C213" s="8" t="inlineStr">
        <is>
          <t>Băng cuốn bảo ôn</t>
        </is>
      </c>
      <c r="E213" s="8" t="inlineStr">
        <is>
          <t>cuộn</t>
        </is>
      </c>
      <c r="F213" s="8" t="inlineStr"/>
      <c r="G213" s="8" t="n">
        <v>8.039999999999999</v>
      </c>
      <c r="H213" s="8" t="inlineStr"/>
      <c r="I213" s="8" t="inlineStr"/>
      <c r="J213" s="8" t="n">
        <v>1</v>
      </c>
      <c r="K213" s="8" t="n">
        <v>6.431999999999999</v>
      </c>
      <c r="L213" s="8" t="inlineStr"/>
      <c r="M213" s="8" t="inlineStr"/>
      <c r="N213" s="8" t="inlineStr"/>
      <c r="O213" s="8" t="inlineStr"/>
      <c r="P213" s="8" t="inlineStr"/>
      <c r="Q213" s="8" t="inlineStr"/>
      <c r="R213" s="8" t="n">
        <v>0</v>
      </c>
      <c r="S213" s="8" t="n">
        <v>0</v>
      </c>
      <c r="T213" s="8" t="n">
        <v>1114</v>
      </c>
    </row>
    <row r="214">
      <c r="A214" s="8" t="inlineStr"/>
      <c r="B214" s="8" t="inlineStr">
        <is>
          <t>Z999</t>
        </is>
      </c>
      <c r="C214" s="8" t="inlineStr">
        <is>
          <t>Vật liệu khác</t>
        </is>
      </c>
      <c r="E214" s="8" t="inlineStr">
        <is>
          <t>%</t>
        </is>
      </c>
      <c r="F214" s="8" t="inlineStr"/>
      <c r="G214" s="8" t="n">
        <v>0.01</v>
      </c>
      <c r="H214" s="8" t="inlineStr"/>
      <c r="I214" s="8" t="inlineStr"/>
      <c r="J214" s="8" t="inlineStr"/>
      <c r="K214" s="8" t="inlineStr"/>
      <c r="L214" s="8" t="inlineStr"/>
      <c r="M214" s="8" t="inlineStr"/>
      <c r="N214" s="8" t="n">
        <v>0</v>
      </c>
      <c r="O214" s="8" t="inlineStr"/>
      <c r="P214" s="8" t="n">
        <v>151.152</v>
      </c>
      <c r="Q214" s="8" t="inlineStr"/>
      <c r="R214" s="8" t="inlineStr"/>
      <c r="S214" s="8" t="inlineStr"/>
      <c r="T214" s="8" t="inlineStr"/>
    </row>
    <row r="215">
      <c r="A215" s="8" t="inlineStr"/>
      <c r="B215" s="8" t="inlineStr"/>
      <c r="C215" s="8" t="inlineStr">
        <is>
          <t>b) Nhân công</t>
        </is>
      </c>
      <c r="E215" s="8" t="inlineStr"/>
      <c r="F215" s="8" t="inlineStr"/>
      <c r="G215" s="8" t="inlineStr"/>
      <c r="H215" s="8" t="inlineStr"/>
      <c r="I215" s="8" t="inlineStr"/>
      <c r="J215" s="8" t="inlineStr"/>
      <c r="K215" s="8" t="inlineStr"/>
      <c r="L215" s="8" t="inlineStr"/>
      <c r="M215" s="8" t="inlineStr"/>
      <c r="N215" s="8" t="inlineStr"/>
      <c r="O215" s="8" t="inlineStr"/>
      <c r="P215" s="8" t="inlineStr"/>
      <c r="Q215" s="8" t="inlineStr"/>
      <c r="R215" s="8" t="inlineStr"/>
      <c r="S215" s="8" t="inlineStr"/>
      <c r="T215" s="8" t="inlineStr"/>
    </row>
    <row r="216">
      <c r="A216" s="8" t="inlineStr"/>
      <c r="B216" s="8" t="inlineStr">
        <is>
          <t>N3</t>
        </is>
      </c>
      <c r="C216" s="8" t="inlineStr">
        <is>
          <t>Nhân công nhóm 3</t>
        </is>
      </c>
      <c r="E216" s="8" t="inlineStr">
        <is>
          <t>công</t>
        </is>
      </c>
      <c r="F216" s="8" t="inlineStr"/>
      <c r="G216" s="8" t="inlineStr"/>
      <c r="H216" s="8" t="n">
        <v>4.55</v>
      </c>
      <c r="I216" s="8" t="inlineStr"/>
      <c r="J216" s="8" t="n">
        <v>1</v>
      </c>
      <c r="K216" s="8" t="inlineStr"/>
      <c r="L216" s="8" t="n">
        <v>3.64</v>
      </c>
      <c r="M216" s="8" t="inlineStr"/>
      <c r="N216" s="8" t="inlineStr"/>
      <c r="O216" s="8" t="inlineStr"/>
      <c r="P216" s="8" t="inlineStr"/>
      <c r="Q216" s="8" t="inlineStr"/>
      <c r="R216" s="8" t="inlineStr"/>
      <c r="S216" s="8" t="inlineStr"/>
      <c r="T216" s="8" t="n">
        <v>210</v>
      </c>
    </row>
    <row r="217">
      <c r="A217" s="8" t="n">
        <v>11</v>
      </c>
      <c r="B217" s="11" t="inlineStr">
        <is>
          <t>BC.14102</t>
        </is>
      </c>
      <c r="C217" s="8" t="inlineStr">
        <is>
          <t>Bảo ôn ống đồng D9.5 dày 19mm</t>
        </is>
      </c>
      <c r="D217" s="12">
        <f>HYPERLINK("tt38://pl3/212", "👉 Phụ lục III - Trang 212 (Khớp nhóm BC.1410)")</f>
        <v/>
      </c>
      <c r="E217" s="8" t="inlineStr">
        <is>
          <t>100m</t>
        </is>
      </c>
      <c r="F217" s="8" t="n">
        <v>23.4</v>
      </c>
      <c r="G217" s="8" t="inlineStr"/>
      <c r="H217" s="8" t="inlineStr"/>
      <c r="I217" s="8" t="inlineStr"/>
      <c r="J217" s="8" t="inlineStr"/>
      <c r="K217" s="8" t="inlineStr"/>
      <c r="L217" s="8" t="inlineStr"/>
      <c r="M217" s="8" t="inlineStr"/>
      <c r="N217" s="8" t="inlineStr"/>
      <c r="O217" s="8" t="inlineStr"/>
      <c r="P217" s="8" t="inlineStr"/>
      <c r="Q217" s="8" t="inlineStr"/>
      <c r="R217" s="8" t="inlineStr"/>
      <c r="S217" s="8" t="inlineStr"/>
      <c r="T217" s="8" t="inlineStr"/>
    </row>
    <row r="218">
      <c r="A218" s="8" t="inlineStr"/>
      <c r="B218" s="8" t="inlineStr"/>
      <c r="C218" s="8" t="inlineStr">
        <is>
          <t>a) Vật liệu</t>
        </is>
      </c>
      <c r="E218" s="8" t="inlineStr"/>
      <c r="F218" s="8" t="inlineStr"/>
      <c r="G218" s="8" t="inlineStr"/>
      <c r="H218" s="8" t="inlineStr"/>
      <c r="I218" s="8" t="inlineStr"/>
      <c r="J218" s="8" t="inlineStr"/>
      <c r="K218" s="8" t="inlineStr"/>
      <c r="L218" s="8" t="inlineStr"/>
      <c r="M218" s="8" t="inlineStr"/>
      <c r="N218" s="8" t="inlineStr"/>
      <c r="O218" s="8" t="inlineStr"/>
      <c r="P218" s="8" t="inlineStr"/>
      <c r="Q218" s="8" t="inlineStr"/>
      <c r="R218" s="8" t="inlineStr"/>
      <c r="S218" s="8" t="inlineStr"/>
      <c r="T218" s="8" t="inlineStr"/>
    </row>
    <row r="219">
      <c r="A219" s="8" t="inlineStr"/>
      <c r="B219" s="8" t="inlineStr">
        <is>
          <t>A33.085202</t>
        </is>
      </c>
      <c r="C219" s="8" t="inlineStr">
        <is>
          <t>Bảo ôn ống đồng D9.5 dày 19mm</t>
        </is>
      </c>
      <c r="E219" s="8" t="inlineStr">
        <is>
          <t>m</t>
        </is>
      </c>
      <c r="F219" s="8" t="inlineStr"/>
      <c r="G219" s="8" t="n">
        <v>100.5</v>
      </c>
      <c r="H219" s="8" t="inlineStr"/>
      <c r="I219" s="8" t="inlineStr"/>
      <c r="J219" s="8" t="n">
        <v>1</v>
      </c>
      <c r="K219" s="8" t="n">
        <v>2351.7</v>
      </c>
      <c r="L219" s="8" t="inlineStr"/>
      <c r="M219" s="8" t="inlineStr"/>
      <c r="N219" s="8" t="inlineStr"/>
      <c r="O219" s="8" t="inlineStr"/>
      <c r="P219" s="8" t="inlineStr"/>
      <c r="Q219" s="8" t="inlineStr"/>
      <c r="R219" s="8" t="n">
        <v>0</v>
      </c>
      <c r="S219" s="8" t="n">
        <v>0</v>
      </c>
      <c r="T219" s="8" t="n">
        <v>118</v>
      </c>
    </row>
    <row r="220">
      <c r="A220" s="8" t="inlineStr"/>
      <c r="B220" s="8" t="inlineStr">
        <is>
          <t>A33.1143</t>
        </is>
      </c>
      <c r="C220" s="8" t="inlineStr">
        <is>
          <t>Băng cuốn bảo ôn</t>
        </is>
      </c>
      <c r="E220" s="8" t="inlineStr">
        <is>
          <t>cuộn</t>
        </is>
      </c>
      <c r="F220" s="8" t="inlineStr"/>
      <c r="G220" s="8" t="n">
        <v>11.93</v>
      </c>
      <c r="H220" s="8" t="inlineStr"/>
      <c r="I220" s="8" t="inlineStr"/>
      <c r="J220" s="8" t="n">
        <v>1</v>
      </c>
      <c r="K220" s="8" t="n">
        <v>279.162</v>
      </c>
      <c r="L220" s="8" t="inlineStr"/>
      <c r="M220" s="8" t="inlineStr"/>
      <c r="N220" s="8" t="inlineStr"/>
      <c r="O220" s="8" t="inlineStr"/>
      <c r="P220" s="8" t="inlineStr"/>
      <c r="Q220" s="8" t="inlineStr"/>
      <c r="R220" s="8" t="n">
        <v>0</v>
      </c>
      <c r="S220" s="8" t="n">
        <v>0</v>
      </c>
      <c r="T220" s="8" t="n">
        <v>1114</v>
      </c>
    </row>
    <row r="221">
      <c r="A221" s="8" t="inlineStr"/>
      <c r="B221" s="8" t="inlineStr">
        <is>
          <t>Z999</t>
        </is>
      </c>
      <c r="C221" s="8" t="inlineStr">
        <is>
          <t>Vật liệu khác</t>
        </is>
      </c>
      <c r="E221" s="8" t="inlineStr">
        <is>
          <t>%</t>
        </is>
      </c>
      <c r="F221" s="8" t="inlineStr"/>
      <c r="G221" s="8" t="n">
        <v>0.01</v>
      </c>
      <c r="H221" s="8" t="inlineStr"/>
      <c r="I221" s="8" t="inlineStr"/>
      <c r="J221" s="8" t="inlineStr"/>
      <c r="K221" s="8" t="inlineStr"/>
      <c r="L221" s="8" t="inlineStr"/>
      <c r="M221" s="8" t="inlineStr"/>
      <c r="N221" s="8" t="n">
        <v>0</v>
      </c>
      <c r="O221" s="8" t="inlineStr"/>
      <c r="P221" s="8" t="n">
        <v>4769.388</v>
      </c>
      <c r="Q221" s="8" t="inlineStr"/>
      <c r="R221" s="8" t="inlineStr"/>
      <c r="S221" s="8" t="inlineStr"/>
      <c r="T221" s="8" t="inlineStr"/>
    </row>
    <row r="222">
      <c r="A222" s="8" t="inlineStr"/>
      <c r="B222" s="8" t="inlineStr"/>
      <c r="C222" s="8" t="inlineStr">
        <is>
          <t>b) Nhân công</t>
        </is>
      </c>
      <c r="E222" s="8" t="inlineStr"/>
      <c r="F222" s="8" t="inlineStr"/>
      <c r="G222" s="8" t="inlineStr"/>
      <c r="H222" s="8" t="inlineStr"/>
      <c r="I222" s="8" t="inlineStr"/>
      <c r="J222" s="8" t="inlineStr"/>
      <c r="K222" s="8" t="inlineStr"/>
      <c r="L222" s="8" t="inlineStr"/>
      <c r="M222" s="8" t="inlineStr"/>
      <c r="N222" s="8" t="inlineStr"/>
      <c r="O222" s="8" t="inlineStr"/>
      <c r="P222" s="8" t="inlineStr"/>
      <c r="Q222" s="8" t="inlineStr"/>
      <c r="R222" s="8" t="inlineStr"/>
      <c r="S222" s="8" t="inlineStr"/>
      <c r="T222" s="8" t="inlineStr"/>
    </row>
    <row r="223">
      <c r="A223" s="8" t="inlineStr"/>
      <c r="B223" s="8" t="inlineStr">
        <is>
          <t>N3</t>
        </is>
      </c>
      <c r="C223" s="8" t="inlineStr">
        <is>
          <t>Nhân công nhóm 3</t>
        </is>
      </c>
      <c r="E223" s="8" t="inlineStr">
        <is>
          <t>công</t>
        </is>
      </c>
      <c r="F223" s="8" t="inlineStr"/>
      <c r="G223" s="8" t="inlineStr"/>
      <c r="H223" s="8" t="n">
        <v>4.77</v>
      </c>
      <c r="I223" s="8" t="inlineStr"/>
      <c r="J223" s="8" t="n">
        <v>1</v>
      </c>
      <c r="K223" s="8" t="inlineStr"/>
      <c r="L223" s="8" t="n">
        <v>111.618</v>
      </c>
      <c r="M223" s="8" t="inlineStr"/>
      <c r="N223" s="8" t="inlineStr"/>
      <c r="O223" s="8" t="inlineStr"/>
      <c r="P223" s="8" t="inlineStr"/>
      <c r="Q223" s="8" t="inlineStr"/>
      <c r="R223" s="8" t="inlineStr"/>
      <c r="S223" s="8" t="inlineStr"/>
      <c r="T223" s="8" t="n">
        <v>210</v>
      </c>
    </row>
    <row r="224">
      <c r="A224" s="8" t="n">
        <v>12</v>
      </c>
      <c r="B224" s="11" t="inlineStr">
        <is>
          <t>BC.14103</t>
        </is>
      </c>
      <c r="C224" s="8" t="inlineStr">
        <is>
          <t>Bảo ôn ống đồng D12.7 dày 19mm</t>
        </is>
      </c>
      <c r="D224" s="12">
        <f>HYPERLINK("tt38://pl3/212", "👉 Phụ lục III - Trang 212 (Khớp nhóm BC.1410)")</f>
        <v/>
      </c>
      <c r="E224" s="8" t="inlineStr">
        <is>
          <t>100m</t>
        </is>
      </c>
      <c r="F224" s="8" t="n">
        <v>0.5</v>
      </c>
      <c r="G224" s="8" t="inlineStr"/>
      <c r="H224" s="8" t="inlineStr"/>
      <c r="I224" s="8" t="inlineStr"/>
      <c r="J224" s="8" t="inlineStr"/>
      <c r="K224" s="8" t="inlineStr"/>
      <c r="L224" s="8" t="inlineStr"/>
      <c r="M224" s="8" t="inlineStr"/>
      <c r="N224" s="8" t="inlineStr"/>
      <c r="O224" s="8" t="inlineStr"/>
      <c r="P224" s="8" t="inlineStr"/>
      <c r="Q224" s="8" t="inlineStr"/>
      <c r="R224" s="8" t="inlineStr"/>
      <c r="S224" s="8" t="inlineStr"/>
      <c r="T224" s="8" t="inlineStr"/>
    </row>
    <row r="225">
      <c r="A225" s="8" t="inlineStr"/>
      <c r="B225" s="8" t="inlineStr"/>
      <c r="C225" s="8" t="inlineStr">
        <is>
          <t>a) Vật liệu</t>
        </is>
      </c>
      <c r="E225" s="8" t="inlineStr"/>
      <c r="F225" s="8" t="inlineStr"/>
      <c r="G225" s="8" t="inlineStr"/>
      <c r="H225" s="8" t="inlineStr"/>
      <c r="I225" s="8" t="inlineStr"/>
      <c r="J225" s="8" t="inlineStr"/>
      <c r="K225" s="8" t="inlineStr"/>
      <c r="L225" s="8" t="inlineStr"/>
      <c r="M225" s="8" t="inlineStr"/>
      <c r="N225" s="8" t="inlineStr"/>
      <c r="O225" s="8" t="inlineStr"/>
      <c r="P225" s="8" t="inlineStr"/>
      <c r="Q225" s="8" t="inlineStr"/>
      <c r="R225" s="8" t="inlineStr"/>
      <c r="S225" s="8" t="inlineStr"/>
      <c r="T225" s="8" t="inlineStr"/>
    </row>
    <row r="226">
      <c r="A226" s="8" t="inlineStr"/>
      <c r="B226" s="8" t="inlineStr">
        <is>
          <t>A33.085203</t>
        </is>
      </c>
      <c r="C226" s="8" t="inlineStr">
        <is>
          <t>Bảo ôn ống đồng D12.7 dày 19mm</t>
        </is>
      </c>
      <c r="E226" s="8" t="inlineStr">
        <is>
          <t>m</t>
        </is>
      </c>
      <c r="F226" s="8" t="inlineStr"/>
      <c r="G226" s="8" t="n">
        <v>100.5</v>
      </c>
      <c r="H226" s="8" t="inlineStr"/>
      <c r="I226" s="8" t="inlineStr"/>
      <c r="J226" s="8" t="n">
        <v>1</v>
      </c>
      <c r="K226" s="8" t="n">
        <v>50.25</v>
      </c>
      <c r="L226" s="8" t="inlineStr"/>
      <c r="M226" s="8" t="inlineStr"/>
      <c r="N226" s="8" t="inlineStr"/>
      <c r="O226" s="8" t="inlineStr"/>
      <c r="P226" s="8" t="inlineStr"/>
      <c r="Q226" s="8" t="inlineStr"/>
      <c r="R226" s="8" t="n">
        <v>0</v>
      </c>
      <c r="S226" s="8" t="n">
        <v>0</v>
      </c>
      <c r="T226" s="8" t="n">
        <v>110</v>
      </c>
    </row>
    <row r="227">
      <c r="A227" s="8" t="inlineStr"/>
      <c r="B227" s="8" t="inlineStr">
        <is>
          <t>A33.1143</t>
        </is>
      </c>
      <c r="C227" s="8" t="inlineStr">
        <is>
          <t>Băng cuốn bảo ôn</t>
        </is>
      </c>
      <c r="E227" s="8" t="inlineStr">
        <is>
          <t>cuộn</t>
        </is>
      </c>
      <c r="F227" s="8" t="inlineStr"/>
      <c r="G227" s="8" t="n">
        <v>15.95</v>
      </c>
      <c r="H227" s="8" t="inlineStr"/>
      <c r="I227" s="8" t="inlineStr"/>
      <c r="J227" s="8" t="n">
        <v>1</v>
      </c>
      <c r="K227" s="8" t="n">
        <v>7.975</v>
      </c>
      <c r="L227" s="8" t="inlineStr"/>
      <c r="M227" s="8" t="inlineStr"/>
      <c r="N227" s="8" t="inlineStr"/>
      <c r="O227" s="8" t="inlineStr"/>
      <c r="P227" s="8" t="inlineStr"/>
      <c r="Q227" s="8" t="inlineStr"/>
      <c r="R227" s="8" t="n">
        <v>0</v>
      </c>
      <c r="S227" s="8" t="n">
        <v>0</v>
      </c>
      <c r="T227" s="8" t="n">
        <v>1114</v>
      </c>
    </row>
    <row r="228">
      <c r="A228" s="8" t="inlineStr"/>
      <c r="B228" s="8" t="inlineStr">
        <is>
          <t>Z999</t>
        </is>
      </c>
      <c r="C228" s="8" t="inlineStr">
        <is>
          <t>Vật liệu khác</t>
        </is>
      </c>
      <c r="E228" s="8" t="inlineStr">
        <is>
          <t>%</t>
        </is>
      </c>
      <c r="F228" s="8" t="inlineStr"/>
      <c r="G228" s="8" t="n">
        <v>0.01</v>
      </c>
      <c r="H228" s="8" t="inlineStr"/>
      <c r="I228" s="8" t="inlineStr"/>
      <c r="J228" s="8" t="inlineStr"/>
      <c r="K228" s="8" t="inlineStr"/>
      <c r="L228" s="8" t="inlineStr"/>
      <c r="M228" s="8" t="inlineStr"/>
      <c r="N228" s="8" t="n">
        <v>0</v>
      </c>
      <c r="O228" s="8" t="inlineStr"/>
      <c r="P228" s="8" t="n">
        <v>117.4875</v>
      </c>
      <c r="Q228" s="8" t="inlineStr"/>
      <c r="R228" s="8" t="inlineStr"/>
      <c r="S228" s="8" t="inlineStr"/>
      <c r="T228" s="8" t="inlineStr"/>
    </row>
    <row r="229">
      <c r="A229" s="8" t="inlineStr"/>
      <c r="B229" s="8" t="inlineStr"/>
      <c r="C229" s="8" t="inlineStr">
        <is>
          <t>b) Nhân công</t>
        </is>
      </c>
      <c r="E229" s="8" t="inlineStr"/>
      <c r="F229" s="8" t="inlineStr"/>
      <c r="G229" s="8" t="inlineStr"/>
      <c r="H229" s="8" t="inlineStr"/>
      <c r="I229" s="8" t="inlineStr"/>
      <c r="J229" s="8" t="inlineStr"/>
      <c r="K229" s="8" t="inlineStr"/>
      <c r="L229" s="8" t="inlineStr"/>
      <c r="M229" s="8" t="inlineStr"/>
      <c r="N229" s="8" t="inlineStr"/>
      <c r="O229" s="8" t="inlineStr"/>
      <c r="P229" s="8" t="inlineStr"/>
      <c r="Q229" s="8" t="inlineStr"/>
      <c r="R229" s="8" t="inlineStr"/>
      <c r="S229" s="8" t="inlineStr"/>
      <c r="T229" s="8" t="inlineStr"/>
    </row>
    <row r="230">
      <c r="A230" s="8" t="inlineStr"/>
      <c r="B230" s="8" t="inlineStr">
        <is>
          <t>N3</t>
        </is>
      </c>
      <c r="C230" s="8" t="inlineStr">
        <is>
          <t>Nhân công nhóm 3</t>
        </is>
      </c>
      <c r="E230" s="8" t="inlineStr">
        <is>
          <t>công</t>
        </is>
      </c>
      <c r="F230" s="8" t="inlineStr"/>
      <c r="G230" s="8" t="inlineStr"/>
      <c r="H230" s="8" t="n">
        <v>5.02</v>
      </c>
      <c r="I230" s="8" t="inlineStr"/>
      <c r="J230" s="8" t="n">
        <v>1</v>
      </c>
      <c r="K230" s="8" t="inlineStr"/>
      <c r="L230" s="8" t="n">
        <v>2.51</v>
      </c>
      <c r="M230" s="8" t="inlineStr"/>
      <c r="N230" s="8" t="inlineStr"/>
      <c r="O230" s="8" t="inlineStr"/>
      <c r="P230" s="8" t="inlineStr"/>
      <c r="Q230" s="8" t="inlineStr"/>
      <c r="R230" s="8" t="inlineStr"/>
      <c r="S230" s="8" t="inlineStr"/>
      <c r="T230" s="8" t="n">
        <v>210</v>
      </c>
    </row>
    <row r="231">
      <c r="A231" s="8" t="n">
        <v>13</v>
      </c>
      <c r="B231" s="11" t="inlineStr">
        <is>
          <t>BC.14104</t>
        </is>
      </c>
      <c r="C231" s="8" t="inlineStr">
        <is>
          <t>Bảo ôn ống đồng D15.9 dày 19mm</t>
        </is>
      </c>
      <c r="D231" s="12">
        <f>HYPERLINK("tt38://pl3/212", "👉 Phụ lục III - Trang 212 (Khớp nhóm BC.1410)")</f>
        <v/>
      </c>
      <c r="E231" s="8" t="inlineStr">
        <is>
          <t>100m</t>
        </is>
      </c>
      <c r="F231" s="8" t="n">
        <v>23.3</v>
      </c>
      <c r="G231" s="8" t="inlineStr"/>
      <c r="H231" s="8" t="inlineStr"/>
      <c r="I231" s="8" t="inlineStr"/>
      <c r="J231" s="8" t="inlineStr"/>
      <c r="K231" s="8" t="inlineStr"/>
      <c r="L231" s="8" t="inlineStr"/>
      <c r="M231" s="8" t="inlineStr"/>
      <c r="N231" s="8" t="inlineStr"/>
      <c r="O231" s="8" t="inlineStr"/>
      <c r="P231" s="8" t="inlineStr"/>
      <c r="Q231" s="8" t="inlineStr"/>
      <c r="R231" s="8" t="inlineStr"/>
      <c r="S231" s="8" t="inlineStr"/>
      <c r="T231" s="8" t="inlineStr"/>
    </row>
    <row r="232">
      <c r="A232" s="8" t="inlineStr"/>
      <c r="B232" s="8" t="inlineStr"/>
      <c r="C232" s="8" t="inlineStr">
        <is>
          <t>a) Vật liệu</t>
        </is>
      </c>
      <c r="E232" s="8" t="inlineStr"/>
      <c r="F232" s="8" t="inlineStr"/>
      <c r="G232" s="8" t="inlineStr"/>
      <c r="H232" s="8" t="inlineStr"/>
      <c r="I232" s="8" t="inlineStr"/>
      <c r="J232" s="8" t="inlineStr"/>
      <c r="K232" s="8" t="inlineStr"/>
      <c r="L232" s="8" t="inlineStr"/>
      <c r="M232" s="8" t="inlineStr"/>
      <c r="N232" s="8" t="inlineStr"/>
      <c r="O232" s="8" t="inlineStr"/>
      <c r="P232" s="8" t="inlineStr"/>
      <c r="Q232" s="8" t="inlineStr"/>
      <c r="R232" s="8" t="inlineStr"/>
      <c r="S232" s="8" t="inlineStr"/>
      <c r="T232" s="8" t="inlineStr"/>
    </row>
    <row r="233">
      <c r="A233" s="8" t="inlineStr"/>
      <c r="B233" s="8" t="inlineStr">
        <is>
          <t>A33.085204</t>
        </is>
      </c>
      <c r="C233" s="8" t="inlineStr">
        <is>
          <t>Bảo ôn ống đồng D15.9 dày 19mm</t>
        </is>
      </c>
      <c r="E233" s="8" t="inlineStr">
        <is>
          <t>m</t>
        </is>
      </c>
      <c r="F233" s="8" t="inlineStr"/>
      <c r="G233" s="8" t="n">
        <v>100.5</v>
      </c>
      <c r="H233" s="8" t="inlineStr"/>
      <c r="I233" s="8" t="inlineStr"/>
      <c r="J233" s="8" t="n">
        <v>1</v>
      </c>
      <c r="K233" s="8" t="n">
        <v>2341.65</v>
      </c>
      <c r="L233" s="8" t="inlineStr"/>
      <c r="M233" s="8" t="inlineStr"/>
      <c r="N233" s="8" t="inlineStr"/>
      <c r="O233" s="8" t="inlineStr"/>
      <c r="P233" s="8" t="inlineStr"/>
      <c r="Q233" s="8" t="inlineStr"/>
      <c r="R233" s="8" t="n">
        <v>0</v>
      </c>
      <c r="S233" s="8" t="n">
        <v>0</v>
      </c>
      <c r="T233" s="8" t="n">
        <v>111</v>
      </c>
    </row>
    <row r="234">
      <c r="A234" s="8" t="inlineStr"/>
      <c r="B234" s="8" t="inlineStr">
        <is>
          <t>A33.1143</t>
        </is>
      </c>
      <c r="C234" s="8" t="inlineStr">
        <is>
          <t>Băng cuốn bảo ôn</t>
        </is>
      </c>
      <c r="E234" s="8" t="inlineStr">
        <is>
          <t>cuộn</t>
        </is>
      </c>
      <c r="F234" s="8" t="inlineStr"/>
      <c r="G234" s="8" t="n">
        <v>19.97</v>
      </c>
      <c r="H234" s="8" t="inlineStr"/>
      <c r="I234" s="8" t="inlineStr"/>
      <c r="J234" s="8" t="n">
        <v>1</v>
      </c>
      <c r="K234" s="8" t="n">
        <v>465.301</v>
      </c>
      <c r="L234" s="8" t="inlineStr"/>
      <c r="M234" s="8" t="inlineStr"/>
      <c r="N234" s="8" t="inlineStr"/>
      <c r="O234" s="8" t="inlineStr"/>
      <c r="P234" s="8" t="inlineStr"/>
      <c r="Q234" s="8" t="inlineStr"/>
      <c r="R234" s="8" t="n">
        <v>0</v>
      </c>
      <c r="S234" s="8" t="n">
        <v>0</v>
      </c>
      <c r="T234" s="8" t="n">
        <v>1114</v>
      </c>
    </row>
    <row r="235">
      <c r="A235" s="8" t="inlineStr"/>
      <c r="B235" s="8" t="inlineStr">
        <is>
          <t>Z999</t>
        </is>
      </c>
      <c r="C235" s="8" t="inlineStr">
        <is>
          <t>Vật liệu khác</t>
        </is>
      </c>
      <c r="E235" s="8" t="inlineStr">
        <is>
          <t>%</t>
        </is>
      </c>
      <c r="F235" s="8" t="inlineStr"/>
      <c r="G235" s="8" t="n">
        <v>0.01</v>
      </c>
      <c r="H235" s="8" t="inlineStr"/>
      <c r="I235" s="8" t="inlineStr"/>
      <c r="J235" s="8" t="inlineStr"/>
      <c r="K235" s="8" t="inlineStr"/>
      <c r="L235" s="8" t="inlineStr"/>
      <c r="M235" s="8" t="inlineStr"/>
      <c r="N235" s="8" t="n">
        <v>0</v>
      </c>
      <c r="O235" s="8" t="inlineStr"/>
      <c r="P235" s="8" t="n">
        <v>6060.33</v>
      </c>
      <c r="Q235" s="8" t="inlineStr"/>
      <c r="R235" s="8" t="inlineStr"/>
      <c r="S235" s="8" t="inlineStr"/>
      <c r="T235" s="8" t="inlineStr"/>
    </row>
    <row r="236">
      <c r="A236" s="8" t="inlineStr"/>
      <c r="B236" s="8" t="inlineStr"/>
      <c r="C236" s="8" t="inlineStr">
        <is>
          <t>b) Nhân công</t>
        </is>
      </c>
      <c r="E236" s="8" t="inlineStr"/>
      <c r="F236" s="8" t="inlineStr"/>
      <c r="G236" s="8" t="inlineStr"/>
      <c r="H236" s="8" t="inlineStr"/>
      <c r="I236" s="8" t="inlineStr"/>
      <c r="J236" s="8" t="inlineStr"/>
      <c r="K236" s="8" t="inlineStr"/>
      <c r="L236" s="8" t="inlineStr"/>
      <c r="M236" s="8" t="inlineStr"/>
      <c r="N236" s="8" t="inlineStr"/>
      <c r="O236" s="8" t="inlineStr"/>
      <c r="P236" s="8" t="inlineStr"/>
      <c r="Q236" s="8" t="inlineStr"/>
      <c r="R236" s="8" t="inlineStr"/>
      <c r="S236" s="8" t="inlineStr"/>
      <c r="T236" s="8" t="inlineStr"/>
    </row>
    <row r="237">
      <c r="A237" s="8" t="inlineStr"/>
      <c r="B237" s="8" t="inlineStr">
        <is>
          <t>N3</t>
        </is>
      </c>
      <c r="C237" s="8" t="inlineStr">
        <is>
          <t>Nhân công nhóm 3</t>
        </is>
      </c>
      <c r="E237" s="8" t="inlineStr">
        <is>
          <t>công</t>
        </is>
      </c>
      <c r="F237" s="8" t="inlineStr"/>
      <c r="G237" s="8" t="inlineStr"/>
      <c r="H237" s="8" t="n">
        <v>5.34</v>
      </c>
      <c r="I237" s="8" t="inlineStr"/>
      <c r="J237" s="8" t="n">
        <v>1</v>
      </c>
      <c r="K237" s="8" t="inlineStr"/>
      <c r="L237" s="8" t="n">
        <v>124.422</v>
      </c>
      <c r="M237" s="8" t="inlineStr"/>
      <c r="N237" s="8" t="inlineStr"/>
      <c r="O237" s="8" t="inlineStr"/>
      <c r="P237" s="8" t="inlineStr"/>
      <c r="Q237" s="8" t="inlineStr"/>
      <c r="R237" s="8" t="inlineStr"/>
      <c r="S237" s="8" t="inlineStr"/>
      <c r="T237" s="8" t="n">
        <v>210</v>
      </c>
    </row>
    <row r="238">
      <c r="A238" s="8" t="n">
        <v>14</v>
      </c>
      <c r="B238" s="11" t="inlineStr">
        <is>
          <t>BC.14105</t>
        </is>
      </c>
      <c r="C238" s="8" t="inlineStr">
        <is>
          <t>Bảo ôn ống đồng D19.1 dày 19mm</t>
        </is>
      </c>
      <c r="D238" s="12">
        <f>HYPERLINK("tt38://pl3/212", "👉 Phụ lục III - Trang 212 (Khớp nhóm BC.1410)")</f>
        <v/>
      </c>
      <c r="E238" s="8" t="inlineStr">
        <is>
          <t>100m</t>
        </is>
      </c>
      <c r="F238" s="8" t="n">
        <v>4</v>
      </c>
      <c r="G238" s="8" t="inlineStr"/>
      <c r="H238" s="8" t="inlineStr"/>
      <c r="I238" s="8" t="inlineStr"/>
      <c r="J238" s="8" t="inlineStr"/>
      <c r="K238" s="8" t="inlineStr"/>
      <c r="L238" s="8" t="inlineStr"/>
      <c r="M238" s="8" t="inlineStr"/>
      <c r="N238" s="8" t="inlineStr"/>
      <c r="O238" s="8" t="inlineStr"/>
      <c r="P238" s="8" t="inlineStr"/>
      <c r="Q238" s="8" t="inlineStr"/>
      <c r="R238" s="8" t="inlineStr"/>
      <c r="S238" s="8" t="inlineStr"/>
      <c r="T238" s="8" t="inlineStr"/>
    </row>
    <row r="239">
      <c r="A239" s="8" t="inlineStr"/>
      <c r="B239" s="8" t="inlineStr"/>
      <c r="C239" s="8" t="inlineStr">
        <is>
          <t>a) Vật liệu</t>
        </is>
      </c>
      <c r="E239" s="8" t="inlineStr"/>
      <c r="F239" s="8" t="inlineStr"/>
      <c r="G239" s="8" t="inlineStr"/>
      <c r="H239" s="8" t="inlineStr"/>
      <c r="I239" s="8" t="inlineStr"/>
      <c r="J239" s="8" t="inlineStr"/>
      <c r="K239" s="8" t="inlineStr"/>
      <c r="L239" s="8" t="inlineStr"/>
      <c r="M239" s="8" t="inlineStr"/>
      <c r="N239" s="8" t="inlineStr"/>
      <c r="O239" s="8" t="inlineStr"/>
      <c r="P239" s="8" t="inlineStr"/>
      <c r="Q239" s="8" t="inlineStr"/>
      <c r="R239" s="8" t="inlineStr"/>
      <c r="S239" s="8" t="inlineStr"/>
      <c r="T239" s="8" t="inlineStr"/>
    </row>
    <row r="240">
      <c r="A240" s="8" t="inlineStr"/>
      <c r="B240" s="8" t="inlineStr">
        <is>
          <t>A33.085205</t>
        </is>
      </c>
      <c r="C240" s="8" t="inlineStr">
        <is>
          <t>Bảo ôn ống đồng D19.1 dày 19mm</t>
        </is>
      </c>
      <c r="E240" s="8" t="inlineStr">
        <is>
          <t>m</t>
        </is>
      </c>
      <c r="F240" s="8" t="inlineStr"/>
      <c r="G240" s="8" t="n">
        <v>100.5</v>
      </c>
      <c r="H240" s="8" t="inlineStr"/>
      <c r="I240" s="8" t="inlineStr"/>
      <c r="J240" s="8" t="n">
        <v>1</v>
      </c>
      <c r="K240" s="8" t="n">
        <v>402</v>
      </c>
      <c r="L240" s="8" t="inlineStr"/>
      <c r="M240" s="8" t="inlineStr"/>
      <c r="N240" s="8" t="inlineStr"/>
      <c r="O240" s="8" t="inlineStr"/>
      <c r="P240" s="8" t="inlineStr"/>
      <c r="Q240" s="8" t="inlineStr"/>
      <c r="R240" s="8" t="n">
        <v>0</v>
      </c>
      <c r="S240" s="8" t="n">
        <v>0</v>
      </c>
      <c r="T240" s="8" t="n">
        <v>112</v>
      </c>
    </row>
    <row r="241">
      <c r="A241" s="8" t="inlineStr"/>
      <c r="B241" s="8" t="inlineStr">
        <is>
          <t>A33.1143</t>
        </is>
      </c>
      <c r="C241" s="8" t="inlineStr">
        <is>
          <t>Băng cuốn bảo ôn</t>
        </is>
      </c>
      <c r="E241" s="8" t="inlineStr">
        <is>
          <t>cuộn</t>
        </is>
      </c>
      <c r="F241" s="8" t="inlineStr"/>
      <c r="G241" s="8" t="n">
        <v>23.99</v>
      </c>
      <c r="H241" s="8" t="inlineStr"/>
      <c r="I241" s="8" t="inlineStr"/>
      <c r="J241" s="8" t="n">
        <v>1</v>
      </c>
      <c r="K241" s="8" t="n">
        <v>95.95999999999999</v>
      </c>
      <c r="L241" s="8" t="inlineStr"/>
      <c r="M241" s="8" t="inlineStr"/>
      <c r="N241" s="8" t="inlineStr"/>
      <c r="O241" s="8" t="inlineStr"/>
      <c r="P241" s="8" t="inlineStr"/>
      <c r="Q241" s="8" t="inlineStr"/>
      <c r="R241" s="8" t="n">
        <v>0</v>
      </c>
      <c r="S241" s="8" t="n">
        <v>0</v>
      </c>
      <c r="T241" s="8" t="n">
        <v>1114</v>
      </c>
    </row>
    <row r="242">
      <c r="A242" s="8" t="inlineStr"/>
      <c r="B242" s="8" t="inlineStr">
        <is>
          <t>Z999</t>
        </is>
      </c>
      <c r="C242" s="8" t="inlineStr">
        <is>
          <t>Vật liệu khác</t>
        </is>
      </c>
      <c r="E242" s="8" t="inlineStr">
        <is>
          <t>%</t>
        </is>
      </c>
      <c r="F242" s="8" t="inlineStr"/>
      <c r="G242" s="8" t="n">
        <v>0.01</v>
      </c>
      <c r="H242" s="8" t="inlineStr"/>
      <c r="I242" s="8" t="inlineStr"/>
      <c r="J242" s="8" t="inlineStr"/>
      <c r="K242" s="8" t="inlineStr"/>
      <c r="L242" s="8" t="inlineStr"/>
      <c r="M242" s="8" t="inlineStr"/>
      <c r="N242" s="8" t="n">
        <v>0</v>
      </c>
      <c r="O242" s="8" t="inlineStr"/>
      <c r="P242" s="8" t="n">
        <v>1161</v>
      </c>
      <c r="Q242" s="8" t="inlineStr"/>
      <c r="R242" s="8" t="inlineStr"/>
      <c r="S242" s="8" t="inlineStr"/>
      <c r="T242" s="8" t="inlineStr"/>
    </row>
    <row r="243">
      <c r="A243" s="8" t="inlineStr"/>
      <c r="B243" s="8" t="inlineStr"/>
      <c r="C243" s="8" t="inlineStr">
        <is>
          <t>b) Nhân công</t>
        </is>
      </c>
      <c r="E243" s="8" t="inlineStr"/>
      <c r="F243" s="8" t="inlineStr"/>
      <c r="G243" s="8" t="inlineStr"/>
      <c r="H243" s="8" t="inlineStr"/>
      <c r="I243" s="8" t="inlineStr"/>
      <c r="J243" s="8" t="inlineStr"/>
      <c r="K243" s="8" t="inlineStr"/>
      <c r="L243" s="8" t="inlineStr"/>
      <c r="M243" s="8" t="inlineStr"/>
      <c r="N243" s="8" t="inlineStr"/>
      <c r="O243" s="8" t="inlineStr"/>
      <c r="P243" s="8" t="inlineStr"/>
      <c r="Q243" s="8" t="inlineStr"/>
      <c r="R243" s="8" t="inlineStr"/>
      <c r="S243" s="8" t="inlineStr"/>
      <c r="T243" s="8" t="inlineStr"/>
    </row>
    <row r="244">
      <c r="A244" s="8" t="inlineStr"/>
      <c r="B244" s="8" t="inlineStr">
        <is>
          <t>N3</t>
        </is>
      </c>
      <c r="C244" s="8" t="inlineStr">
        <is>
          <t>Nhân công nhóm 3</t>
        </is>
      </c>
      <c r="E244" s="8" t="inlineStr">
        <is>
          <t>công</t>
        </is>
      </c>
      <c r="F244" s="8" t="inlineStr"/>
      <c r="G244" s="8" t="inlineStr"/>
      <c r="H244" s="8" t="n">
        <v>5.54</v>
      </c>
      <c r="I244" s="8" t="inlineStr"/>
      <c r="J244" s="8" t="n">
        <v>1</v>
      </c>
      <c r="K244" s="8" t="inlineStr"/>
      <c r="L244" s="8" t="n">
        <v>22.16</v>
      </c>
      <c r="M244" s="8" t="inlineStr"/>
      <c r="N244" s="8" t="inlineStr"/>
      <c r="O244" s="8" t="inlineStr"/>
      <c r="P244" s="8" t="inlineStr"/>
      <c r="Q244" s="8" t="inlineStr"/>
      <c r="R244" s="8" t="inlineStr"/>
      <c r="S244" s="8" t="inlineStr"/>
      <c r="T244" s="8" t="n">
        <v>210</v>
      </c>
    </row>
    <row r="245">
      <c r="A245" s="8" t="n">
        <v>15</v>
      </c>
      <c r="B245" s="11" t="inlineStr">
        <is>
          <t>BC.14106</t>
        </is>
      </c>
      <c r="C245" s="8" t="inlineStr">
        <is>
          <t>Bảo ôn ống đồng D22.2 dày 19mm</t>
        </is>
      </c>
      <c r="D245" s="12">
        <f>HYPERLINK("tt38://pl3/212", "👉 Phụ lục III - Trang 212 (Khớp nhóm BC.1410)")</f>
        <v/>
      </c>
      <c r="E245" s="8" t="inlineStr">
        <is>
          <t>100m</t>
        </is>
      </c>
      <c r="F245" s="8" t="n">
        <v>0.8</v>
      </c>
      <c r="G245" s="8" t="inlineStr"/>
      <c r="H245" s="8" t="inlineStr"/>
      <c r="I245" s="8" t="inlineStr"/>
      <c r="J245" s="8" t="inlineStr"/>
      <c r="K245" s="8" t="inlineStr"/>
      <c r="L245" s="8" t="inlineStr"/>
      <c r="M245" s="8" t="inlineStr"/>
      <c r="N245" s="8" t="inlineStr"/>
      <c r="O245" s="8" t="inlineStr"/>
      <c r="P245" s="8" t="inlineStr"/>
      <c r="Q245" s="8" t="inlineStr"/>
      <c r="R245" s="8" t="inlineStr"/>
      <c r="S245" s="8" t="inlineStr"/>
      <c r="T245" s="8" t="inlineStr"/>
    </row>
    <row r="246">
      <c r="A246" s="8" t="inlineStr"/>
      <c r="B246" s="8" t="inlineStr"/>
      <c r="C246" s="8" t="inlineStr">
        <is>
          <t>a) Vật liệu</t>
        </is>
      </c>
      <c r="E246" s="8" t="inlineStr"/>
      <c r="F246" s="8" t="inlineStr"/>
      <c r="G246" s="8" t="inlineStr"/>
      <c r="H246" s="8" t="inlineStr"/>
      <c r="I246" s="8" t="inlineStr"/>
      <c r="J246" s="8" t="inlineStr"/>
      <c r="K246" s="8" t="inlineStr"/>
      <c r="L246" s="8" t="inlineStr"/>
      <c r="M246" s="8" t="inlineStr"/>
      <c r="N246" s="8" t="inlineStr"/>
      <c r="O246" s="8" t="inlineStr"/>
      <c r="P246" s="8" t="inlineStr"/>
      <c r="Q246" s="8" t="inlineStr"/>
      <c r="R246" s="8" t="inlineStr"/>
      <c r="S246" s="8" t="inlineStr"/>
      <c r="T246" s="8" t="inlineStr"/>
    </row>
    <row r="247">
      <c r="A247" s="8" t="inlineStr"/>
      <c r="B247" s="8" t="inlineStr">
        <is>
          <t>A33.085206</t>
        </is>
      </c>
      <c r="C247" s="8" t="inlineStr">
        <is>
          <t>Bảo ôn ống đồng D22.2 dày 19mm</t>
        </is>
      </c>
      <c r="E247" s="8" t="inlineStr">
        <is>
          <t>m</t>
        </is>
      </c>
      <c r="F247" s="8" t="inlineStr"/>
      <c r="G247" s="8" t="n">
        <v>100.5</v>
      </c>
      <c r="H247" s="8" t="inlineStr"/>
      <c r="I247" s="8" t="inlineStr"/>
      <c r="J247" s="8" t="n">
        <v>1</v>
      </c>
      <c r="K247" s="8" t="n">
        <v>80.40000000000001</v>
      </c>
      <c r="L247" s="8" t="inlineStr"/>
      <c r="M247" s="8" t="inlineStr"/>
      <c r="N247" s="8" t="inlineStr"/>
      <c r="O247" s="8" t="inlineStr"/>
      <c r="P247" s="8" t="inlineStr"/>
      <c r="Q247" s="8" t="inlineStr"/>
      <c r="R247" s="8" t="n">
        <v>0</v>
      </c>
      <c r="S247" s="8" t="n">
        <v>0</v>
      </c>
      <c r="T247" s="8" t="n">
        <v>113</v>
      </c>
    </row>
    <row r="248">
      <c r="A248" s="8" t="inlineStr"/>
      <c r="B248" s="8" t="inlineStr">
        <is>
          <t>A33.1143</t>
        </is>
      </c>
      <c r="C248" s="8" t="inlineStr">
        <is>
          <t>Băng cuốn bảo ôn</t>
        </is>
      </c>
      <c r="E248" s="8" t="inlineStr">
        <is>
          <t>cuộn</t>
        </is>
      </c>
      <c r="F248" s="8" t="inlineStr"/>
      <c r="G248" s="8" t="n">
        <v>27.88</v>
      </c>
      <c r="H248" s="8" t="inlineStr"/>
      <c r="I248" s="8" t="inlineStr"/>
      <c r="J248" s="8" t="n">
        <v>1</v>
      </c>
      <c r="K248" s="8" t="n">
        <v>22.304</v>
      </c>
      <c r="L248" s="8" t="inlineStr"/>
      <c r="M248" s="8" t="inlineStr"/>
      <c r="N248" s="8" t="inlineStr"/>
      <c r="O248" s="8" t="inlineStr"/>
      <c r="P248" s="8" t="inlineStr"/>
      <c r="Q248" s="8" t="inlineStr"/>
      <c r="R248" s="8" t="n">
        <v>0</v>
      </c>
      <c r="S248" s="8" t="n">
        <v>0</v>
      </c>
      <c r="T248" s="8" t="n">
        <v>1114</v>
      </c>
    </row>
    <row r="249">
      <c r="A249" s="8" t="inlineStr"/>
      <c r="B249" s="8" t="inlineStr">
        <is>
          <t>Z999</t>
        </is>
      </c>
      <c r="C249" s="8" t="inlineStr">
        <is>
          <t>Vật liệu khác</t>
        </is>
      </c>
      <c r="E249" s="8" t="inlineStr">
        <is>
          <t>%</t>
        </is>
      </c>
      <c r="F249" s="8" t="inlineStr"/>
      <c r="G249" s="8" t="n">
        <v>0.01</v>
      </c>
      <c r="H249" s="8" t="inlineStr"/>
      <c r="I249" s="8" t="inlineStr"/>
      <c r="J249" s="8" t="inlineStr"/>
      <c r="K249" s="8" t="inlineStr"/>
      <c r="L249" s="8" t="inlineStr"/>
      <c r="M249" s="8" t="inlineStr"/>
      <c r="N249" s="8" t="n">
        <v>0</v>
      </c>
      <c r="O249" s="8" t="inlineStr"/>
      <c r="P249" s="8" t="n">
        <v>252.144</v>
      </c>
      <c r="Q249" s="8" t="inlineStr"/>
      <c r="R249" s="8" t="inlineStr"/>
      <c r="S249" s="8" t="inlineStr"/>
      <c r="T249" s="8" t="inlineStr"/>
    </row>
    <row r="250">
      <c r="A250" s="8" t="inlineStr"/>
      <c r="B250" s="8" t="inlineStr"/>
      <c r="C250" s="8" t="inlineStr">
        <is>
          <t>b) Nhân công</t>
        </is>
      </c>
      <c r="E250" s="8" t="inlineStr"/>
      <c r="F250" s="8" t="inlineStr"/>
      <c r="G250" s="8" t="inlineStr"/>
      <c r="H250" s="8" t="inlineStr"/>
      <c r="I250" s="8" t="inlineStr"/>
      <c r="J250" s="8" t="inlineStr"/>
      <c r="K250" s="8" t="inlineStr"/>
      <c r="L250" s="8" t="inlineStr"/>
      <c r="M250" s="8" t="inlineStr"/>
      <c r="N250" s="8" t="inlineStr"/>
      <c r="O250" s="8" t="inlineStr"/>
      <c r="P250" s="8" t="inlineStr"/>
      <c r="Q250" s="8" t="inlineStr"/>
      <c r="R250" s="8" t="inlineStr"/>
      <c r="S250" s="8" t="inlineStr"/>
      <c r="T250" s="8" t="inlineStr"/>
    </row>
    <row r="251">
      <c r="A251" s="8" t="inlineStr"/>
      <c r="B251" s="8" t="inlineStr">
        <is>
          <t>N3</t>
        </is>
      </c>
      <c r="C251" s="8" t="inlineStr">
        <is>
          <t>Nhân công nhóm 3</t>
        </is>
      </c>
      <c r="E251" s="8" t="inlineStr">
        <is>
          <t>công</t>
        </is>
      </c>
      <c r="F251" s="8" t="inlineStr"/>
      <c r="G251" s="8" t="inlineStr"/>
      <c r="H251" s="8" t="n">
        <v>5.84</v>
      </c>
      <c r="I251" s="8" t="inlineStr"/>
      <c r="J251" s="8" t="n">
        <v>1</v>
      </c>
      <c r="K251" s="8" t="inlineStr"/>
      <c r="L251" s="8" t="n">
        <v>4.672</v>
      </c>
      <c r="M251" s="8" t="inlineStr"/>
      <c r="N251" s="8" t="inlineStr"/>
      <c r="O251" s="8" t="inlineStr"/>
      <c r="P251" s="8" t="inlineStr"/>
      <c r="Q251" s="8" t="inlineStr"/>
      <c r="R251" s="8" t="inlineStr"/>
      <c r="S251" s="8" t="inlineStr"/>
      <c r="T251" s="8" t="n">
        <v>210</v>
      </c>
    </row>
    <row r="252">
      <c r="A252" s="8" t="n">
        <v>16</v>
      </c>
      <c r="B252" s="11" t="inlineStr">
        <is>
          <t>BC.14108</t>
        </is>
      </c>
      <c r="C252" s="8" t="inlineStr">
        <is>
          <t>Bảo ôn ống đồng D28.6 dày 19mm</t>
        </is>
      </c>
      <c r="D252" s="12">
        <f>HYPERLINK("tt38://pl3/212", "👉 Phụ lục III - Trang 212 (Khớp nhóm BC.1410)")</f>
        <v/>
      </c>
      <c r="E252" s="8" t="inlineStr">
        <is>
          <t>100m</t>
        </is>
      </c>
      <c r="F252" s="8" t="n">
        <v>1.6</v>
      </c>
      <c r="G252" s="8" t="inlineStr"/>
      <c r="H252" s="8" t="inlineStr"/>
      <c r="I252" s="8" t="inlineStr"/>
      <c r="J252" s="8" t="inlineStr"/>
      <c r="K252" s="8" t="inlineStr"/>
      <c r="L252" s="8" t="inlineStr"/>
      <c r="M252" s="8" t="inlineStr"/>
      <c r="N252" s="8" t="inlineStr"/>
      <c r="O252" s="8" t="inlineStr"/>
      <c r="P252" s="8" t="inlineStr"/>
      <c r="Q252" s="8" t="inlineStr"/>
      <c r="R252" s="8" t="inlineStr"/>
      <c r="S252" s="8" t="inlineStr"/>
      <c r="T252" s="8" t="inlineStr"/>
    </row>
    <row r="253">
      <c r="A253" s="8" t="inlineStr"/>
      <c r="B253" s="8" t="inlineStr"/>
      <c r="C253" s="8" t="inlineStr">
        <is>
          <t>a) Vật liệu</t>
        </is>
      </c>
      <c r="E253" s="8" t="inlineStr"/>
      <c r="F253" s="8" t="inlineStr"/>
      <c r="G253" s="8" t="inlineStr"/>
      <c r="H253" s="8" t="inlineStr"/>
      <c r="I253" s="8" t="inlineStr"/>
      <c r="J253" s="8" t="inlineStr"/>
      <c r="K253" s="8" t="inlineStr"/>
      <c r="L253" s="8" t="inlineStr"/>
      <c r="M253" s="8" t="inlineStr"/>
      <c r="N253" s="8" t="inlineStr"/>
      <c r="O253" s="8" t="inlineStr"/>
      <c r="P253" s="8" t="inlineStr"/>
      <c r="Q253" s="8" t="inlineStr"/>
      <c r="R253" s="8" t="inlineStr"/>
      <c r="S253" s="8" t="inlineStr"/>
      <c r="T253" s="8" t="inlineStr"/>
    </row>
    <row r="254">
      <c r="A254" s="8" t="inlineStr"/>
      <c r="B254" s="8" t="inlineStr">
        <is>
          <t>A33.085208</t>
        </is>
      </c>
      <c r="C254" s="8" t="inlineStr">
        <is>
          <t>Bảo ôn ống đồng D28.6 dày 19mm</t>
        </is>
      </c>
      <c r="E254" s="8" t="inlineStr">
        <is>
          <t>m</t>
        </is>
      </c>
      <c r="F254" s="8" t="inlineStr"/>
      <c r="G254" s="8" t="n">
        <v>100.5</v>
      </c>
      <c r="H254" s="8" t="inlineStr"/>
      <c r="I254" s="8" t="inlineStr"/>
      <c r="J254" s="8" t="n">
        <v>1</v>
      </c>
      <c r="K254" s="8" t="n">
        <v>160.8</v>
      </c>
      <c r="L254" s="8" t="inlineStr"/>
      <c r="M254" s="8" t="inlineStr"/>
      <c r="N254" s="8" t="inlineStr"/>
      <c r="O254" s="8" t="inlineStr"/>
      <c r="P254" s="8" t="inlineStr"/>
      <c r="Q254" s="8" t="inlineStr"/>
      <c r="R254" s="8" t="n">
        <v>0</v>
      </c>
      <c r="S254" s="8" t="n">
        <v>0</v>
      </c>
      <c r="T254" s="8" t="n">
        <v>114</v>
      </c>
    </row>
    <row r="255">
      <c r="A255" s="8" t="inlineStr"/>
      <c r="B255" s="8" t="inlineStr">
        <is>
          <t>A33.1143</t>
        </is>
      </c>
      <c r="C255" s="8" t="inlineStr">
        <is>
          <t>Băng cuốn bảo ôn</t>
        </is>
      </c>
      <c r="E255" s="8" t="inlineStr">
        <is>
          <t>cuộn</t>
        </is>
      </c>
      <c r="F255" s="8" t="inlineStr"/>
      <c r="G255" s="8" t="n">
        <v>35.92</v>
      </c>
      <c r="H255" s="8" t="inlineStr"/>
      <c r="I255" s="8" t="inlineStr"/>
      <c r="J255" s="8" t="n">
        <v>1</v>
      </c>
      <c r="K255" s="8" t="n">
        <v>57.47200000000001</v>
      </c>
      <c r="L255" s="8" t="inlineStr"/>
      <c r="M255" s="8" t="inlineStr"/>
      <c r="N255" s="8" t="inlineStr"/>
      <c r="O255" s="8" t="inlineStr"/>
      <c r="P255" s="8" t="inlineStr"/>
      <c r="Q255" s="8" t="inlineStr"/>
      <c r="R255" s="8" t="n">
        <v>0</v>
      </c>
      <c r="S255" s="8" t="n">
        <v>0</v>
      </c>
      <c r="T255" s="8" t="n">
        <v>1114</v>
      </c>
    </row>
    <row r="256">
      <c r="A256" s="8" t="inlineStr"/>
      <c r="B256" s="8" t="inlineStr">
        <is>
          <t>Z999</t>
        </is>
      </c>
      <c r="C256" s="8" t="inlineStr">
        <is>
          <t>Vật liệu khác</t>
        </is>
      </c>
      <c r="E256" s="8" t="inlineStr">
        <is>
          <t>%</t>
        </is>
      </c>
      <c r="F256" s="8" t="inlineStr"/>
      <c r="G256" s="8" t="n">
        <v>0.01</v>
      </c>
      <c r="H256" s="8" t="inlineStr"/>
      <c r="I256" s="8" t="inlineStr"/>
      <c r="J256" s="8" t="inlineStr"/>
      <c r="K256" s="8" t="inlineStr"/>
      <c r="L256" s="8" t="inlineStr"/>
      <c r="M256" s="8" t="inlineStr"/>
      <c r="N256" s="8" t="n">
        <v>0</v>
      </c>
      <c r="O256" s="8" t="inlineStr"/>
      <c r="P256" s="8" t="n">
        <v>616.8480000000001</v>
      </c>
      <c r="Q256" s="8" t="inlineStr"/>
      <c r="R256" s="8" t="inlineStr"/>
      <c r="S256" s="8" t="inlineStr"/>
      <c r="T256" s="8" t="inlineStr"/>
    </row>
    <row r="257">
      <c r="A257" s="8" t="inlineStr"/>
      <c r="B257" s="8" t="inlineStr"/>
      <c r="C257" s="8" t="inlineStr">
        <is>
          <t>b) Nhân công</t>
        </is>
      </c>
      <c r="E257" s="8" t="inlineStr"/>
      <c r="F257" s="8" t="inlineStr"/>
      <c r="G257" s="8" t="inlineStr"/>
      <c r="H257" s="8" t="inlineStr"/>
      <c r="I257" s="8" t="inlineStr"/>
      <c r="J257" s="8" t="inlineStr"/>
      <c r="K257" s="8" t="inlineStr"/>
      <c r="L257" s="8" t="inlineStr"/>
      <c r="M257" s="8" t="inlineStr"/>
      <c r="N257" s="8" t="inlineStr"/>
      <c r="O257" s="8" t="inlineStr"/>
      <c r="P257" s="8" t="inlineStr"/>
      <c r="Q257" s="8" t="inlineStr"/>
      <c r="R257" s="8" t="inlineStr"/>
      <c r="S257" s="8" t="inlineStr"/>
      <c r="T257" s="8" t="inlineStr"/>
    </row>
    <row r="258">
      <c r="A258" s="8" t="inlineStr"/>
      <c r="B258" s="8" t="inlineStr">
        <is>
          <t>N3</t>
        </is>
      </c>
      <c r="C258" s="8" t="inlineStr">
        <is>
          <t>Nhân công nhóm 3</t>
        </is>
      </c>
      <c r="E258" s="8" t="inlineStr">
        <is>
          <t>công</t>
        </is>
      </c>
      <c r="F258" s="8" t="inlineStr"/>
      <c r="G258" s="8" t="inlineStr"/>
      <c r="H258" s="8" t="n">
        <v>6.4</v>
      </c>
      <c r="I258" s="8" t="inlineStr"/>
      <c r="J258" s="8" t="n">
        <v>1</v>
      </c>
      <c r="K258" s="8" t="inlineStr"/>
      <c r="L258" s="8" t="n">
        <v>10.24</v>
      </c>
      <c r="M258" s="8" t="inlineStr"/>
      <c r="N258" s="8" t="inlineStr"/>
      <c r="O258" s="8" t="inlineStr"/>
      <c r="P258" s="8" t="inlineStr"/>
      <c r="Q258" s="8" t="inlineStr"/>
      <c r="R258" s="8" t="inlineStr"/>
      <c r="S258" s="8" t="inlineStr"/>
      <c r="T258" s="8" t="n">
        <v>210</v>
      </c>
    </row>
    <row r="259">
      <c r="A259" s="8" t="n">
        <v>17</v>
      </c>
      <c r="B259" s="11" t="inlineStr">
        <is>
          <t>BC.14110</t>
        </is>
      </c>
      <c r="C259" s="8" t="inlineStr">
        <is>
          <t>Bảo ôn ống đồng D34.9 dày 19mm</t>
        </is>
      </c>
      <c r="D259" s="12">
        <f>HYPERLINK("tt38://pl3/212", "👉 Phụ lục III - Trang 212 (Khớp nhóm BC.141)")</f>
        <v/>
      </c>
      <c r="E259" s="8" t="inlineStr">
        <is>
          <t>100m</t>
        </is>
      </c>
      <c r="F259" s="8" t="n">
        <v>1.6</v>
      </c>
      <c r="G259" s="8" t="inlineStr"/>
      <c r="H259" s="8" t="inlineStr"/>
      <c r="I259" s="8" t="inlineStr"/>
      <c r="J259" s="8" t="inlineStr"/>
      <c r="K259" s="8" t="inlineStr"/>
      <c r="L259" s="8" t="inlineStr"/>
      <c r="M259" s="8" t="inlineStr"/>
      <c r="N259" s="8" t="inlineStr"/>
      <c r="O259" s="8" t="inlineStr"/>
      <c r="P259" s="8" t="inlineStr"/>
      <c r="Q259" s="8" t="inlineStr"/>
      <c r="R259" s="8" t="inlineStr"/>
      <c r="S259" s="8" t="inlineStr"/>
      <c r="T259" s="8" t="inlineStr"/>
    </row>
    <row r="260">
      <c r="A260" s="8" t="inlineStr"/>
      <c r="B260" s="8" t="inlineStr"/>
      <c r="C260" s="8" t="inlineStr">
        <is>
          <t>a) Vật liệu</t>
        </is>
      </c>
      <c r="E260" s="8" t="inlineStr"/>
      <c r="F260" s="8" t="inlineStr"/>
      <c r="G260" s="8" t="inlineStr"/>
      <c r="H260" s="8" t="inlineStr"/>
      <c r="I260" s="8" t="inlineStr"/>
      <c r="J260" s="8" t="inlineStr"/>
      <c r="K260" s="8" t="inlineStr"/>
      <c r="L260" s="8" t="inlineStr"/>
      <c r="M260" s="8" t="inlineStr"/>
      <c r="N260" s="8" t="inlineStr"/>
      <c r="O260" s="8" t="inlineStr"/>
      <c r="P260" s="8" t="inlineStr"/>
      <c r="Q260" s="8" t="inlineStr"/>
      <c r="R260" s="8" t="inlineStr"/>
      <c r="S260" s="8" t="inlineStr"/>
      <c r="T260" s="8" t="inlineStr"/>
    </row>
    <row r="261">
      <c r="A261" s="8" t="inlineStr"/>
      <c r="B261" s="8" t="inlineStr">
        <is>
          <t>A33.085210</t>
        </is>
      </c>
      <c r="C261" s="8" t="inlineStr">
        <is>
          <t>Bảo ôn ống đồng D34.9 dày 19mm</t>
        </is>
      </c>
      <c r="E261" s="8" t="inlineStr">
        <is>
          <t>m</t>
        </is>
      </c>
      <c r="F261" s="8" t="inlineStr"/>
      <c r="G261" s="8" t="n">
        <v>100.5</v>
      </c>
      <c r="H261" s="8" t="inlineStr"/>
      <c r="I261" s="8" t="inlineStr"/>
      <c r="J261" s="8" t="n">
        <v>1</v>
      </c>
      <c r="K261" s="8" t="n">
        <v>160.8</v>
      </c>
      <c r="L261" s="8" t="inlineStr"/>
      <c r="M261" s="8" t="inlineStr"/>
      <c r="N261" s="8" t="inlineStr"/>
      <c r="O261" s="8" t="inlineStr"/>
      <c r="P261" s="8" t="inlineStr"/>
      <c r="Q261" s="8" t="inlineStr"/>
      <c r="R261" s="8" t="n">
        <v>0</v>
      </c>
      <c r="S261" s="8" t="n">
        <v>0</v>
      </c>
      <c r="T261" s="8" t="n">
        <v>115</v>
      </c>
    </row>
    <row r="262">
      <c r="A262" s="8" t="inlineStr"/>
      <c r="B262" s="8" t="inlineStr">
        <is>
          <t>A33.1143</t>
        </is>
      </c>
      <c r="C262" s="8" t="inlineStr">
        <is>
          <t>Băng cuốn bảo ôn</t>
        </is>
      </c>
      <c r="E262" s="8" t="inlineStr">
        <is>
          <t>cuộn</t>
        </is>
      </c>
      <c r="F262" s="8" t="inlineStr"/>
      <c r="G262" s="8" t="n">
        <v>43.83</v>
      </c>
      <c r="H262" s="8" t="inlineStr"/>
      <c r="I262" s="8" t="inlineStr"/>
      <c r="J262" s="8" t="n">
        <v>1</v>
      </c>
      <c r="K262" s="8" t="n">
        <v>70.128</v>
      </c>
      <c r="L262" s="8" t="inlineStr"/>
      <c r="M262" s="8" t="inlineStr"/>
      <c r="N262" s="8" t="inlineStr"/>
      <c r="O262" s="8" t="inlineStr"/>
      <c r="P262" s="8" t="inlineStr"/>
      <c r="Q262" s="8" t="inlineStr"/>
      <c r="R262" s="8" t="n">
        <v>0</v>
      </c>
      <c r="S262" s="8" t="n">
        <v>0</v>
      </c>
      <c r="T262" s="8" t="n">
        <v>1114</v>
      </c>
    </row>
    <row r="263">
      <c r="A263" s="8" t="inlineStr"/>
      <c r="B263" s="8" t="inlineStr">
        <is>
          <t>Z999</t>
        </is>
      </c>
      <c r="C263" s="8" t="inlineStr">
        <is>
          <t>Vật liệu khác</t>
        </is>
      </c>
      <c r="E263" s="8" t="inlineStr">
        <is>
          <t>%</t>
        </is>
      </c>
      <c r="F263" s="8" t="inlineStr"/>
      <c r="G263" s="8" t="n">
        <v>0.01</v>
      </c>
      <c r="H263" s="8" t="inlineStr"/>
      <c r="I263" s="8" t="inlineStr"/>
      <c r="J263" s="8" t="inlineStr"/>
      <c r="K263" s="8" t="inlineStr"/>
      <c r="L263" s="8" t="inlineStr"/>
      <c r="M263" s="8" t="inlineStr"/>
      <c r="N263" s="8" t="n">
        <v>0</v>
      </c>
      <c r="O263" s="8" t="inlineStr"/>
      <c r="P263" s="8" t="n">
        <v>777.336</v>
      </c>
      <c r="Q263" s="8" t="inlineStr"/>
      <c r="R263" s="8" t="inlineStr"/>
      <c r="S263" s="8" t="inlineStr"/>
      <c r="T263" s="8" t="inlineStr"/>
    </row>
    <row r="264">
      <c r="A264" s="8" t="inlineStr"/>
      <c r="B264" s="8" t="inlineStr"/>
      <c r="C264" s="8" t="inlineStr">
        <is>
          <t>b) Nhân công</t>
        </is>
      </c>
      <c r="E264" s="8" t="inlineStr"/>
      <c r="F264" s="8" t="inlineStr"/>
      <c r="G264" s="8" t="inlineStr"/>
      <c r="H264" s="8" t="inlineStr"/>
      <c r="I264" s="8" t="inlineStr"/>
      <c r="J264" s="8" t="inlineStr"/>
      <c r="K264" s="8" t="inlineStr"/>
      <c r="L264" s="8" t="inlineStr"/>
      <c r="M264" s="8" t="inlineStr"/>
      <c r="N264" s="8" t="inlineStr"/>
      <c r="O264" s="8" t="inlineStr"/>
      <c r="P264" s="8" t="inlineStr"/>
      <c r="Q264" s="8" t="inlineStr"/>
      <c r="R264" s="8" t="inlineStr"/>
      <c r="S264" s="8" t="inlineStr"/>
      <c r="T264" s="8" t="inlineStr"/>
    </row>
    <row r="265">
      <c r="A265" s="8" t="inlineStr"/>
      <c r="B265" s="8" t="inlineStr">
        <is>
          <t>N3</t>
        </is>
      </c>
      <c r="C265" s="8" t="inlineStr">
        <is>
          <t>Nhân công nhóm 3</t>
        </is>
      </c>
      <c r="E265" s="8" t="inlineStr">
        <is>
          <t>công</t>
        </is>
      </c>
      <c r="F265" s="8" t="inlineStr"/>
      <c r="G265" s="8" t="inlineStr"/>
      <c r="H265" s="8" t="n">
        <v>6.61</v>
      </c>
      <c r="I265" s="8" t="inlineStr"/>
      <c r="J265" s="8" t="n">
        <v>1</v>
      </c>
      <c r="K265" s="8" t="inlineStr"/>
      <c r="L265" s="8" t="n">
        <v>10.576</v>
      </c>
      <c r="M265" s="8" t="inlineStr"/>
      <c r="N265" s="8" t="inlineStr"/>
      <c r="O265" s="8" t="inlineStr"/>
      <c r="P265" s="8" t="inlineStr"/>
      <c r="Q265" s="8" t="inlineStr"/>
      <c r="R265" s="8" t="inlineStr"/>
      <c r="S265" s="8" t="inlineStr"/>
      <c r="T265" s="8" t="n">
        <v>210</v>
      </c>
    </row>
    <row r="266">
      <c r="A266" s="8" t="n">
        <v>18</v>
      </c>
      <c r="B266" s="11" t="inlineStr">
        <is>
          <t>BC.14112</t>
        </is>
      </c>
      <c r="C266" s="8" t="inlineStr">
        <is>
          <t>Bảo ôn ống đồng D41.3 dày 19mm</t>
        </is>
      </c>
      <c r="D266" s="12">
        <f>HYPERLINK("tt38://pl3/212", "👉 Phụ lục III - Trang 212 (Khớp nhóm BC.141)")</f>
        <v/>
      </c>
      <c r="E266" s="8" t="inlineStr">
        <is>
          <t>100m</t>
        </is>
      </c>
      <c r="F266" s="8" t="n">
        <v>2.4</v>
      </c>
      <c r="G266" s="8" t="inlineStr"/>
      <c r="H266" s="8" t="inlineStr"/>
      <c r="I266" s="8" t="inlineStr"/>
      <c r="J266" s="8" t="inlineStr"/>
      <c r="K266" s="8" t="inlineStr"/>
      <c r="L266" s="8" t="inlineStr"/>
      <c r="M266" s="8" t="inlineStr"/>
      <c r="N266" s="8" t="inlineStr"/>
      <c r="O266" s="8" t="inlineStr"/>
      <c r="P266" s="8" t="inlineStr"/>
      <c r="Q266" s="8" t="inlineStr"/>
      <c r="R266" s="8" t="inlineStr"/>
      <c r="S266" s="8" t="inlineStr"/>
      <c r="T266" s="8" t="inlineStr"/>
    </row>
    <row r="267">
      <c r="A267" s="8" t="inlineStr"/>
      <c r="B267" s="8" t="inlineStr"/>
      <c r="C267" s="8" t="inlineStr">
        <is>
          <t>a) Vật liệu</t>
        </is>
      </c>
      <c r="E267" s="8" t="inlineStr"/>
      <c r="F267" s="8" t="inlineStr"/>
      <c r="G267" s="8" t="inlineStr"/>
      <c r="H267" s="8" t="inlineStr"/>
      <c r="I267" s="8" t="inlineStr"/>
      <c r="J267" s="8" t="inlineStr"/>
      <c r="K267" s="8" t="inlineStr"/>
      <c r="L267" s="8" t="inlineStr"/>
      <c r="M267" s="8" t="inlineStr"/>
      <c r="N267" s="8" t="inlineStr"/>
      <c r="O267" s="8" t="inlineStr"/>
      <c r="P267" s="8" t="inlineStr"/>
      <c r="Q267" s="8" t="inlineStr"/>
      <c r="R267" s="8" t="inlineStr"/>
      <c r="S267" s="8" t="inlineStr"/>
      <c r="T267" s="8" t="inlineStr"/>
    </row>
    <row r="268">
      <c r="A268" s="8" t="inlineStr"/>
      <c r="B268" s="8" t="inlineStr">
        <is>
          <t>A33.085212</t>
        </is>
      </c>
      <c r="C268" s="8" t="inlineStr">
        <is>
          <t>Bảo ôn ống đồng D41.3 dày 19mm</t>
        </is>
      </c>
      <c r="E268" s="8" t="inlineStr">
        <is>
          <t>m</t>
        </is>
      </c>
      <c r="F268" s="8" t="inlineStr"/>
      <c r="G268" s="8" t="n">
        <v>100.5</v>
      </c>
      <c r="H268" s="8" t="inlineStr"/>
      <c r="I268" s="8" t="inlineStr"/>
      <c r="J268" s="8" t="n">
        <v>1</v>
      </c>
      <c r="K268" s="8" t="n">
        <v>241.2</v>
      </c>
      <c r="L268" s="8" t="inlineStr"/>
      <c r="M268" s="8" t="inlineStr"/>
      <c r="N268" s="8" t="inlineStr"/>
      <c r="O268" s="8" t="inlineStr"/>
      <c r="P268" s="8" t="inlineStr"/>
      <c r="Q268" s="8" t="inlineStr"/>
      <c r="R268" s="8" t="n">
        <v>0</v>
      </c>
      <c r="S268" s="8" t="n">
        <v>0</v>
      </c>
      <c r="T268" s="8" t="n">
        <v>116</v>
      </c>
    </row>
    <row r="269">
      <c r="A269" s="8" t="inlineStr"/>
      <c r="B269" s="8" t="inlineStr">
        <is>
          <t>A33.1143</t>
        </is>
      </c>
      <c r="C269" s="8" t="inlineStr">
        <is>
          <t>Băng cuốn bảo ôn</t>
        </is>
      </c>
      <c r="E269" s="8" t="inlineStr">
        <is>
          <t>cuộn</t>
        </is>
      </c>
      <c r="F269" s="8" t="inlineStr"/>
      <c r="G269" s="8" t="n">
        <v>51.87</v>
      </c>
      <c r="H269" s="8" t="inlineStr"/>
      <c r="I269" s="8" t="inlineStr"/>
      <c r="J269" s="8" t="n">
        <v>1</v>
      </c>
      <c r="K269" s="8" t="n">
        <v>124.488</v>
      </c>
      <c r="L269" s="8" t="inlineStr"/>
      <c r="M269" s="8" t="inlineStr"/>
      <c r="N269" s="8" t="inlineStr"/>
      <c r="O269" s="8" t="inlineStr"/>
      <c r="P269" s="8" t="inlineStr"/>
      <c r="Q269" s="8" t="inlineStr"/>
      <c r="R269" s="8" t="n">
        <v>0</v>
      </c>
      <c r="S269" s="8" t="n">
        <v>0</v>
      </c>
      <c r="T269" s="8" t="n">
        <v>1114</v>
      </c>
    </row>
    <row r="270">
      <c r="A270" s="8" t="inlineStr"/>
      <c r="B270" s="8" t="inlineStr">
        <is>
          <t>Z999</t>
        </is>
      </c>
      <c r="C270" s="8" t="inlineStr">
        <is>
          <t>Vật liệu khác</t>
        </is>
      </c>
      <c r="E270" s="8" t="inlineStr">
        <is>
          <t>%</t>
        </is>
      </c>
      <c r="F270" s="8" t="inlineStr"/>
      <c r="G270" s="8" t="n">
        <v>0.01</v>
      </c>
      <c r="H270" s="8" t="inlineStr"/>
      <c r="I270" s="8" t="inlineStr"/>
      <c r="J270" s="8" t="inlineStr"/>
      <c r="K270" s="8" t="inlineStr"/>
      <c r="L270" s="8" t="inlineStr"/>
      <c r="M270" s="8" t="inlineStr"/>
      <c r="N270" s="8" t="n">
        <v>0</v>
      </c>
      <c r="O270" s="8" t="inlineStr"/>
      <c r="P270" s="8" t="n">
        <v>1346.904</v>
      </c>
      <c r="Q270" s="8" t="inlineStr"/>
      <c r="R270" s="8" t="inlineStr"/>
      <c r="S270" s="8" t="inlineStr"/>
      <c r="T270" s="8" t="inlineStr"/>
    </row>
    <row r="271">
      <c r="A271" s="8" t="inlineStr"/>
      <c r="B271" s="8" t="inlineStr"/>
      <c r="C271" s="8" t="inlineStr">
        <is>
          <t>b) Nhân công</t>
        </is>
      </c>
      <c r="E271" s="8" t="inlineStr"/>
      <c r="F271" s="8" t="inlineStr"/>
      <c r="G271" s="8" t="inlineStr"/>
      <c r="H271" s="8" t="inlineStr"/>
      <c r="I271" s="8" t="inlineStr"/>
      <c r="J271" s="8" t="inlineStr"/>
      <c r="K271" s="8" t="inlineStr"/>
      <c r="L271" s="8" t="inlineStr"/>
      <c r="M271" s="8" t="inlineStr"/>
      <c r="N271" s="8" t="inlineStr"/>
      <c r="O271" s="8" t="inlineStr"/>
      <c r="P271" s="8" t="inlineStr"/>
      <c r="Q271" s="8" t="inlineStr"/>
      <c r="R271" s="8" t="inlineStr"/>
      <c r="S271" s="8" t="inlineStr"/>
      <c r="T271" s="8" t="inlineStr"/>
    </row>
    <row r="272">
      <c r="A272" s="8" t="inlineStr"/>
      <c r="B272" s="8" t="inlineStr">
        <is>
          <t>N3</t>
        </is>
      </c>
      <c r="C272" s="8" t="inlineStr">
        <is>
          <t>Nhân công nhóm 3</t>
        </is>
      </c>
      <c r="E272" s="8" t="inlineStr">
        <is>
          <t>công</t>
        </is>
      </c>
      <c r="F272" s="8" t="inlineStr"/>
      <c r="G272" s="8" t="inlineStr"/>
      <c r="H272" s="8" t="n">
        <v>6.96</v>
      </c>
      <c r="I272" s="8" t="inlineStr"/>
      <c r="J272" s="8" t="n">
        <v>1</v>
      </c>
      <c r="K272" s="8" t="inlineStr"/>
      <c r="L272" s="8" t="n">
        <v>16.704</v>
      </c>
      <c r="M272" s="8" t="inlineStr"/>
      <c r="N272" s="8" t="inlineStr"/>
      <c r="O272" s="8" t="inlineStr"/>
      <c r="P272" s="8" t="inlineStr"/>
      <c r="Q272" s="8" t="inlineStr"/>
      <c r="R272" s="8" t="inlineStr"/>
      <c r="S272" s="8" t="inlineStr"/>
      <c r="T272" s="8" t="n">
        <v>210</v>
      </c>
    </row>
    <row r="273">
      <c r="A273" s="8" t="inlineStr"/>
      <c r="B273" s="8" t="inlineStr"/>
      <c r="C273" s="8" t="inlineStr">
        <is>
          <t>KẾT THÚC : Ống đồng</t>
        </is>
      </c>
      <c r="E273" s="8" t="inlineStr"/>
      <c r="F273" s="8" t="inlineStr"/>
      <c r="G273" s="8" t="inlineStr"/>
      <c r="H273" s="8" t="inlineStr"/>
      <c r="I273" s="8" t="inlineStr"/>
      <c r="J273" s="8" t="inlineStr"/>
      <c r="K273" s="8" t="inlineStr"/>
      <c r="L273" s="8" t="inlineStr"/>
      <c r="M273" s="8" t="inlineStr"/>
      <c r="N273" s="8" t="inlineStr"/>
      <c r="O273" s="8" t="inlineStr"/>
      <c r="P273" s="8" t="inlineStr"/>
      <c r="Q273" s="8" t="inlineStr"/>
      <c r="R273" s="8" t="inlineStr"/>
      <c r="S273" s="8" t="inlineStr"/>
      <c r="T273" s="8" t="inlineStr"/>
    </row>
    <row r="274">
      <c r="A274" s="8" t="inlineStr"/>
      <c r="B274" s="8" t="inlineStr">
        <is>
          <t>*</t>
        </is>
      </c>
      <c r="C274" s="8" t="inlineStr">
        <is>
          <t>Ống nước ngưng</t>
        </is>
      </c>
      <c r="E274" s="8" t="n">
        <v>0</v>
      </c>
      <c r="F274" s="8" t="n">
        <v>0</v>
      </c>
      <c r="G274" s="8" t="inlineStr"/>
      <c r="H274" s="8" t="inlineStr"/>
      <c r="I274" s="8" t="inlineStr"/>
      <c r="J274" s="8" t="inlineStr"/>
      <c r="K274" s="8" t="inlineStr"/>
      <c r="L274" s="8" t="inlineStr"/>
      <c r="M274" s="8" t="inlineStr"/>
      <c r="N274" s="8" t="inlineStr"/>
      <c r="O274" s="8" t="inlineStr"/>
      <c r="P274" s="8" t="inlineStr"/>
      <c r="Q274" s="8" t="inlineStr"/>
      <c r="R274" s="8" t="inlineStr"/>
      <c r="S274" s="8" t="inlineStr"/>
      <c r="T274" s="8" t="inlineStr"/>
    </row>
    <row r="275">
      <c r="A275" s="8" t="n">
        <v>19</v>
      </c>
      <c r="B275" s="11" t="inlineStr">
        <is>
          <t>BB.41101</t>
        </is>
      </c>
      <c r="C275" s="8" t="inlineStr">
        <is>
          <t>Ống uPVC_D21</t>
        </is>
      </c>
      <c r="D275" s="12">
        <f>HYPERLINK("tt38://pl3/71", "👉 Phụ lục III - Trang 71 (Khớp nhóm BB.4110)")</f>
        <v/>
      </c>
      <c r="E275" s="8" t="inlineStr">
        <is>
          <t>100m</t>
        </is>
      </c>
      <c r="F275" s="8" t="n">
        <v>0.6</v>
      </c>
      <c r="G275" s="8" t="inlineStr"/>
      <c r="H275" s="8" t="inlineStr"/>
      <c r="I275" s="8" t="inlineStr"/>
      <c r="J275" s="8" t="inlineStr"/>
      <c r="K275" s="8" t="inlineStr"/>
      <c r="L275" s="8" t="inlineStr"/>
      <c r="M275" s="8" t="inlineStr"/>
      <c r="N275" s="8" t="inlineStr"/>
      <c r="O275" s="8" t="inlineStr"/>
      <c r="P275" s="8" t="inlineStr"/>
      <c r="Q275" s="8" t="inlineStr"/>
      <c r="R275" s="8" t="inlineStr"/>
      <c r="S275" s="8" t="inlineStr"/>
      <c r="T275" s="8" t="inlineStr"/>
    </row>
    <row r="276">
      <c r="A276" s="8" t="inlineStr"/>
      <c r="B276" s="8" t="inlineStr"/>
      <c r="C276" s="8" t="inlineStr">
        <is>
          <t>a) Vật liệu</t>
        </is>
      </c>
      <c r="E276" s="8" t="inlineStr"/>
      <c r="F276" s="8" t="inlineStr"/>
      <c r="G276" s="8" t="inlineStr"/>
      <c r="H276" s="8" t="inlineStr"/>
      <c r="I276" s="8" t="inlineStr"/>
      <c r="J276" s="8" t="inlineStr"/>
      <c r="K276" s="8" t="inlineStr"/>
      <c r="L276" s="8" t="inlineStr"/>
      <c r="M276" s="8" t="inlineStr"/>
      <c r="N276" s="8" t="inlineStr"/>
      <c r="O276" s="8" t="inlineStr"/>
      <c r="P276" s="8" t="inlineStr"/>
      <c r="Q276" s="8" t="inlineStr"/>
      <c r="R276" s="8" t="inlineStr"/>
      <c r="S276" s="8" t="inlineStr"/>
      <c r="T276" s="8" t="inlineStr"/>
    </row>
    <row r="277">
      <c r="A277" s="8" t="inlineStr"/>
      <c r="B277" s="8" t="inlineStr">
        <is>
          <t>A33.0332</t>
        </is>
      </c>
      <c r="C277" s="8" t="inlineStr">
        <is>
          <t>Ống uPVC_D21</t>
        </is>
      </c>
      <c r="E277" s="8" t="inlineStr">
        <is>
          <t>m</t>
        </is>
      </c>
      <c r="F277" s="8" t="inlineStr"/>
      <c r="G277" s="8" t="n">
        <v>101</v>
      </c>
      <c r="H277" s="8" t="inlineStr"/>
      <c r="I277" s="8" t="inlineStr"/>
      <c r="J277" s="8" t="n">
        <v>1</v>
      </c>
      <c r="K277" s="8" t="n">
        <v>60.59999999999999</v>
      </c>
      <c r="L277" s="8" t="inlineStr"/>
      <c r="M277" s="8" t="inlineStr"/>
      <c r="N277" s="8" t="inlineStr"/>
      <c r="O277" s="8" t="inlineStr"/>
      <c r="P277" s="8" t="inlineStr"/>
      <c r="Q277" s="8" t="inlineStr"/>
      <c r="R277" s="8" t="n">
        <v>0</v>
      </c>
      <c r="S277" s="8" t="n">
        <v>0</v>
      </c>
      <c r="T277" s="8" t="n">
        <v>1132</v>
      </c>
    </row>
    <row r="278">
      <c r="A278" s="8" t="inlineStr"/>
      <c r="B278" s="8" t="inlineStr">
        <is>
          <t>A33.0345</t>
        </is>
      </c>
      <c r="C278" s="8" t="inlineStr">
        <is>
          <t>Cồn rửa</t>
        </is>
      </c>
      <c r="E278" s="8" t="inlineStr">
        <is>
          <t>kg</t>
        </is>
      </c>
      <c r="F278" s="8" t="inlineStr"/>
      <c r="G278" s="8" t="n">
        <v>0.11</v>
      </c>
      <c r="H278" s="8" t="inlineStr"/>
      <c r="I278" s="8" t="inlineStr"/>
      <c r="J278" s="8" t="n">
        <v>1</v>
      </c>
      <c r="K278" s="8" t="n">
        <v>0.066</v>
      </c>
      <c r="L278" s="8" t="inlineStr"/>
      <c r="M278" s="8" t="inlineStr"/>
      <c r="N278" s="8" t="inlineStr"/>
      <c r="O278" s="8" t="inlineStr"/>
      <c r="P278" s="8" t="inlineStr"/>
      <c r="Q278" s="8" t="inlineStr"/>
      <c r="R278" s="8" t="n">
        <v>0</v>
      </c>
      <c r="S278" s="8" t="n">
        <v>0</v>
      </c>
      <c r="T278" s="8" t="n">
        <v>1115</v>
      </c>
    </row>
    <row r="279">
      <c r="A279" s="8" t="inlineStr"/>
      <c r="B279" s="8" t="inlineStr">
        <is>
          <t>A33.0346</t>
        </is>
      </c>
      <c r="C279" s="8" t="inlineStr">
        <is>
          <t>Nhựa dán</t>
        </is>
      </c>
      <c r="E279" s="8" t="inlineStr">
        <is>
          <t>kg</t>
        </is>
      </c>
      <c r="F279" s="8" t="inlineStr"/>
      <c r="G279" s="8" t="n">
        <v>0.02</v>
      </c>
      <c r="H279" s="8" t="inlineStr"/>
      <c r="I279" s="8" t="inlineStr"/>
      <c r="J279" s="8" t="n">
        <v>1</v>
      </c>
      <c r="K279" s="8" t="n">
        <v>0.012</v>
      </c>
      <c r="L279" s="8" t="inlineStr"/>
      <c r="M279" s="8" t="inlineStr"/>
      <c r="N279" s="8" t="inlineStr"/>
      <c r="O279" s="8" t="inlineStr"/>
      <c r="P279" s="8" t="inlineStr"/>
      <c r="Q279" s="8" t="inlineStr"/>
      <c r="R279" s="8" t="n">
        <v>0</v>
      </c>
      <c r="S279" s="8" t="n">
        <v>0</v>
      </c>
      <c r="T279" s="8" t="n">
        <v>1121</v>
      </c>
    </row>
    <row r="280">
      <c r="A280" s="8" t="inlineStr"/>
      <c r="B280" s="8" t="inlineStr">
        <is>
          <t>Z999</t>
        </is>
      </c>
      <c r="C280" s="8" t="inlineStr">
        <is>
          <t>Vật liệu khác</t>
        </is>
      </c>
      <c r="E280" s="8" t="inlineStr">
        <is>
          <t>%</t>
        </is>
      </c>
      <c r="F280" s="8" t="inlineStr"/>
      <c r="G280" s="8" t="n">
        <v>0.01</v>
      </c>
      <c r="H280" s="8" t="inlineStr"/>
      <c r="I280" s="8" t="inlineStr"/>
      <c r="J280" s="8" t="inlineStr"/>
      <c r="K280" s="8" t="inlineStr"/>
      <c r="L280" s="8" t="inlineStr"/>
      <c r="M280" s="8" t="inlineStr"/>
      <c r="N280" s="8" t="n">
        <v>0</v>
      </c>
      <c r="O280" s="8" t="inlineStr"/>
      <c r="P280" s="8" t="n">
        <v>51.0864</v>
      </c>
      <c r="Q280" s="8" t="inlineStr"/>
      <c r="R280" s="8" t="inlineStr"/>
      <c r="S280" s="8" t="inlineStr"/>
      <c r="T280" s="8" t="inlineStr"/>
    </row>
    <row r="281">
      <c r="A281" s="8" t="inlineStr"/>
      <c r="B281" s="8" t="inlineStr"/>
      <c r="C281" s="8" t="inlineStr">
        <is>
          <t>b) Nhân công</t>
        </is>
      </c>
      <c r="E281" s="8" t="inlineStr"/>
      <c r="F281" s="8" t="inlineStr"/>
      <c r="G281" s="8" t="inlineStr"/>
      <c r="H281" s="8" t="inlineStr"/>
      <c r="I281" s="8" t="inlineStr"/>
      <c r="J281" s="8" t="inlineStr"/>
      <c r="K281" s="8" t="inlineStr"/>
      <c r="L281" s="8" t="inlineStr"/>
      <c r="M281" s="8" t="inlineStr"/>
      <c r="N281" s="8" t="inlineStr"/>
      <c r="O281" s="8" t="inlineStr"/>
      <c r="P281" s="8" t="inlineStr"/>
      <c r="Q281" s="8" t="inlineStr"/>
      <c r="R281" s="8" t="inlineStr"/>
      <c r="S281" s="8" t="inlineStr"/>
      <c r="T281" s="8" t="inlineStr"/>
    </row>
    <row r="282">
      <c r="A282" s="8" t="inlineStr"/>
      <c r="B282" s="8" t="inlineStr">
        <is>
          <t>N3</t>
        </is>
      </c>
      <c r="C282" s="8" t="inlineStr">
        <is>
          <t>Nhân công nhóm 3</t>
        </is>
      </c>
      <c r="E282" s="8" t="inlineStr">
        <is>
          <t>công</t>
        </is>
      </c>
      <c r="F282" s="8" t="inlineStr"/>
      <c r="G282" s="8" t="inlineStr"/>
      <c r="H282" s="8" t="n">
        <v>2.49</v>
      </c>
      <c r="I282" s="8" t="inlineStr"/>
      <c r="J282" s="8" t="n">
        <v>1</v>
      </c>
      <c r="K282" s="8" t="inlineStr"/>
      <c r="L282" s="8" t="n">
        <v>1.494</v>
      </c>
      <c r="M282" s="8" t="inlineStr"/>
      <c r="N282" s="8" t="inlineStr"/>
      <c r="O282" s="8" t="inlineStr"/>
      <c r="P282" s="8" t="inlineStr"/>
      <c r="Q282" s="8" t="inlineStr"/>
      <c r="R282" s="8" t="inlineStr"/>
      <c r="S282" s="8" t="inlineStr"/>
      <c r="T282" s="8" t="n">
        <v>210</v>
      </c>
    </row>
    <row r="283">
      <c r="A283" s="8" t="n">
        <v>20</v>
      </c>
      <c r="B283" s="11" t="inlineStr">
        <is>
          <t>BB.41102</t>
        </is>
      </c>
      <c r="C283" s="8" t="inlineStr">
        <is>
          <t>Ống uPVC_D27</t>
        </is>
      </c>
      <c r="D283" s="12">
        <f>HYPERLINK("tt38://pl3/71", "👉 Phụ lục III - Trang 71 (Khớp nhóm BB.4110)")</f>
        <v/>
      </c>
      <c r="E283" s="8" t="inlineStr">
        <is>
          <t>100m</t>
        </is>
      </c>
      <c r="F283" s="8" t="n">
        <v>17.6</v>
      </c>
      <c r="G283" s="8" t="inlineStr"/>
      <c r="H283" s="8" t="inlineStr"/>
      <c r="I283" s="8" t="inlineStr"/>
      <c r="J283" s="8" t="inlineStr"/>
      <c r="K283" s="8" t="inlineStr"/>
      <c r="L283" s="8" t="inlineStr"/>
      <c r="M283" s="8" t="inlineStr"/>
      <c r="N283" s="8" t="inlineStr"/>
      <c r="O283" s="8" t="inlineStr"/>
      <c r="P283" s="8" t="inlineStr"/>
      <c r="Q283" s="8" t="inlineStr"/>
      <c r="R283" s="8" t="inlineStr"/>
      <c r="S283" s="8" t="inlineStr"/>
      <c r="T283" s="8" t="inlineStr"/>
    </row>
    <row r="284">
      <c r="A284" s="8" t="inlineStr"/>
      <c r="B284" s="8" t="inlineStr"/>
      <c r="C284" s="8" t="inlineStr">
        <is>
          <t>a) Vật liệu</t>
        </is>
      </c>
      <c r="E284" s="8" t="inlineStr"/>
      <c r="F284" s="8" t="inlineStr"/>
      <c r="G284" s="8" t="inlineStr"/>
      <c r="H284" s="8" t="inlineStr"/>
      <c r="I284" s="8" t="inlineStr"/>
      <c r="J284" s="8" t="inlineStr"/>
      <c r="K284" s="8" t="inlineStr"/>
      <c r="L284" s="8" t="inlineStr"/>
      <c r="M284" s="8" t="inlineStr"/>
      <c r="N284" s="8" t="inlineStr"/>
      <c r="O284" s="8" t="inlineStr"/>
      <c r="P284" s="8" t="inlineStr"/>
      <c r="Q284" s="8" t="inlineStr"/>
      <c r="R284" s="8" t="inlineStr"/>
      <c r="S284" s="8" t="inlineStr"/>
      <c r="T284" s="8" t="inlineStr"/>
    </row>
    <row r="285">
      <c r="A285" s="8" t="inlineStr"/>
      <c r="B285" s="8" t="inlineStr">
        <is>
          <t>A33.0333</t>
        </is>
      </c>
      <c r="C285" s="8" t="inlineStr">
        <is>
          <t>Ống uPVC_D27</t>
        </is>
      </c>
      <c r="E285" s="8" t="inlineStr">
        <is>
          <t>m</t>
        </is>
      </c>
      <c r="F285" s="8" t="inlineStr"/>
      <c r="G285" s="8" t="n">
        <v>101</v>
      </c>
      <c r="H285" s="8" t="inlineStr"/>
      <c r="I285" s="8" t="inlineStr"/>
      <c r="J285" s="8" t="n">
        <v>1</v>
      </c>
      <c r="K285" s="8" t="n">
        <v>1777.6</v>
      </c>
      <c r="L285" s="8" t="inlineStr"/>
      <c r="M285" s="8" t="inlineStr"/>
      <c r="N285" s="8" t="inlineStr"/>
      <c r="O285" s="8" t="inlineStr"/>
      <c r="P285" s="8" t="inlineStr"/>
      <c r="Q285" s="8" t="inlineStr"/>
      <c r="R285" s="8" t="n">
        <v>0</v>
      </c>
      <c r="S285" s="8" t="n">
        <v>0</v>
      </c>
      <c r="T285" s="8" t="n">
        <v>1133</v>
      </c>
    </row>
    <row r="286">
      <c r="A286" s="8" t="inlineStr"/>
      <c r="B286" s="8" t="inlineStr">
        <is>
          <t>A33.0345</t>
        </is>
      </c>
      <c r="C286" s="8" t="inlineStr">
        <is>
          <t>Cồn rửa</t>
        </is>
      </c>
      <c r="E286" s="8" t="inlineStr">
        <is>
          <t>kg</t>
        </is>
      </c>
      <c r="F286" s="8" t="inlineStr"/>
      <c r="G286" s="8" t="n">
        <v>0.13</v>
      </c>
      <c r="H286" s="8" t="inlineStr"/>
      <c r="I286" s="8" t="inlineStr"/>
      <c r="J286" s="8" t="n">
        <v>1</v>
      </c>
      <c r="K286" s="8" t="n">
        <v>2.288</v>
      </c>
      <c r="L286" s="8" t="inlineStr"/>
      <c r="M286" s="8" t="inlineStr"/>
      <c r="N286" s="8" t="inlineStr"/>
      <c r="O286" s="8" t="inlineStr"/>
      <c r="P286" s="8" t="inlineStr"/>
      <c r="Q286" s="8" t="inlineStr"/>
      <c r="R286" s="8" t="n">
        <v>0</v>
      </c>
      <c r="S286" s="8" t="n">
        <v>0</v>
      </c>
      <c r="T286" s="8" t="n">
        <v>1115</v>
      </c>
    </row>
    <row r="287">
      <c r="A287" s="8" t="inlineStr"/>
      <c r="B287" s="8" t="inlineStr">
        <is>
          <t>A33.0346</t>
        </is>
      </c>
      <c r="C287" s="8" t="inlineStr">
        <is>
          <t>Nhựa dán</t>
        </is>
      </c>
      <c r="E287" s="8" t="inlineStr">
        <is>
          <t>kg</t>
        </is>
      </c>
      <c r="F287" s="8" t="inlineStr"/>
      <c r="G287" s="8" t="n">
        <v>0.03</v>
      </c>
      <c r="H287" s="8" t="inlineStr"/>
      <c r="I287" s="8" t="inlineStr"/>
      <c r="J287" s="8" t="n">
        <v>1</v>
      </c>
      <c r="K287" s="8" t="n">
        <v>0.528</v>
      </c>
      <c r="L287" s="8" t="inlineStr"/>
      <c r="M287" s="8" t="inlineStr"/>
      <c r="N287" s="8" t="inlineStr"/>
      <c r="O287" s="8" t="inlineStr"/>
      <c r="P287" s="8" t="inlineStr"/>
      <c r="Q287" s="8" t="inlineStr"/>
      <c r="R287" s="8" t="n">
        <v>0</v>
      </c>
      <c r="S287" s="8" t="n">
        <v>0</v>
      </c>
      <c r="T287" s="8" t="n">
        <v>1121</v>
      </c>
    </row>
    <row r="288">
      <c r="A288" s="8" t="inlineStr"/>
      <c r="B288" s="8" t="inlineStr">
        <is>
          <t>Z999</t>
        </is>
      </c>
      <c r="C288" s="8" t="inlineStr">
        <is>
          <t>Vật liệu khác</t>
        </is>
      </c>
      <c r="E288" s="8" t="inlineStr">
        <is>
          <t>%</t>
        </is>
      </c>
      <c r="F288" s="8" t="inlineStr"/>
      <c r="G288" s="8" t="n">
        <v>0.01</v>
      </c>
      <c r="H288" s="8" t="inlineStr"/>
      <c r="I288" s="8" t="inlineStr"/>
      <c r="J288" s="8" t="inlineStr"/>
      <c r="K288" s="8" t="inlineStr"/>
      <c r="L288" s="8" t="inlineStr"/>
      <c r="M288" s="8" t="inlineStr"/>
      <c r="N288" s="8" t="n">
        <v>0</v>
      </c>
      <c r="O288" s="8" t="inlineStr"/>
      <c r="P288" s="8" t="n">
        <v>2051.5264</v>
      </c>
      <c r="Q288" s="8" t="inlineStr"/>
      <c r="R288" s="8" t="inlineStr"/>
      <c r="S288" s="8" t="inlineStr"/>
      <c r="T288" s="8" t="inlineStr"/>
    </row>
    <row r="289">
      <c r="A289" s="8" t="inlineStr"/>
      <c r="B289" s="8" t="inlineStr"/>
      <c r="C289" s="8" t="inlineStr">
        <is>
          <t>b) Nhân công</t>
        </is>
      </c>
      <c r="E289" s="8" t="inlineStr"/>
      <c r="F289" s="8" t="inlineStr"/>
      <c r="G289" s="8" t="inlineStr"/>
      <c r="H289" s="8" t="inlineStr"/>
      <c r="I289" s="8" t="inlineStr"/>
      <c r="J289" s="8" t="inlineStr"/>
      <c r="K289" s="8" t="inlineStr"/>
      <c r="L289" s="8" t="inlineStr"/>
      <c r="M289" s="8" t="inlineStr"/>
      <c r="N289" s="8" t="inlineStr"/>
      <c r="O289" s="8" t="inlineStr"/>
      <c r="P289" s="8" t="inlineStr"/>
      <c r="Q289" s="8" t="inlineStr"/>
      <c r="R289" s="8" t="inlineStr"/>
      <c r="S289" s="8" t="inlineStr"/>
      <c r="T289" s="8" t="inlineStr"/>
    </row>
    <row r="290">
      <c r="A290" s="8" t="inlineStr"/>
      <c r="B290" s="8" t="inlineStr">
        <is>
          <t>N3</t>
        </is>
      </c>
      <c r="C290" s="8" t="inlineStr">
        <is>
          <t>Nhân công nhóm 3</t>
        </is>
      </c>
      <c r="E290" s="8" t="inlineStr">
        <is>
          <t>công</t>
        </is>
      </c>
      <c r="F290" s="8" t="inlineStr"/>
      <c r="G290" s="8" t="inlineStr"/>
      <c r="H290" s="8" t="n">
        <v>2.92</v>
      </c>
      <c r="I290" s="8" t="inlineStr"/>
      <c r="J290" s="8" t="n">
        <v>1</v>
      </c>
      <c r="K290" s="8" t="inlineStr"/>
      <c r="L290" s="8" t="n">
        <v>51.392</v>
      </c>
      <c r="M290" s="8" t="inlineStr"/>
      <c r="N290" s="8" t="inlineStr"/>
      <c r="O290" s="8" t="inlineStr"/>
      <c r="P290" s="8" t="inlineStr"/>
      <c r="Q290" s="8" t="inlineStr"/>
      <c r="R290" s="8" t="inlineStr"/>
      <c r="S290" s="8" t="inlineStr"/>
      <c r="T290" s="8" t="n">
        <v>210</v>
      </c>
    </row>
    <row r="291">
      <c r="A291" s="8" t="n">
        <v>21</v>
      </c>
      <c r="B291" s="11" t="inlineStr">
        <is>
          <t>BB.41103</t>
        </is>
      </c>
      <c r="C291" s="8" t="inlineStr">
        <is>
          <t>Ống uPVC_D34</t>
        </is>
      </c>
      <c r="D291" s="12">
        <f>HYPERLINK("tt38://pl3/71", "👉 Phụ lục III - Trang 71 (Khớp nhóm BB.4110)")</f>
        <v/>
      </c>
      <c r="E291" s="8" t="inlineStr">
        <is>
          <t>100m</t>
        </is>
      </c>
      <c r="F291" s="8" t="n">
        <v>3</v>
      </c>
      <c r="G291" s="8" t="inlineStr"/>
      <c r="H291" s="8" t="inlineStr"/>
      <c r="I291" s="8" t="inlineStr"/>
      <c r="J291" s="8" t="inlineStr"/>
      <c r="K291" s="8" t="inlineStr"/>
      <c r="L291" s="8" t="inlineStr"/>
      <c r="M291" s="8" t="inlineStr"/>
      <c r="N291" s="8" t="inlineStr"/>
      <c r="O291" s="8" t="inlineStr"/>
      <c r="P291" s="8" t="inlineStr"/>
      <c r="Q291" s="8" t="inlineStr"/>
      <c r="R291" s="8" t="inlineStr"/>
      <c r="S291" s="8" t="inlineStr"/>
      <c r="T291" s="8" t="inlineStr"/>
    </row>
    <row r="292">
      <c r="A292" s="8" t="inlineStr"/>
      <c r="B292" s="8" t="inlineStr"/>
      <c r="C292" s="8" t="inlineStr">
        <is>
          <t>a) Vật liệu</t>
        </is>
      </c>
      <c r="E292" s="8" t="inlineStr"/>
      <c r="F292" s="8" t="inlineStr"/>
      <c r="G292" s="8" t="inlineStr"/>
      <c r="H292" s="8" t="inlineStr"/>
      <c r="I292" s="8" t="inlineStr"/>
      <c r="J292" s="8" t="inlineStr"/>
      <c r="K292" s="8" t="inlineStr"/>
      <c r="L292" s="8" t="inlineStr"/>
      <c r="M292" s="8" t="inlineStr"/>
      <c r="N292" s="8" t="inlineStr"/>
      <c r="O292" s="8" t="inlineStr"/>
      <c r="P292" s="8" t="inlineStr"/>
      <c r="Q292" s="8" t="inlineStr"/>
      <c r="R292" s="8" t="inlineStr"/>
      <c r="S292" s="8" t="inlineStr"/>
      <c r="T292" s="8" t="inlineStr"/>
    </row>
    <row r="293">
      <c r="A293" s="8" t="inlineStr"/>
      <c r="B293" s="8" t="inlineStr">
        <is>
          <t>A33.0334</t>
        </is>
      </c>
      <c r="C293" s="8" t="inlineStr">
        <is>
          <t>Ống uPVC_D34</t>
        </is>
      </c>
      <c r="E293" s="8" t="inlineStr">
        <is>
          <t>m</t>
        </is>
      </c>
      <c r="F293" s="8" t="inlineStr"/>
      <c r="G293" s="8" t="n">
        <v>101</v>
      </c>
      <c r="H293" s="8" t="inlineStr"/>
      <c r="I293" s="8" t="inlineStr"/>
      <c r="J293" s="8" t="n">
        <v>1</v>
      </c>
      <c r="K293" s="8" t="n">
        <v>303</v>
      </c>
      <c r="L293" s="8" t="inlineStr"/>
      <c r="M293" s="8" t="inlineStr"/>
      <c r="N293" s="8" t="inlineStr"/>
      <c r="O293" s="8" t="inlineStr"/>
      <c r="P293" s="8" t="inlineStr"/>
      <c r="Q293" s="8" t="inlineStr"/>
      <c r="R293" s="8" t="n">
        <v>0</v>
      </c>
      <c r="S293" s="8" t="n">
        <v>0</v>
      </c>
      <c r="T293" s="8" t="n">
        <v>1134</v>
      </c>
    </row>
    <row r="294">
      <c r="A294" s="8" t="inlineStr"/>
      <c r="B294" s="8" t="inlineStr">
        <is>
          <t>A33.0345</t>
        </is>
      </c>
      <c r="C294" s="8" t="inlineStr">
        <is>
          <t>Cồn rửa</t>
        </is>
      </c>
      <c r="E294" s="8" t="inlineStr">
        <is>
          <t>kg</t>
        </is>
      </c>
      <c r="F294" s="8" t="inlineStr"/>
      <c r="G294" s="8" t="n">
        <v>0.15</v>
      </c>
      <c r="H294" s="8" t="inlineStr"/>
      <c r="I294" s="8" t="inlineStr"/>
      <c r="J294" s="8" t="n">
        <v>1</v>
      </c>
      <c r="K294" s="8" t="n">
        <v>0.45</v>
      </c>
      <c r="L294" s="8" t="inlineStr"/>
      <c r="M294" s="8" t="inlineStr"/>
      <c r="N294" s="8" t="inlineStr"/>
      <c r="O294" s="8" t="inlineStr"/>
      <c r="P294" s="8" t="inlineStr"/>
      <c r="Q294" s="8" t="inlineStr"/>
      <c r="R294" s="8" t="n">
        <v>0</v>
      </c>
      <c r="S294" s="8" t="n">
        <v>0</v>
      </c>
      <c r="T294" s="8" t="n">
        <v>1115</v>
      </c>
    </row>
    <row r="295">
      <c r="A295" s="8" t="inlineStr"/>
      <c r="B295" s="8" t="inlineStr">
        <is>
          <t>A33.0346</t>
        </is>
      </c>
      <c r="C295" s="8" t="inlineStr">
        <is>
          <t>Nhựa dán</t>
        </is>
      </c>
      <c r="E295" s="8" t="inlineStr">
        <is>
          <t>kg</t>
        </is>
      </c>
      <c r="F295" s="8" t="inlineStr"/>
      <c r="G295" s="8" t="n">
        <v>0.036</v>
      </c>
      <c r="H295" s="8" t="inlineStr"/>
      <c r="I295" s="8" t="inlineStr"/>
      <c r="J295" s="8" t="n">
        <v>1</v>
      </c>
      <c r="K295" s="8" t="n">
        <v>0.108</v>
      </c>
      <c r="L295" s="8" t="inlineStr"/>
      <c r="M295" s="8" t="inlineStr"/>
      <c r="N295" s="8" t="inlineStr"/>
      <c r="O295" s="8" t="inlineStr"/>
      <c r="P295" s="8" t="inlineStr"/>
      <c r="Q295" s="8" t="inlineStr"/>
      <c r="R295" s="8" t="n">
        <v>0</v>
      </c>
      <c r="S295" s="8" t="n">
        <v>0</v>
      </c>
      <c r="T295" s="8" t="n">
        <v>1121</v>
      </c>
    </row>
    <row r="296">
      <c r="A296" s="8" t="inlineStr"/>
      <c r="B296" s="8" t="inlineStr">
        <is>
          <t>Z999</t>
        </is>
      </c>
      <c r="C296" s="8" t="inlineStr">
        <is>
          <t>Vật liệu khác</t>
        </is>
      </c>
      <c r="E296" s="8" t="inlineStr">
        <is>
          <t>%</t>
        </is>
      </c>
      <c r="F296" s="8" t="inlineStr"/>
      <c r="G296" s="8" t="n">
        <v>0.01</v>
      </c>
      <c r="H296" s="8" t="inlineStr"/>
      <c r="I296" s="8" t="inlineStr"/>
      <c r="J296" s="8" t="inlineStr"/>
      <c r="K296" s="8" t="inlineStr"/>
      <c r="L296" s="8" t="inlineStr"/>
      <c r="M296" s="8" t="inlineStr"/>
      <c r="N296" s="8" t="n">
        <v>0</v>
      </c>
      <c r="O296" s="8" t="inlineStr"/>
      <c r="P296" s="8" t="n">
        <v>440.8188</v>
      </c>
      <c r="Q296" s="8" t="inlineStr"/>
      <c r="R296" s="8" t="inlineStr"/>
      <c r="S296" s="8" t="inlineStr"/>
      <c r="T296" s="8" t="inlineStr"/>
    </row>
    <row r="297">
      <c r="A297" s="8" t="inlineStr"/>
      <c r="B297" s="8" t="inlineStr"/>
      <c r="C297" s="8" t="inlineStr">
        <is>
          <t>b) Nhân công</t>
        </is>
      </c>
      <c r="E297" s="8" t="inlineStr"/>
      <c r="F297" s="8" t="inlineStr"/>
      <c r="G297" s="8" t="inlineStr"/>
      <c r="H297" s="8" t="inlineStr"/>
      <c r="I297" s="8" t="inlineStr"/>
      <c r="J297" s="8" t="inlineStr"/>
      <c r="K297" s="8" t="inlineStr"/>
      <c r="L297" s="8" t="inlineStr"/>
      <c r="M297" s="8" t="inlineStr"/>
      <c r="N297" s="8" t="inlineStr"/>
      <c r="O297" s="8" t="inlineStr"/>
      <c r="P297" s="8" t="inlineStr"/>
      <c r="Q297" s="8" t="inlineStr"/>
      <c r="R297" s="8" t="inlineStr"/>
      <c r="S297" s="8" t="inlineStr"/>
      <c r="T297" s="8" t="inlineStr"/>
    </row>
    <row r="298">
      <c r="A298" s="8" t="inlineStr"/>
      <c r="B298" s="8" t="inlineStr">
        <is>
          <t>N3</t>
        </is>
      </c>
      <c r="C298" s="8" t="inlineStr">
        <is>
          <t>Nhân công nhóm 3</t>
        </is>
      </c>
      <c r="E298" s="8" t="inlineStr">
        <is>
          <t>công</t>
        </is>
      </c>
      <c r="F298" s="8" t="inlineStr"/>
      <c r="G298" s="8" t="inlineStr"/>
      <c r="H298" s="8" t="n">
        <v>3.51</v>
      </c>
      <c r="I298" s="8" t="inlineStr"/>
      <c r="J298" s="8" t="n">
        <v>1</v>
      </c>
      <c r="K298" s="8" t="inlineStr"/>
      <c r="L298" s="8" t="n">
        <v>10.53</v>
      </c>
      <c r="M298" s="8" t="inlineStr"/>
      <c r="N298" s="8" t="inlineStr"/>
      <c r="O298" s="8" t="inlineStr"/>
      <c r="P298" s="8" t="inlineStr"/>
      <c r="Q298" s="8" t="inlineStr"/>
      <c r="R298" s="8" t="inlineStr"/>
      <c r="S298" s="8" t="inlineStr"/>
      <c r="T298" s="8" t="n">
        <v>210</v>
      </c>
    </row>
    <row r="299">
      <c r="A299" s="8" t="n">
        <v>22</v>
      </c>
      <c r="B299" s="11" t="inlineStr">
        <is>
          <t>BB.41104</t>
        </is>
      </c>
      <c r="C299" s="8" t="inlineStr">
        <is>
          <t>Ống uPVC_D42</t>
        </is>
      </c>
      <c r="D299" s="12">
        <f>HYPERLINK("tt38://pl3/71", "👉 Phụ lục III - Trang 71 (Khớp nhóm BB.4110)")</f>
        <v/>
      </c>
      <c r="E299" s="8" t="inlineStr">
        <is>
          <t>100m</t>
        </is>
      </c>
      <c r="F299" s="8" t="n">
        <v>3</v>
      </c>
      <c r="G299" s="8" t="inlineStr"/>
      <c r="H299" s="8" t="inlineStr"/>
      <c r="I299" s="8" t="inlineStr"/>
      <c r="J299" s="8" t="inlineStr"/>
      <c r="K299" s="8" t="inlineStr"/>
      <c r="L299" s="8" t="inlineStr"/>
      <c r="M299" s="8" t="inlineStr"/>
      <c r="N299" s="8" t="inlineStr"/>
      <c r="O299" s="8" t="inlineStr"/>
      <c r="P299" s="8" t="inlineStr"/>
      <c r="Q299" s="8" t="inlineStr"/>
      <c r="R299" s="8" t="inlineStr"/>
      <c r="S299" s="8" t="inlineStr"/>
      <c r="T299" s="8" t="inlineStr"/>
    </row>
    <row r="300">
      <c r="A300" s="8" t="inlineStr"/>
      <c r="B300" s="8" t="inlineStr"/>
      <c r="C300" s="8" t="inlineStr">
        <is>
          <t>a) Vật liệu</t>
        </is>
      </c>
      <c r="E300" s="8" t="inlineStr"/>
      <c r="F300" s="8" t="inlineStr"/>
      <c r="G300" s="8" t="inlineStr"/>
      <c r="H300" s="8" t="inlineStr"/>
      <c r="I300" s="8" t="inlineStr"/>
      <c r="J300" s="8" t="inlineStr"/>
      <c r="K300" s="8" t="inlineStr"/>
      <c r="L300" s="8" t="inlineStr"/>
      <c r="M300" s="8" t="inlineStr"/>
      <c r="N300" s="8" t="inlineStr"/>
      <c r="O300" s="8" t="inlineStr"/>
      <c r="P300" s="8" t="inlineStr"/>
      <c r="Q300" s="8" t="inlineStr"/>
      <c r="R300" s="8" t="inlineStr"/>
      <c r="S300" s="8" t="inlineStr"/>
      <c r="T300" s="8" t="inlineStr"/>
    </row>
    <row r="301">
      <c r="A301" s="8" t="inlineStr"/>
      <c r="B301" s="8" t="inlineStr">
        <is>
          <t>A33.0335</t>
        </is>
      </c>
      <c r="C301" s="8" t="inlineStr">
        <is>
          <t>Ống uPVC_D42</t>
        </is>
      </c>
      <c r="E301" s="8" t="inlineStr">
        <is>
          <t>m</t>
        </is>
      </c>
      <c r="F301" s="8" t="inlineStr"/>
      <c r="G301" s="8" t="n">
        <v>101</v>
      </c>
      <c r="H301" s="8" t="inlineStr"/>
      <c r="I301" s="8" t="inlineStr"/>
      <c r="J301" s="8" t="n">
        <v>1</v>
      </c>
      <c r="K301" s="8" t="n">
        <v>303</v>
      </c>
      <c r="L301" s="8" t="inlineStr"/>
      <c r="M301" s="8" t="inlineStr"/>
      <c r="N301" s="8" t="inlineStr"/>
      <c r="O301" s="8" t="inlineStr"/>
      <c r="P301" s="8" t="inlineStr"/>
      <c r="Q301" s="8" t="inlineStr"/>
      <c r="R301" s="8" t="n">
        <v>0</v>
      </c>
      <c r="S301" s="8" t="n">
        <v>0</v>
      </c>
      <c r="T301" s="8" t="n">
        <v>1135</v>
      </c>
    </row>
    <row r="302">
      <c r="A302" s="8" t="inlineStr"/>
      <c r="B302" s="8" t="inlineStr">
        <is>
          <t>A33.0345</t>
        </is>
      </c>
      <c r="C302" s="8" t="inlineStr">
        <is>
          <t>Cồn rửa</t>
        </is>
      </c>
      <c r="E302" s="8" t="inlineStr">
        <is>
          <t>kg</t>
        </is>
      </c>
      <c r="F302" s="8" t="inlineStr"/>
      <c r="G302" s="8" t="n">
        <v>0.18</v>
      </c>
      <c r="H302" s="8" t="inlineStr"/>
      <c r="I302" s="8" t="inlineStr"/>
      <c r="J302" s="8" t="n">
        <v>1</v>
      </c>
      <c r="K302" s="8" t="n">
        <v>0.54</v>
      </c>
      <c r="L302" s="8" t="inlineStr"/>
      <c r="M302" s="8" t="inlineStr"/>
      <c r="N302" s="8" t="inlineStr"/>
      <c r="O302" s="8" t="inlineStr"/>
      <c r="P302" s="8" t="inlineStr"/>
      <c r="Q302" s="8" t="inlineStr"/>
      <c r="R302" s="8" t="n">
        <v>0</v>
      </c>
      <c r="S302" s="8" t="n">
        <v>0</v>
      </c>
      <c r="T302" s="8" t="n">
        <v>1115</v>
      </c>
    </row>
    <row r="303">
      <c r="A303" s="8" t="inlineStr"/>
      <c r="B303" s="8" t="inlineStr">
        <is>
          <t>A33.0346</t>
        </is>
      </c>
      <c r="C303" s="8" t="inlineStr">
        <is>
          <t>Nhựa dán</t>
        </is>
      </c>
      <c r="E303" s="8" t="inlineStr">
        <is>
          <t>kg</t>
        </is>
      </c>
      <c r="F303" s="8" t="inlineStr"/>
      <c r="G303" s="8" t="n">
        <v>0.045</v>
      </c>
      <c r="H303" s="8" t="inlineStr"/>
      <c r="I303" s="8" t="inlineStr"/>
      <c r="J303" s="8" t="n">
        <v>1</v>
      </c>
      <c r="K303" s="8" t="n">
        <v>0.135</v>
      </c>
      <c r="L303" s="8" t="inlineStr"/>
      <c r="M303" s="8" t="inlineStr"/>
      <c r="N303" s="8" t="inlineStr"/>
      <c r="O303" s="8" t="inlineStr"/>
      <c r="P303" s="8" t="inlineStr"/>
      <c r="Q303" s="8" t="inlineStr"/>
      <c r="R303" s="8" t="n">
        <v>0</v>
      </c>
      <c r="S303" s="8" t="n">
        <v>0</v>
      </c>
      <c r="T303" s="8" t="n">
        <v>1121</v>
      </c>
    </row>
    <row r="304">
      <c r="A304" s="8" t="inlineStr"/>
      <c r="B304" s="8" t="inlineStr">
        <is>
          <t>Z999</t>
        </is>
      </c>
      <c r="C304" s="8" t="inlineStr">
        <is>
          <t>Vật liệu khác</t>
        </is>
      </c>
      <c r="E304" s="8" t="inlineStr">
        <is>
          <t>%</t>
        </is>
      </c>
      <c r="F304" s="8" t="inlineStr"/>
      <c r="G304" s="8" t="n">
        <v>0.01</v>
      </c>
      <c r="H304" s="8" t="inlineStr"/>
      <c r="I304" s="8" t="inlineStr"/>
      <c r="J304" s="8" t="inlineStr"/>
      <c r="K304" s="8" t="inlineStr"/>
      <c r="L304" s="8" t="inlineStr"/>
      <c r="M304" s="8" t="inlineStr"/>
      <c r="N304" s="8" t="n">
        <v>0</v>
      </c>
      <c r="O304" s="8" t="inlineStr"/>
      <c r="P304" s="8" t="n">
        <v>686.5889999999999</v>
      </c>
      <c r="Q304" s="8" t="inlineStr"/>
      <c r="R304" s="8" t="inlineStr"/>
      <c r="S304" s="8" t="inlineStr"/>
      <c r="T304" s="8" t="inlineStr"/>
    </row>
    <row r="305">
      <c r="A305" s="8" t="inlineStr"/>
      <c r="B305" s="8" t="inlineStr"/>
      <c r="C305" s="8" t="inlineStr">
        <is>
          <t>b) Nhân công</t>
        </is>
      </c>
      <c r="E305" s="8" t="inlineStr"/>
      <c r="F305" s="8" t="inlineStr"/>
      <c r="G305" s="8" t="inlineStr"/>
      <c r="H305" s="8" t="inlineStr"/>
      <c r="I305" s="8" t="inlineStr"/>
      <c r="J305" s="8" t="inlineStr"/>
      <c r="K305" s="8" t="inlineStr"/>
      <c r="L305" s="8" t="inlineStr"/>
      <c r="M305" s="8" t="inlineStr"/>
      <c r="N305" s="8" t="inlineStr"/>
      <c r="O305" s="8" t="inlineStr"/>
      <c r="P305" s="8" t="inlineStr"/>
      <c r="Q305" s="8" t="inlineStr"/>
      <c r="R305" s="8" t="inlineStr"/>
      <c r="S305" s="8" t="inlineStr"/>
      <c r="T305" s="8" t="inlineStr"/>
    </row>
    <row r="306">
      <c r="A306" s="8" t="inlineStr"/>
      <c r="B306" s="8" t="inlineStr">
        <is>
          <t>N3</t>
        </is>
      </c>
      <c r="C306" s="8" t="inlineStr">
        <is>
          <t>Nhân công nhóm 3</t>
        </is>
      </c>
      <c r="E306" s="8" t="inlineStr">
        <is>
          <t>công</t>
        </is>
      </c>
      <c r="F306" s="8" t="inlineStr"/>
      <c r="G306" s="8" t="inlineStr"/>
      <c r="H306" s="8" t="n">
        <v>4.38</v>
      </c>
      <c r="I306" s="8" t="inlineStr"/>
      <c r="J306" s="8" t="n">
        <v>1</v>
      </c>
      <c r="K306" s="8" t="inlineStr"/>
      <c r="L306" s="8" t="n">
        <v>13.14</v>
      </c>
      <c r="M306" s="8" t="inlineStr"/>
      <c r="N306" s="8" t="inlineStr"/>
      <c r="O306" s="8" t="inlineStr"/>
      <c r="P306" s="8" t="inlineStr"/>
      <c r="Q306" s="8" t="inlineStr"/>
      <c r="R306" s="8" t="inlineStr"/>
      <c r="S306" s="8" t="inlineStr"/>
      <c r="T306" s="8" t="n">
        <v>210</v>
      </c>
    </row>
    <row r="307">
      <c r="A307" s="8" t="n">
        <v>23</v>
      </c>
      <c r="B307" s="11" t="inlineStr">
        <is>
          <t>BB.41105</t>
        </is>
      </c>
      <c r="C307" s="8" t="inlineStr">
        <is>
          <t>Ống uPVC_D48</t>
        </is>
      </c>
      <c r="D307" s="12">
        <f>HYPERLINK("tt38://pl3/71", "👉 Phụ lục III - Trang 71 (Khớp nhóm BB.4110)")</f>
        <v/>
      </c>
      <c r="E307" s="8" t="inlineStr">
        <is>
          <t>100m</t>
        </is>
      </c>
      <c r="F307" s="8" t="n">
        <v>2.5</v>
      </c>
      <c r="G307" s="8" t="inlineStr"/>
      <c r="H307" s="8" t="inlineStr"/>
      <c r="I307" s="8" t="inlineStr"/>
      <c r="J307" s="8" t="inlineStr"/>
      <c r="K307" s="8" t="inlineStr"/>
      <c r="L307" s="8" t="inlineStr"/>
      <c r="M307" s="8" t="inlineStr"/>
      <c r="N307" s="8" t="inlineStr"/>
      <c r="O307" s="8" t="inlineStr"/>
      <c r="P307" s="8" t="inlineStr"/>
      <c r="Q307" s="8" t="inlineStr"/>
      <c r="R307" s="8" t="inlineStr"/>
      <c r="S307" s="8" t="inlineStr"/>
      <c r="T307" s="8" t="inlineStr"/>
    </row>
    <row r="308">
      <c r="A308" s="8" t="inlineStr"/>
      <c r="B308" s="8" t="inlineStr"/>
      <c r="C308" s="8" t="inlineStr">
        <is>
          <t>a) Vật liệu</t>
        </is>
      </c>
      <c r="E308" s="8" t="inlineStr"/>
      <c r="F308" s="8" t="inlineStr"/>
      <c r="G308" s="8" t="inlineStr"/>
      <c r="H308" s="8" t="inlineStr"/>
      <c r="I308" s="8" t="inlineStr"/>
      <c r="J308" s="8" t="inlineStr"/>
      <c r="K308" s="8" t="inlineStr"/>
      <c r="L308" s="8" t="inlineStr"/>
      <c r="M308" s="8" t="inlineStr"/>
      <c r="N308" s="8" t="inlineStr"/>
      <c r="O308" s="8" t="inlineStr"/>
      <c r="P308" s="8" t="inlineStr"/>
      <c r="Q308" s="8" t="inlineStr"/>
      <c r="R308" s="8" t="inlineStr"/>
      <c r="S308" s="8" t="inlineStr"/>
      <c r="T308" s="8" t="inlineStr"/>
    </row>
    <row r="309">
      <c r="A309" s="8" t="inlineStr"/>
      <c r="B309" s="8" t="inlineStr">
        <is>
          <t>A33.0336</t>
        </is>
      </c>
      <c r="C309" s="8" t="inlineStr">
        <is>
          <t>Ống uPVC_D48</t>
        </is>
      </c>
      <c r="E309" s="8" t="inlineStr">
        <is>
          <t>m</t>
        </is>
      </c>
      <c r="F309" s="8" t="inlineStr"/>
      <c r="G309" s="8" t="n">
        <v>101</v>
      </c>
      <c r="H309" s="8" t="inlineStr"/>
      <c r="I309" s="8" t="inlineStr"/>
      <c r="J309" s="8" t="n">
        <v>1</v>
      </c>
      <c r="K309" s="8" t="n">
        <v>252.5</v>
      </c>
      <c r="L309" s="8" t="inlineStr"/>
      <c r="M309" s="8" t="inlineStr"/>
      <c r="N309" s="8" t="inlineStr"/>
      <c r="O309" s="8" t="inlineStr"/>
      <c r="P309" s="8" t="inlineStr"/>
      <c r="Q309" s="8" t="inlineStr"/>
      <c r="R309" s="8" t="n">
        <v>0</v>
      </c>
      <c r="S309" s="8" t="n">
        <v>0</v>
      </c>
      <c r="T309" s="8" t="n">
        <v>1136</v>
      </c>
    </row>
    <row r="310">
      <c r="A310" s="8" t="inlineStr"/>
      <c r="B310" s="8" t="inlineStr">
        <is>
          <t>A33.0345</t>
        </is>
      </c>
      <c r="C310" s="8" t="inlineStr">
        <is>
          <t>Cồn rửa</t>
        </is>
      </c>
      <c r="E310" s="8" t="inlineStr">
        <is>
          <t>kg</t>
        </is>
      </c>
      <c r="F310" s="8" t="inlineStr"/>
      <c r="G310" s="8" t="n">
        <v>0.23</v>
      </c>
      <c r="H310" s="8" t="inlineStr"/>
      <c r="I310" s="8" t="inlineStr"/>
      <c r="J310" s="8" t="n">
        <v>1</v>
      </c>
      <c r="K310" s="8" t="n">
        <v>0.5750000000000001</v>
      </c>
      <c r="L310" s="8" t="inlineStr"/>
      <c r="M310" s="8" t="inlineStr"/>
      <c r="N310" s="8" t="inlineStr"/>
      <c r="O310" s="8" t="inlineStr"/>
      <c r="P310" s="8" t="inlineStr"/>
      <c r="Q310" s="8" t="inlineStr"/>
      <c r="R310" s="8" t="n">
        <v>0</v>
      </c>
      <c r="S310" s="8" t="n">
        <v>0</v>
      </c>
      <c r="T310" s="8" t="n">
        <v>1115</v>
      </c>
    </row>
    <row r="311">
      <c r="A311" s="8" t="inlineStr"/>
      <c r="B311" s="8" t="inlineStr">
        <is>
          <t>A33.0346</t>
        </is>
      </c>
      <c r="C311" s="8" t="inlineStr">
        <is>
          <t>Nhựa dán</t>
        </is>
      </c>
      <c r="E311" s="8" t="inlineStr">
        <is>
          <t>kg</t>
        </is>
      </c>
      <c r="F311" s="8" t="inlineStr"/>
      <c r="G311" s="8" t="n">
        <v>0.06</v>
      </c>
      <c r="H311" s="8" t="inlineStr"/>
      <c r="I311" s="8" t="inlineStr"/>
      <c r="J311" s="8" t="n">
        <v>1</v>
      </c>
      <c r="K311" s="8" t="n">
        <v>0.15</v>
      </c>
      <c r="L311" s="8" t="inlineStr"/>
      <c r="M311" s="8" t="inlineStr"/>
      <c r="N311" s="8" t="inlineStr"/>
      <c r="O311" s="8" t="inlineStr"/>
      <c r="P311" s="8" t="inlineStr"/>
      <c r="Q311" s="8" t="inlineStr"/>
      <c r="R311" s="8" t="n">
        <v>0</v>
      </c>
      <c r="S311" s="8" t="n">
        <v>0</v>
      </c>
      <c r="T311" s="8" t="n">
        <v>1121</v>
      </c>
    </row>
    <row r="312">
      <c r="A312" s="8" t="inlineStr"/>
      <c r="B312" s="8" t="inlineStr">
        <is>
          <t>Z999</t>
        </is>
      </c>
      <c r="C312" s="8" t="inlineStr">
        <is>
          <t>Vật liệu khác</t>
        </is>
      </c>
      <c r="E312" s="8" t="inlineStr">
        <is>
          <t>%</t>
        </is>
      </c>
      <c r="F312" s="8" t="inlineStr"/>
      <c r="G312" s="8" t="n">
        <v>0.01</v>
      </c>
      <c r="H312" s="8" t="inlineStr"/>
      <c r="I312" s="8" t="inlineStr"/>
      <c r="J312" s="8" t="inlineStr"/>
      <c r="K312" s="8" t="inlineStr"/>
      <c r="L312" s="8" t="inlineStr"/>
      <c r="M312" s="8" t="inlineStr"/>
      <c r="N312" s="8" t="n">
        <v>0</v>
      </c>
      <c r="O312" s="8" t="inlineStr"/>
      <c r="P312" s="8" t="n">
        <v>691.3049999999999</v>
      </c>
      <c r="Q312" s="8" t="inlineStr"/>
      <c r="R312" s="8" t="inlineStr"/>
      <c r="S312" s="8" t="inlineStr"/>
      <c r="T312" s="8" t="inlineStr"/>
    </row>
    <row r="313">
      <c r="A313" s="8" t="inlineStr"/>
      <c r="B313" s="8" t="inlineStr"/>
      <c r="C313" s="8" t="inlineStr">
        <is>
          <t>b) Nhân công</t>
        </is>
      </c>
      <c r="E313" s="8" t="inlineStr"/>
      <c r="F313" s="8" t="inlineStr"/>
      <c r="G313" s="8" t="inlineStr"/>
      <c r="H313" s="8" t="inlineStr"/>
      <c r="I313" s="8" t="inlineStr"/>
      <c r="J313" s="8" t="inlineStr"/>
      <c r="K313" s="8" t="inlineStr"/>
      <c r="L313" s="8" t="inlineStr"/>
      <c r="M313" s="8" t="inlineStr"/>
      <c r="N313" s="8" t="inlineStr"/>
      <c r="O313" s="8" t="inlineStr"/>
      <c r="P313" s="8" t="inlineStr"/>
      <c r="Q313" s="8" t="inlineStr"/>
      <c r="R313" s="8" t="inlineStr"/>
      <c r="S313" s="8" t="inlineStr"/>
      <c r="T313" s="8" t="inlineStr"/>
    </row>
    <row r="314">
      <c r="A314" s="8" t="inlineStr"/>
      <c r="B314" s="8" t="inlineStr">
        <is>
          <t>N3</t>
        </is>
      </c>
      <c r="C314" s="8" t="inlineStr">
        <is>
          <t>Nhân công nhóm 3</t>
        </is>
      </c>
      <c r="E314" s="8" t="inlineStr">
        <is>
          <t>công</t>
        </is>
      </c>
      <c r="F314" s="8" t="inlineStr"/>
      <c r="G314" s="8" t="inlineStr"/>
      <c r="H314" s="8" t="n">
        <v>5.48</v>
      </c>
      <c r="I314" s="8" t="inlineStr"/>
      <c r="J314" s="8" t="n">
        <v>1</v>
      </c>
      <c r="K314" s="8" t="inlineStr"/>
      <c r="L314" s="8" t="n">
        <v>13.7</v>
      </c>
      <c r="M314" s="8" t="inlineStr"/>
      <c r="N314" s="8" t="inlineStr"/>
      <c r="O314" s="8" t="inlineStr"/>
      <c r="P314" s="8" t="inlineStr"/>
      <c r="Q314" s="8" t="inlineStr"/>
      <c r="R314" s="8" t="inlineStr"/>
      <c r="S314" s="8" t="inlineStr"/>
      <c r="T314" s="8" t="n">
        <v>210</v>
      </c>
    </row>
    <row r="315">
      <c r="A315" s="8" t="n">
        <v>24</v>
      </c>
      <c r="B315" s="11" t="inlineStr">
        <is>
          <t>BC.13102</t>
        </is>
      </c>
      <c r="C315" s="8" t="inlineStr">
        <is>
          <t>Bảo ôn ống uPVC D21 dày 13mm</t>
        </is>
      </c>
      <c r="D315" s="12">
        <f>HYPERLINK("tt38://pl3/204", "👉 Phụ lục III - Trang 204 (Khớp nhóm BC.1310)")</f>
        <v/>
      </c>
      <c r="E315" s="8" t="inlineStr">
        <is>
          <t>100m</t>
        </is>
      </c>
      <c r="F315" s="8" t="n">
        <v>0.6</v>
      </c>
      <c r="G315" s="8" t="inlineStr"/>
      <c r="H315" s="8" t="inlineStr"/>
      <c r="I315" s="8" t="inlineStr"/>
      <c r="J315" s="8" t="inlineStr"/>
      <c r="K315" s="8" t="inlineStr"/>
      <c r="L315" s="8" t="inlineStr"/>
      <c r="M315" s="8" t="inlineStr"/>
      <c r="N315" s="8" t="inlineStr"/>
      <c r="O315" s="8" t="inlineStr"/>
      <c r="P315" s="8" t="inlineStr"/>
      <c r="Q315" s="8" t="inlineStr"/>
      <c r="R315" s="8" t="inlineStr"/>
      <c r="S315" s="8" t="inlineStr"/>
      <c r="T315" s="8" t="inlineStr"/>
    </row>
    <row r="316">
      <c r="A316" s="8" t="inlineStr"/>
      <c r="B316" s="8" t="inlineStr"/>
      <c r="C316" s="8" t="inlineStr">
        <is>
          <t>a) Vật liệu</t>
        </is>
      </c>
      <c r="E316" s="8" t="inlineStr"/>
      <c r="F316" s="8" t="inlineStr"/>
      <c r="G316" s="8" t="inlineStr"/>
      <c r="H316" s="8" t="inlineStr"/>
      <c r="I316" s="8" t="inlineStr"/>
      <c r="J316" s="8" t="inlineStr"/>
      <c r="K316" s="8" t="inlineStr"/>
      <c r="L316" s="8" t="inlineStr"/>
      <c r="M316" s="8" t="inlineStr"/>
      <c r="N316" s="8" t="inlineStr"/>
      <c r="O316" s="8" t="inlineStr"/>
      <c r="P316" s="8" t="inlineStr"/>
      <c r="Q316" s="8" t="inlineStr"/>
      <c r="R316" s="8" t="inlineStr"/>
      <c r="S316" s="8" t="inlineStr"/>
      <c r="T316" s="8" t="inlineStr"/>
    </row>
    <row r="317">
      <c r="A317" s="8" t="inlineStr"/>
      <c r="B317" s="8" t="inlineStr">
        <is>
          <t>A33.1140</t>
        </is>
      </c>
      <c r="C317" s="8" t="inlineStr">
        <is>
          <t>Bảo ôn ống uPVC D21 dày 13mm</t>
        </is>
      </c>
      <c r="E317" s="8" t="inlineStr">
        <is>
          <t>m</t>
        </is>
      </c>
      <c r="F317" s="8" t="inlineStr"/>
      <c r="G317" s="8" t="n">
        <v>101</v>
      </c>
      <c r="H317" s="8" t="inlineStr"/>
      <c r="I317" s="8" t="inlineStr"/>
      <c r="J317" s="8" t="n">
        <v>1</v>
      </c>
      <c r="K317" s="8" t="n">
        <v>60.59999999999999</v>
      </c>
      <c r="L317" s="8" t="inlineStr"/>
      <c r="M317" s="8" t="inlineStr"/>
      <c r="N317" s="8" t="inlineStr"/>
      <c r="O317" s="8" t="inlineStr"/>
      <c r="P317" s="8" t="inlineStr"/>
      <c r="Q317" s="8" t="inlineStr"/>
      <c r="R317" s="8" t="n">
        <v>0</v>
      </c>
      <c r="S317" s="8" t="n">
        <v>0</v>
      </c>
      <c r="T317" s="8" t="n">
        <v>119</v>
      </c>
    </row>
    <row r="318">
      <c r="A318" s="8" t="inlineStr"/>
      <c r="B318" s="8" t="inlineStr">
        <is>
          <t>Z999</t>
        </is>
      </c>
      <c r="C318" s="8" t="inlineStr">
        <is>
          <t>Vật liệu khác</t>
        </is>
      </c>
      <c r="E318" s="8" t="inlineStr">
        <is>
          <t>%</t>
        </is>
      </c>
      <c r="F318" s="8" t="inlineStr"/>
      <c r="G318" s="8" t="n">
        <v>0.1</v>
      </c>
      <c r="H318" s="8" t="inlineStr"/>
      <c r="I318" s="8" t="inlineStr"/>
      <c r="J318" s="8" t="inlineStr"/>
      <c r="K318" s="8" t="inlineStr"/>
      <c r="L318" s="8" t="inlineStr"/>
      <c r="M318" s="8" t="inlineStr"/>
      <c r="N318" s="8" t="n">
        <v>0</v>
      </c>
      <c r="O318" s="8" t="inlineStr"/>
      <c r="P318" s="8" t="n">
        <v>975.66</v>
      </c>
      <c r="Q318" s="8" t="inlineStr"/>
      <c r="R318" s="8" t="inlineStr"/>
      <c r="S318" s="8" t="inlineStr"/>
      <c r="T318" s="8" t="inlineStr"/>
    </row>
    <row r="319">
      <c r="A319" s="8" t="inlineStr"/>
      <c r="B319" s="8" t="inlineStr"/>
      <c r="C319" s="8" t="inlineStr">
        <is>
          <t>b) Nhân công</t>
        </is>
      </c>
      <c r="E319" s="8" t="inlineStr"/>
      <c r="F319" s="8" t="inlineStr"/>
      <c r="G319" s="8" t="inlineStr"/>
      <c r="H319" s="8" t="inlineStr"/>
      <c r="I319" s="8" t="inlineStr"/>
      <c r="J319" s="8" t="inlineStr"/>
      <c r="K319" s="8" t="inlineStr"/>
      <c r="L319" s="8" t="inlineStr"/>
      <c r="M319" s="8" t="inlineStr"/>
      <c r="N319" s="8" t="inlineStr"/>
      <c r="O319" s="8" t="inlineStr"/>
      <c r="P319" s="8" t="inlineStr"/>
      <c r="Q319" s="8" t="inlineStr"/>
      <c r="R319" s="8" t="inlineStr"/>
      <c r="S319" s="8" t="inlineStr"/>
      <c r="T319" s="8" t="inlineStr"/>
    </row>
    <row r="320">
      <c r="A320" s="8" t="inlineStr"/>
      <c r="B320" s="8" t="inlineStr">
        <is>
          <t>N3</t>
        </is>
      </c>
      <c r="C320" s="8" t="inlineStr">
        <is>
          <t>Nhân công nhóm 3</t>
        </is>
      </c>
      <c r="E320" s="8" t="inlineStr">
        <is>
          <t>công</t>
        </is>
      </c>
      <c r="F320" s="8" t="inlineStr"/>
      <c r="G320" s="8" t="inlineStr"/>
      <c r="H320" s="8" t="n">
        <v>7.98</v>
      </c>
      <c r="I320" s="8" t="inlineStr"/>
      <c r="J320" s="8" t="n">
        <v>1</v>
      </c>
      <c r="K320" s="8" t="inlineStr"/>
      <c r="L320" s="8" t="n">
        <v>4.788</v>
      </c>
      <c r="M320" s="8" t="inlineStr"/>
      <c r="N320" s="8" t="inlineStr"/>
      <c r="O320" s="8" t="inlineStr"/>
      <c r="P320" s="8" t="inlineStr"/>
      <c r="Q320" s="8" t="inlineStr"/>
      <c r="R320" s="8" t="inlineStr"/>
      <c r="S320" s="8" t="inlineStr"/>
      <c r="T320" s="8" t="n">
        <v>210</v>
      </c>
    </row>
    <row r="321">
      <c r="A321" s="8" t="n">
        <v>25</v>
      </c>
      <c r="B321" s="11" t="inlineStr">
        <is>
          <t>BC.13103</t>
        </is>
      </c>
      <c r="C321" s="8" t="inlineStr">
        <is>
          <t>Bảo ôn ống uPVC D27 dày 13mm</t>
        </is>
      </c>
      <c r="D321" s="12">
        <f>HYPERLINK("tt38://pl3/204", "👉 Phụ lục III - Trang 204 (Khớp nhóm BC.1310)")</f>
        <v/>
      </c>
      <c r="E321" s="8" t="inlineStr">
        <is>
          <t>100m</t>
        </is>
      </c>
      <c r="F321" s="8" t="n">
        <v>17.6</v>
      </c>
      <c r="G321" s="8" t="inlineStr"/>
      <c r="H321" s="8" t="inlineStr"/>
      <c r="I321" s="8" t="inlineStr"/>
      <c r="J321" s="8" t="inlineStr"/>
      <c r="K321" s="8" t="inlineStr"/>
      <c r="L321" s="8" t="inlineStr"/>
      <c r="M321" s="8" t="inlineStr"/>
      <c r="N321" s="8" t="inlineStr"/>
      <c r="O321" s="8" t="inlineStr"/>
      <c r="P321" s="8" t="inlineStr"/>
      <c r="Q321" s="8" t="inlineStr"/>
      <c r="R321" s="8" t="inlineStr"/>
      <c r="S321" s="8" t="inlineStr"/>
      <c r="T321" s="8" t="inlineStr"/>
    </row>
    <row r="322">
      <c r="A322" s="8" t="inlineStr"/>
      <c r="B322" s="8" t="inlineStr"/>
      <c r="C322" s="8" t="inlineStr">
        <is>
          <t>a) Vật liệu</t>
        </is>
      </c>
      <c r="E322" s="8" t="inlineStr"/>
      <c r="F322" s="8" t="inlineStr"/>
      <c r="G322" s="8" t="inlineStr"/>
      <c r="H322" s="8" t="inlineStr"/>
      <c r="I322" s="8" t="inlineStr"/>
      <c r="J322" s="8" t="inlineStr"/>
      <c r="K322" s="8" t="inlineStr"/>
      <c r="L322" s="8" t="inlineStr"/>
      <c r="M322" s="8" t="inlineStr"/>
      <c r="N322" s="8" t="inlineStr"/>
      <c r="O322" s="8" t="inlineStr"/>
      <c r="P322" s="8" t="inlineStr"/>
      <c r="Q322" s="8" t="inlineStr"/>
      <c r="R322" s="8" t="inlineStr"/>
      <c r="S322" s="8" t="inlineStr"/>
      <c r="T322" s="8" t="inlineStr"/>
    </row>
    <row r="323">
      <c r="A323" s="8" t="inlineStr"/>
      <c r="B323" s="8" t="inlineStr">
        <is>
          <t>A33.1140</t>
        </is>
      </c>
      <c r="C323" s="8" t="inlineStr">
        <is>
          <t>Bảo ôn ống uPVC D27 dày 13mm</t>
        </is>
      </c>
      <c r="E323" s="8" t="inlineStr">
        <is>
          <t>m</t>
        </is>
      </c>
      <c r="F323" s="8" t="inlineStr"/>
      <c r="G323" s="8" t="n">
        <v>101</v>
      </c>
      <c r="H323" s="8" t="inlineStr"/>
      <c r="I323" s="8" t="inlineStr"/>
      <c r="J323" s="8" t="n">
        <v>1</v>
      </c>
      <c r="K323" s="8" t="n">
        <v>1777.6</v>
      </c>
      <c r="L323" s="8" t="inlineStr"/>
      <c r="M323" s="8" t="inlineStr"/>
      <c r="N323" s="8" t="inlineStr"/>
      <c r="O323" s="8" t="inlineStr"/>
      <c r="P323" s="8" t="inlineStr"/>
      <c r="Q323" s="8" t="inlineStr"/>
      <c r="R323" s="8" t="n">
        <v>0</v>
      </c>
      <c r="S323" s="8" t="n">
        <v>0</v>
      </c>
      <c r="T323" s="8" t="n">
        <v>1110</v>
      </c>
    </row>
    <row r="324">
      <c r="A324" s="8" t="inlineStr"/>
      <c r="B324" s="8" t="inlineStr">
        <is>
          <t>Z999</t>
        </is>
      </c>
      <c r="C324" s="8" t="inlineStr">
        <is>
          <t>Vật liệu khác</t>
        </is>
      </c>
      <c r="E324" s="8" t="inlineStr">
        <is>
          <t>%</t>
        </is>
      </c>
      <c r="F324" s="8" t="inlineStr"/>
      <c r="G324" s="8" t="n">
        <v>0.1</v>
      </c>
      <c r="H324" s="8" t="inlineStr"/>
      <c r="I324" s="8" t="inlineStr"/>
      <c r="J324" s="8" t="inlineStr"/>
      <c r="K324" s="8" t="inlineStr"/>
      <c r="L324" s="8" t="inlineStr"/>
      <c r="M324" s="8" t="inlineStr"/>
      <c r="N324" s="8" t="n">
        <v>0</v>
      </c>
      <c r="O324" s="8" t="inlineStr"/>
      <c r="P324" s="8" t="n">
        <v>34663.2</v>
      </c>
      <c r="Q324" s="8" t="inlineStr"/>
      <c r="R324" s="8" t="inlineStr"/>
      <c r="S324" s="8" t="inlineStr"/>
      <c r="T324" s="8" t="inlineStr"/>
    </row>
    <row r="325">
      <c r="A325" s="8" t="inlineStr"/>
      <c r="B325" s="8" t="inlineStr"/>
      <c r="C325" s="8" t="inlineStr">
        <is>
          <t>b) Nhân công</t>
        </is>
      </c>
      <c r="E325" s="8" t="inlineStr"/>
      <c r="F325" s="8" t="inlineStr"/>
      <c r="G325" s="8" t="inlineStr"/>
      <c r="H325" s="8" t="inlineStr"/>
      <c r="I325" s="8" t="inlineStr"/>
      <c r="J325" s="8" t="inlineStr"/>
      <c r="K325" s="8" t="inlineStr"/>
      <c r="L325" s="8" t="inlineStr"/>
      <c r="M325" s="8" t="inlineStr"/>
      <c r="N325" s="8" t="inlineStr"/>
      <c r="O325" s="8" t="inlineStr"/>
      <c r="P325" s="8" t="inlineStr"/>
      <c r="Q325" s="8" t="inlineStr"/>
      <c r="R325" s="8" t="inlineStr"/>
      <c r="S325" s="8" t="inlineStr"/>
      <c r="T325" s="8" t="inlineStr"/>
    </row>
    <row r="326">
      <c r="A326" s="8" t="inlineStr"/>
      <c r="B326" s="8" t="inlineStr">
        <is>
          <t>N3</t>
        </is>
      </c>
      <c r="C326" s="8" t="inlineStr">
        <is>
          <t>Nhân công nhóm 3</t>
        </is>
      </c>
      <c r="E326" s="8" t="inlineStr">
        <is>
          <t>công</t>
        </is>
      </c>
      <c r="F326" s="8" t="inlineStr"/>
      <c r="G326" s="8" t="inlineStr"/>
      <c r="H326" s="8" t="n">
        <v>8.56</v>
      </c>
      <c r="I326" s="8" t="inlineStr"/>
      <c r="J326" s="8" t="n">
        <v>1</v>
      </c>
      <c r="K326" s="8" t="inlineStr"/>
      <c r="L326" s="8" t="n">
        <v>150.656</v>
      </c>
      <c r="M326" s="8" t="inlineStr"/>
      <c r="N326" s="8" t="inlineStr"/>
      <c r="O326" s="8" t="inlineStr"/>
      <c r="P326" s="8" t="inlineStr"/>
      <c r="Q326" s="8" t="inlineStr"/>
      <c r="R326" s="8" t="inlineStr"/>
      <c r="S326" s="8" t="inlineStr"/>
      <c r="T326" s="8" t="n">
        <v>210</v>
      </c>
    </row>
    <row r="327">
      <c r="A327" s="8" t="n">
        <v>26</v>
      </c>
      <c r="B327" s="11" t="inlineStr">
        <is>
          <t>BC.13104</t>
        </is>
      </c>
      <c r="C327" s="8" t="inlineStr">
        <is>
          <t>Bảo ôn ống uPVC D34 dày 13mm</t>
        </is>
      </c>
      <c r="D327" s="12">
        <f>HYPERLINK("tt38://pl3/204", "👉 Phụ lục III - Trang 204 (Khớp nhóm BC.1310)")</f>
        <v/>
      </c>
      <c r="E327" s="8" t="inlineStr">
        <is>
          <t>100m</t>
        </is>
      </c>
      <c r="F327" s="8" t="n">
        <v>3</v>
      </c>
      <c r="G327" s="8" t="inlineStr"/>
      <c r="H327" s="8" t="inlineStr"/>
      <c r="I327" s="8" t="inlineStr"/>
      <c r="J327" s="8" t="inlineStr"/>
      <c r="K327" s="8" t="inlineStr"/>
      <c r="L327" s="8" t="inlineStr"/>
      <c r="M327" s="8" t="inlineStr"/>
      <c r="N327" s="8" t="inlineStr"/>
      <c r="O327" s="8" t="inlineStr"/>
      <c r="P327" s="8" t="inlineStr"/>
      <c r="Q327" s="8" t="inlineStr"/>
      <c r="R327" s="8" t="inlineStr"/>
      <c r="S327" s="8" t="inlineStr"/>
      <c r="T327" s="8" t="inlineStr"/>
    </row>
    <row r="328">
      <c r="A328" s="8" t="inlineStr"/>
      <c r="B328" s="8" t="inlineStr"/>
      <c r="C328" s="8" t="inlineStr">
        <is>
          <t>a) Vật liệu</t>
        </is>
      </c>
      <c r="E328" s="8" t="inlineStr"/>
      <c r="F328" s="8" t="inlineStr"/>
      <c r="G328" s="8" t="inlineStr"/>
      <c r="H328" s="8" t="inlineStr"/>
      <c r="I328" s="8" t="inlineStr"/>
      <c r="J328" s="8" t="inlineStr"/>
      <c r="K328" s="8" t="inlineStr"/>
      <c r="L328" s="8" t="inlineStr"/>
      <c r="M328" s="8" t="inlineStr"/>
      <c r="N328" s="8" t="inlineStr"/>
      <c r="O328" s="8" t="inlineStr"/>
      <c r="P328" s="8" t="inlineStr"/>
      <c r="Q328" s="8" t="inlineStr"/>
      <c r="R328" s="8" t="inlineStr"/>
      <c r="S328" s="8" t="inlineStr"/>
      <c r="T328" s="8" t="inlineStr"/>
    </row>
    <row r="329">
      <c r="A329" s="8" t="inlineStr"/>
      <c r="B329" s="8" t="inlineStr">
        <is>
          <t>A33.1140</t>
        </is>
      </c>
      <c r="C329" s="8" t="inlineStr">
        <is>
          <t>Bảo ôn ống uPVC D34 dày 13mm</t>
        </is>
      </c>
      <c r="E329" s="8" t="inlineStr">
        <is>
          <t>m</t>
        </is>
      </c>
      <c r="F329" s="8" t="inlineStr"/>
      <c r="G329" s="8" t="n">
        <v>101</v>
      </c>
      <c r="H329" s="8" t="inlineStr"/>
      <c r="I329" s="8" t="inlineStr"/>
      <c r="J329" s="8" t="n">
        <v>1</v>
      </c>
      <c r="K329" s="8" t="n">
        <v>303</v>
      </c>
      <c r="L329" s="8" t="inlineStr"/>
      <c r="M329" s="8" t="inlineStr"/>
      <c r="N329" s="8" t="inlineStr"/>
      <c r="O329" s="8" t="inlineStr"/>
      <c r="P329" s="8" t="inlineStr"/>
      <c r="Q329" s="8" t="inlineStr"/>
      <c r="R329" s="8" t="n">
        <v>0</v>
      </c>
      <c r="S329" s="8" t="n">
        <v>0</v>
      </c>
      <c r="T329" s="8" t="n">
        <v>1111</v>
      </c>
    </row>
    <row r="330">
      <c r="A330" s="8" t="inlineStr"/>
      <c r="B330" s="8" t="inlineStr">
        <is>
          <t>Z999</t>
        </is>
      </c>
      <c r="C330" s="8" t="inlineStr">
        <is>
          <t>Vật liệu khác</t>
        </is>
      </c>
      <c r="E330" s="8" t="inlineStr">
        <is>
          <t>%</t>
        </is>
      </c>
      <c r="F330" s="8" t="inlineStr"/>
      <c r="G330" s="8" t="n">
        <v>0.1</v>
      </c>
      <c r="H330" s="8" t="inlineStr"/>
      <c r="I330" s="8" t="inlineStr"/>
      <c r="J330" s="8" t="inlineStr"/>
      <c r="K330" s="8" t="inlineStr"/>
      <c r="L330" s="8" t="inlineStr"/>
      <c r="M330" s="8" t="inlineStr"/>
      <c r="N330" s="8" t="n">
        <v>0</v>
      </c>
      <c r="O330" s="8" t="inlineStr"/>
      <c r="P330" s="8" t="n">
        <v>6938.700000000001</v>
      </c>
      <c r="Q330" s="8" t="inlineStr"/>
      <c r="R330" s="8" t="inlineStr"/>
      <c r="S330" s="8" t="inlineStr"/>
      <c r="T330" s="8" t="inlineStr"/>
    </row>
    <row r="331">
      <c r="A331" s="8" t="inlineStr"/>
      <c r="B331" s="8" t="inlineStr"/>
      <c r="C331" s="8" t="inlineStr">
        <is>
          <t>b) Nhân công</t>
        </is>
      </c>
      <c r="E331" s="8" t="inlineStr"/>
      <c r="F331" s="8" t="inlineStr"/>
      <c r="G331" s="8" t="inlineStr"/>
      <c r="H331" s="8" t="inlineStr"/>
      <c r="I331" s="8" t="inlineStr"/>
      <c r="J331" s="8" t="inlineStr"/>
      <c r="K331" s="8" t="inlineStr"/>
      <c r="L331" s="8" t="inlineStr"/>
      <c r="M331" s="8" t="inlineStr"/>
      <c r="N331" s="8" t="inlineStr"/>
      <c r="O331" s="8" t="inlineStr"/>
      <c r="P331" s="8" t="inlineStr"/>
      <c r="Q331" s="8" t="inlineStr"/>
      <c r="R331" s="8" t="inlineStr"/>
      <c r="S331" s="8" t="inlineStr"/>
      <c r="T331" s="8" t="inlineStr"/>
    </row>
    <row r="332">
      <c r="A332" s="8" t="inlineStr"/>
      <c r="B332" s="8" t="inlineStr">
        <is>
          <t>N3</t>
        </is>
      </c>
      <c r="C332" s="8" t="inlineStr">
        <is>
          <t>Nhân công nhóm 3</t>
        </is>
      </c>
      <c r="E332" s="8" t="inlineStr">
        <is>
          <t>công</t>
        </is>
      </c>
      <c r="F332" s="8" t="inlineStr"/>
      <c r="G332" s="8" t="inlineStr"/>
      <c r="H332" s="8" t="n">
        <v>9.1</v>
      </c>
      <c r="I332" s="8" t="inlineStr"/>
      <c r="J332" s="8" t="n">
        <v>1</v>
      </c>
      <c r="K332" s="8" t="inlineStr"/>
      <c r="L332" s="8" t="n">
        <v>27.3</v>
      </c>
      <c r="M332" s="8" t="inlineStr"/>
      <c r="N332" s="8" t="inlineStr"/>
      <c r="O332" s="8" t="inlineStr"/>
      <c r="P332" s="8" t="inlineStr"/>
      <c r="Q332" s="8" t="inlineStr"/>
      <c r="R332" s="8" t="inlineStr"/>
      <c r="S332" s="8" t="inlineStr"/>
      <c r="T332" s="8" t="n">
        <v>210</v>
      </c>
    </row>
    <row r="333">
      <c r="A333" s="8" t="n">
        <v>27</v>
      </c>
      <c r="B333" s="11" t="inlineStr">
        <is>
          <t>BC.13105</t>
        </is>
      </c>
      <c r="C333" s="8" t="inlineStr">
        <is>
          <t>Bảo ôn ống uPVC D42 dày 13mm</t>
        </is>
      </c>
      <c r="D333" s="12">
        <f>HYPERLINK("tt38://pl3/204", "👉 Phụ lục III - Trang 204 (Khớp nhóm BC.1310)")</f>
        <v/>
      </c>
      <c r="E333" s="8" t="inlineStr">
        <is>
          <t>100m</t>
        </is>
      </c>
      <c r="F333" s="8" t="n">
        <v>3</v>
      </c>
      <c r="G333" s="8" t="inlineStr"/>
      <c r="H333" s="8" t="inlineStr"/>
      <c r="I333" s="8" t="inlineStr"/>
      <c r="J333" s="8" t="inlineStr"/>
      <c r="K333" s="8" t="inlineStr"/>
      <c r="L333" s="8" t="inlineStr"/>
      <c r="M333" s="8" t="inlineStr"/>
      <c r="N333" s="8" t="inlineStr"/>
      <c r="O333" s="8" t="inlineStr"/>
      <c r="P333" s="8" t="inlineStr"/>
      <c r="Q333" s="8" t="inlineStr"/>
      <c r="R333" s="8" t="inlineStr"/>
      <c r="S333" s="8" t="inlineStr"/>
      <c r="T333" s="8" t="inlineStr"/>
    </row>
    <row r="334">
      <c r="A334" s="8" t="inlineStr"/>
      <c r="B334" s="8" t="inlineStr"/>
      <c r="C334" s="8" t="inlineStr">
        <is>
          <t>a) Vật liệu</t>
        </is>
      </c>
      <c r="E334" s="8" t="inlineStr"/>
      <c r="F334" s="8" t="inlineStr"/>
      <c r="G334" s="8" t="inlineStr"/>
      <c r="H334" s="8" t="inlineStr"/>
      <c r="I334" s="8" t="inlineStr"/>
      <c r="J334" s="8" t="inlineStr"/>
      <c r="K334" s="8" t="inlineStr"/>
      <c r="L334" s="8" t="inlineStr"/>
      <c r="M334" s="8" t="inlineStr"/>
      <c r="N334" s="8" t="inlineStr"/>
      <c r="O334" s="8" t="inlineStr"/>
      <c r="P334" s="8" t="inlineStr"/>
      <c r="Q334" s="8" t="inlineStr"/>
      <c r="R334" s="8" t="inlineStr"/>
      <c r="S334" s="8" t="inlineStr"/>
      <c r="T334" s="8" t="inlineStr"/>
    </row>
    <row r="335">
      <c r="A335" s="8" t="inlineStr"/>
      <c r="B335" s="8" t="inlineStr">
        <is>
          <t>A33.1140</t>
        </is>
      </c>
      <c r="C335" s="8" t="inlineStr">
        <is>
          <t>Bảo ôn ống uPVC D42 dày 13mm</t>
        </is>
      </c>
      <c r="E335" s="8" t="inlineStr">
        <is>
          <t>m</t>
        </is>
      </c>
      <c r="F335" s="8" t="inlineStr"/>
      <c r="G335" s="8" t="n">
        <v>101</v>
      </c>
      <c r="H335" s="8" t="inlineStr"/>
      <c r="I335" s="8" t="inlineStr"/>
      <c r="J335" s="8" t="n">
        <v>1</v>
      </c>
      <c r="K335" s="8" t="n">
        <v>303</v>
      </c>
      <c r="L335" s="8" t="inlineStr"/>
      <c r="M335" s="8" t="inlineStr"/>
      <c r="N335" s="8" t="inlineStr"/>
      <c r="O335" s="8" t="inlineStr"/>
      <c r="P335" s="8" t="inlineStr"/>
      <c r="Q335" s="8" t="inlineStr"/>
      <c r="R335" s="8" t="n">
        <v>0</v>
      </c>
      <c r="S335" s="8" t="n">
        <v>0</v>
      </c>
      <c r="T335" s="8" t="n">
        <v>1112</v>
      </c>
    </row>
    <row r="336">
      <c r="A336" s="8" t="inlineStr"/>
      <c r="B336" s="8" t="inlineStr">
        <is>
          <t>Z999</t>
        </is>
      </c>
      <c r="C336" s="8" t="inlineStr">
        <is>
          <t>Vật liệu khác</t>
        </is>
      </c>
      <c r="E336" s="8" t="inlineStr">
        <is>
          <t>%</t>
        </is>
      </c>
      <c r="F336" s="8" t="inlineStr"/>
      <c r="G336" s="8" t="n">
        <v>0.1</v>
      </c>
      <c r="H336" s="8" t="inlineStr"/>
      <c r="I336" s="8" t="inlineStr"/>
      <c r="J336" s="8" t="inlineStr"/>
      <c r="K336" s="8" t="inlineStr"/>
      <c r="L336" s="8" t="inlineStr"/>
      <c r="M336" s="8" t="inlineStr"/>
      <c r="N336" s="8" t="n">
        <v>0</v>
      </c>
      <c r="O336" s="8" t="inlineStr"/>
      <c r="P336" s="8" t="n">
        <v>8847.6</v>
      </c>
      <c r="Q336" s="8" t="inlineStr"/>
      <c r="R336" s="8" t="inlineStr"/>
      <c r="S336" s="8" t="inlineStr"/>
      <c r="T336" s="8" t="inlineStr"/>
    </row>
    <row r="337">
      <c r="A337" s="8" t="inlineStr"/>
      <c r="B337" s="8" t="inlineStr"/>
      <c r="C337" s="8" t="inlineStr">
        <is>
          <t>b) Nhân công</t>
        </is>
      </c>
      <c r="E337" s="8" t="inlineStr"/>
      <c r="F337" s="8" t="inlineStr"/>
      <c r="G337" s="8" t="inlineStr"/>
      <c r="H337" s="8" t="inlineStr"/>
      <c r="I337" s="8" t="inlineStr"/>
      <c r="J337" s="8" t="inlineStr"/>
      <c r="K337" s="8" t="inlineStr"/>
      <c r="L337" s="8" t="inlineStr"/>
      <c r="M337" s="8" t="inlineStr"/>
      <c r="N337" s="8" t="inlineStr"/>
      <c r="O337" s="8" t="inlineStr"/>
      <c r="P337" s="8" t="inlineStr"/>
      <c r="Q337" s="8" t="inlineStr"/>
      <c r="R337" s="8" t="inlineStr"/>
      <c r="S337" s="8" t="inlineStr"/>
      <c r="T337" s="8" t="inlineStr"/>
    </row>
    <row r="338">
      <c r="A338" s="8" t="inlineStr"/>
      <c r="B338" s="8" t="inlineStr">
        <is>
          <t>N3</t>
        </is>
      </c>
      <c r="C338" s="8" t="inlineStr">
        <is>
          <t>Nhân công nhóm 3</t>
        </is>
      </c>
      <c r="E338" s="8" t="inlineStr">
        <is>
          <t>công</t>
        </is>
      </c>
      <c r="F338" s="8" t="inlineStr"/>
      <c r="G338" s="8" t="inlineStr"/>
      <c r="H338" s="8" t="n">
        <v>10</v>
      </c>
      <c r="I338" s="8" t="inlineStr"/>
      <c r="J338" s="8" t="n">
        <v>1</v>
      </c>
      <c r="K338" s="8" t="inlineStr"/>
      <c r="L338" s="8" t="n">
        <v>30</v>
      </c>
      <c r="M338" s="8" t="inlineStr"/>
      <c r="N338" s="8" t="inlineStr"/>
      <c r="O338" s="8" t="inlineStr"/>
      <c r="P338" s="8" t="inlineStr"/>
      <c r="Q338" s="8" t="inlineStr"/>
      <c r="R338" s="8" t="inlineStr"/>
      <c r="S338" s="8" t="inlineStr"/>
      <c r="T338" s="8" t="n">
        <v>210</v>
      </c>
    </row>
    <row r="339">
      <c r="A339" s="8" t="n">
        <v>28</v>
      </c>
      <c r="B339" s="11" t="inlineStr">
        <is>
          <t>BC.13106</t>
        </is>
      </c>
      <c r="C339" s="8" t="inlineStr">
        <is>
          <t>Bảo ôn ống uPVC D48 dày 13mm</t>
        </is>
      </c>
      <c r="D339" s="12">
        <f>HYPERLINK("tt38://pl3/204", "👉 Phụ lục III - Trang 204 (Khớp nhóm BC.1310)")</f>
        <v/>
      </c>
      <c r="E339" s="8" t="inlineStr">
        <is>
          <t>100m</t>
        </is>
      </c>
      <c r="F339" s="8" t="n">
        <v>2.5</v>
      </c>
      <c r="G339" s="8" t="inlineStr"/>
      <c r="H339" s="8" t="inlineStr"/>
      <c r="I339" s="8" t="inlineStr"/>
      <c r="J339" s="8" t="inlineStr"/>
      <c r="K339" s="8" t="inlineStr"/>
      <c r="L339" s="8" t="inlineStr"/>
      <c r="M339" s="8" t="inlineStr"/>
      <c r="N339" s="8" t="inlineStr"/>
      <c r="O339" s="8" t="inlineStr"/>
      <c r="P339" s="8" t="inlineStr"/>
      <c r="Q339" s="8" t="inlineStr"/>
      <c r="R339" s="8" t="inlineStr"/>
      <c r="S339" s="8" t="inlineStr"/>
      <c r="T339" s="8" t="inlineStr"/>
    </row>
    <row r="340">
      <c r="A340" s="8" t="inlineStr"/>
      <c r="B340" s="8" t="inlineStr"/>
      <c r="C340" s="8" t="inlineStr">
        <is>
          <t>a) Vật liệu</t>
        </is>
      </c>
      <c r="E340" s="8" t="inlineStr"/>
      <c r="F340" s="8" t="inlineStr"/>
      <c r="G340" s="8" t="inlineStr"/>
      <c r="H340" s="8" t="inlineStr"/>
      <c r="I340" s="8" t="inlineStr"/>
      <c r="J340" s="8" t="inlineStr"/>
      <c r="K340" s="8" t="inlineStr"/>
      <c r="L340" s="8" t="inlineStr"/>
      <c r="M340" s="8" t="inlineStr"/>
      <c r="N340" s="8" t="inlineStr"/>
      <c r="O340" s="8" t="inlineStr"/>
      <c r="P340" s="8" t="inlineStr"/>
      <c r="Q340" s="8" t="inlineStr"/>
      <c r="R340" s="8" t="inlineStr"/>
      <c r="S340" s="8" t="inlineStr"/>
      <c r="T340" s="8" t="inlineStr"/>
    </row>
    <row r="341">
      <c r="A341" s="8" t="inlineStr"/>
      <c r="B341" s="8" t="inlineStr">
        <is>
          <t>A33.1140</t>
        </is>
      </c>
      <c r="C341" s="8" t="inlineStr">
        <is>
          <t>Bảo ôn ống uPVC D48 dày 13mm</t>
        </is>
      </c>
      <c r="E341" s="8" t="inlineStr">
        <is>
          <t>m</t>
        </is>
      </c>
      <c r="F341" s="8" t="inlineStr"/>
      <c r="G341" s="8" t="n">
        <v>101</v>
      </c>
      <c r="H341" s="8" t="inlineStr"/>
      <c r="I341" s="8" t="inlineStr"/>
      <c r="J341" s="8" t="n">
        <v>1</v>
      </c>
      <c r="K341" s="8" t="n">
        <v>252.5</v>
      </c>
      <c r="L341" s="8" t="inlineStr"/>
      <c r="M341" s="8" t="inlineStr"/>
      <c r="N341" s="8" t="inlineStr"/>
      <c r="O341" s="8" t="inlineStr"/>
      <c r="P341" s="8" t="inlineStr"/>
      <c r="Q341" s="8" t="inlineStr"/>
      <c r="R341" s="8" t="n">
        <v>0</v>
      </c>
      <c r="S341" s="8" t="n">
        <v>0</v>
      </c>
      <c r="T341" s="8" t="n">
        <v>1113</v>
      </c>
    </row>
    <row r="342">
      <c r="A342" s="8" t="inlineStr"/>
      <c r="B342" s="8" t="inlineStr">
        <is>
          <t>Z999</t>
        </is>
      </c>
      <c r="C342" s="8" t="inlineStr">
        <is>
          <t>Vật liệu khác</t>
        </is>
      </c>
      <c r="E342" s="8" t="inlineStr">
        <is>
          <t>%</t>
        </is>
      </c>
      <c r="F342" s="8" t="inlineStr"/>
      <c r="G342" s="8" t="n">
        <v>0.1</v>
      </c>
      <c r="H342" s="8" t="inlineStr"/>
      <c r="I342" s="8" t="inlineStr"/>
      <c r="J342" s="8" t="inlineStr"/>
      <c r="K342" s="8" t="inlineStr"/>
      <c r="L342" s="8" t="inlineStr"/>
      <c r="M342" s="8" t="inlineStr"/>
      <c r="N342" s="8" t="n">
        <v>0</v>
      </c>
      <c r="O342" s="8" t="inlineStr"/>
      <c r="P342" s="8" t="n">
        <v>8105.25</v>
      </c>
      <c r="Q342" s="8" t="inlineStr"/>
      <c r="R342" s="8" t="inlineStr"/>
      <c r="S342" s="8" t="inlineStr"/>
      <c r="T342" s="8" t="inlineStr"/>
    </row>
    <row r="343">
      <c r="A343" s="8" t="inlineStr"/>
      <c r="B343" s="8" t="inlineStr"/>
      <c r="C343" s="8" t="inlineStr">
        <is>
          <t>b) Nhân công</t>
        </is>
      </c>
      <c r="E343" s="8" t="inlineStr"/>
      <c r="F343" s="8" t="inlineStr"/>
      <c r="G343" s="8" t="inlineStr"/>
      <c r="H343" s="8" t="inlineStr"/>
      <c r="I343" s="8" t="inlineStr"/>
      <c r="J343" s="8" t="inlineStr"/>
      <c r="K343" s="8" t="inlineStr"/>
      <c r="L343" s="8" t="inlineStr"/>
      <c r="M343" s="8" t="inlineStr"/>
      <c r="N343" s="8" t="inlineStr"/>
      <c r="O343" s="8" t="inlineStr"/>
      <c r="P343" s="8" t="inlineStr"/>
      <c r="Q343" s="8" t="inlineStr"/>
      <c r="R343" s="8" t="inlineStr"/>
      <c r="S343" s="8" t="inlineStr"/>
      <c r="T343" s="8" t="inlineStr"/>
    </row>
    <row r="344">
      <c r="A344" s="8" t="inlineStr"/>
      <c r="B344" s="8" t="inlineStr">
        <is>
          <t>N3</t>
        </is>
      </c>
      <c r="C344" s="8" t="inlineStr">
        <is>
          <t>Nhân công nhóm 3</t>
        </is>
      </c>
      <c r="E344" s="8" t="inlineStr">
        <is>
          <t>công</t>
        </is>
      </c>
      <c r="F344" s="8" t="inlineStr"/>
      <c r="G344" s="8" t="inlineStr"/>
      <c r="H344" s="8" t="n">
        <v>10.6</v>
      </c>
      <c r="I344" s="8" t="inlineStr"/>
      <c r="J344" s="8" t="n">
        <v>1</v>
      </c>
      <c r="K344" s="8" t="inlineStr"/>
      <c r="L344" s="8" t="n">
        <v>26.5</v>
      </c>
      <c r="M344" s="8" t="inlineStr"/>
      <c r="N344" s="8" t="inlineStr"/>
      <c r="O344" s="8" t="inlineStr"/>
      <c r="P344" s="8" t="inlineStr"/>
      <c r="Q344" s="8" t="inlineStr"/>
      <c r="R344" s="8" t="inlineStr"/>
      <c r="S344" s="8" t="inlineStr"/>
      <c r="T344" s="8" t="n">
        <v>210</v>
      </c>
    </row>
    <row r="345">
      <c r="A345" s="8" t="inlineStr"/>
      <c r="B345" s="8" t="inlineStr"/>
      <c r="C345" s="8" t="inlineStr">
        <is>
          <t>KẾT THÚC : Ống nước ngưng</t>
        </is>
      </c>
      <c r="E345" s="8" t="inlineStr"/>
      <c r="F345" s="8" t="inlineStr"/>
      <c r="G345" s="8" t="inlineStr"/>
      <c r="H345" s="8" t="inlineStr"/>
      <c r="I345" s="8" t="inlineStr"/>
      <c r="J345" s="8" t="inlineStr"/>
      <c r="K345" s="8" t="inlineStr"/>
      <c r="L345" s="8" t="inlineStr"/>
      <c r="M345" s="8" t="inlineStr"/>
      <c r="N345" s="8" t="inlineStr"/>
      <c r="O345" s="8" t="inlineStr"/>
      <c r="P345" s="8" t="inlineStr"/>
      <c r="Q345" s="8" t="inlineStr"/>
      <c r="R345" s="8" t="inlineStr"/>
      <c r="S345" s="8" t="inlineStr"/>
      <c r="T345" s="8" t="inlineStr"/>
    </row>
    <row r="346">
      <c r="A346" s="8" t="inlineStr"/>
      <c r="B346" s="8" t="inlineStr">
        <is>
          <t>*</t>
        </is>
      </c>
      <c r="C346" s="8" t="inlineStr">
        <is>
          <t>Dây điện</t>
        </is>
      </c>
      <c r="E346" s="8" t="n">
        <v>0</v>
      </c>
      <c r="F346" s="8" t="n">
        <v>0</v>
      </c>
      <c r="G346" s="8" t="inlineStr"/>
      <c r="H346" s="8" t="inlineStr"/>
      <c r="I346" s="8" t="inlineStr"/>
      <c r="J346" s="8" t="inlineStr"/>
      <c r="K346" s="8" t="inlineStr"/>
      <c r="L346" s="8" t="inlineStr"/>
      <c r="M346" s="8" t="inlineStr"/>
      <c r="N346" s="8" t="inlineStr"/>
      <c r="O346" s="8" t="inlineStr"/>
      <c r="P346" s="8" t="inlineStr"/>
      <c r="Q346" s="8" t="inlineStr"/>
      <c r="R346" s="8" t="inlineStr"/>
      <c r="S346" s="8" t="inlineStr"/>
      <c r="T346" s="8" t="inlineStr"/>
    </row>
    <row r="347">
      <c r="A347" s="8" t="n">
        <v>29</v>
      </c>
      <c r="B347" s="11" t="inlineStr">
        <is>
          <t>BA.16201</t>
        </is>
      </c>
      <c r="C347" s="8" t="inlineStr">
        <is>
          <t>Dây điện_Cu/PVC_2x(1x0.75)mm2</t>
        </is>
      </c>
      <c r="D347" s="12">
        <f>HYPERLINK("tt38://pl3/14", "👉 Phụ lục III - Trang 14 (Khớp nhóm BA.1620)")</f>
        <v/>
      </c>
      <c r="E347" s="8" t="inlineStr">
        <is>
          <t>m</t>
        </is>
      </c>
      <c r="F347" s="8" t="n">
        <v>1300</v>
      </c>
      <c r="G347" s="8" t="inlineStr"/>
      <c r="H347" s="8" t="inlineStr"/>
      <c r="I347" s="8" t="inlineStr"/>
      <c r="J347" s="8" t="inlineStr"/>
      <c r="K347" s="8" t="inlineStr"/>
      <c r="L347" s="8" t="inlineStr"/>
      <c r="M347" s="8" t="inlineStr"/>
      <c r="N347" s="8" t="inlineStr"/>
      <c r="O347" s="8" t="inlineStr"/>
      <c r="P347" s="8" t="inlineStr"/>
      <c r="Q347" s="8" t="inlineStr"/>
      <c r="R347" s="8" t="inlineStr"/>
      <c r="S347" s="8" t="inlineStr"/>
      <c r="T347" s="8" t="inlineStr"/>
    </row>
    <row r="348">
      <c r="A348" s="8" t="inlineStr"/>
      <c r="B348" s="8" t="inlineStr"/>
      <c r="C348" s="8" t="inlineStr">
        <is>
          <t>a) Vật liệu</t>
        </is>
      </c>
      <c r="E348" s="8" t="inlineStr"/>
      <c r="F348" s="8" t="inlineStr"/>
      <c r="G348" s="8" t="inlineStr"/>
      <c r="H348" s="8" t="inlineStr"/>
      <c r="I348" s="8" t="inlineStr"/>
      <c r="J348" s="8" t="inlineStr"/>
      <c r="K348" s="8" t="inlineStr"/>
      <c r="L348" s="8" t="inlineStr"/>
      <c r="M348" s="8" t="inlineStr"/>
      <c r="N348" s="8" t="inlineStr"/>
      <c r="O348" s="8" t="inlineStr"/>
      <c r="P348" s="8" t="inlineStr"/>
      <c r="Q348" s="8" t="inlineStr"/>
      <c r="R348" s="8" t="inlineStr"/>
      <c r="S348" s="8" t="inlineStr"/>
      <c r="T348" s="8" t="inlineStr"/>
    </row>
    <row r="349">
      <c r="A349" s="8" t="inlineStr"/>
      <c r="B349" s="8" t="inlineStr">
        <is>
          <t>A33.0074</t>
        </is>
      </c>
      <c r="C349" s="8" t="inlineStr">
        <is>
          <t>Dây điện_Cu/PVC_2x(1x0.75)mm2</t>
        </is>
      </c>
      <c r="E349" s="8" t="inlineStr">
        <is>
          <t>m</t>
        </is>
      </c>
      <c r="F349" s="8" t="inlineStr"/>
      <c r="G349" s="8" t="n">
        <v>1.01</v>
      </c>
      <c r="H349" s="8" t="inlineStr"/>
      <c r="I349" s="8" t="inlineStr"/>
      <c r="J349" s="8" t="n">
        <v>1</v>
      </c>
      <c r="K349" s="8" t="n">
        <v>1313</v>
      </c>
      <c r="L349" s="8" t="inlineStr"/>
      <c r="M349" s="8" t="inlineStr"/>
      <c r="N349" s="8" t="inlineStr"/>
      <c r="O349" s="8" t="inlineStr"/>
      <c r="P349" s="8" t="inlineStr"/>
      <c r="Q349" s="8" t="inlineStr"/>
      <c r="R349" s="8" t="n">
        <v>0</v>
      </c>
      <c r="S349" s="8" t="n">
        <v>0</v>
      </c>
      <c r="T349" s="8" t="n">
        <v>1116</v>
      </c>
    </row>
    <row r="350">
      <c r="A350" s="8" t="inlineStr"/>
      <c r="B350" s="8" t="inlineStr">
        <is>
          <t>Z999</t>
        </is>
      </c>
      <c r="C350" s="8" t="inlineStr">
        <is>
          <t>Vật liệu khác</t>
        </is>
      </c>
      <c r="E350" s="8" t="inlineStr">
        <is>
          <t>%</t>
        </is>
      </c>
      <c r="F350" s="8" t="inlineStr"/>
      <c r="G350" s="8" t="n">
        <v>3</v>
      </c>
      <c r="H350" s="8" t="inlineStr"/>
      <c r="I350" s="8" t="inlineStr"/>
      <c r="J350" s="8" t="inlineStr"/>
      <c r="K350" s="8" t="inlineStr"/>
      <c r="L350" s="8" t="inlineStr"/>
      <c r="M350" s="8" t="inlineStr"/>
      <c r="N350" s="8" t="n">
        <v>0</v>
      </c>
      <c r="O350" s="8" t="inlineStr"/>
      <c r="P350" s="8" t="n">
        <v>341038.62</v>
      </c>
      <c r="Q350" s="8" t="inlineStr"/>
      <c r="R350" s="8" t="inlineStr"/>
      <c r="S350" s="8" t="inlineStr"/>
      <c r="T350" s="8" t="inlineStr"/>
    </row>
    <row r="351">
      <c r="A351" s="8" t="inlineStr"/>
      <c r="B351" s="8" t="inlineStr"/>
      <c r="C351" s="8" t="inlineStr">
        <is>
          <t>b) Nhân công</t>
        </is>
      </c>
      <c r="E351" s="8" t="inlineStr"/>
      <c r="F351" s="8" t="inlineStr"/>
      <c r="G351" s="8" t="inlineStr"/>
      <c r="H351" s="8" t="inlineStr"/>
      <c r="I351" s="8" t="inlineStr"/>
      <c r="J351" s="8" t="inlineStr"/>
      <c r="K351" s="8" t="inlineStr"/>
      <c r="L351" s="8" t="inlineStr"/>
      <c r="M351" s="8" t="inlineStr"/>
      <c r="N351" s="8" t="inlineStr"/>
      <c r="O351" s="8" t="inlineStr"/>
      <c r="P351" s="8" t="inlineStr"/>
      <c r="Q351" s="8" t="inlineStr"/>
      <c r="R351" s="8" t="inlineStr"/>
      <c r="S351" s="8" t="inlineStr"/>
      <c r="T351" s="8" t="inlineStr"/>
    </row>
    <row r="352">
      <c r="A352" s="8" t="inlineStr"/>
      <c r="B352" s="8" t="inlineStr">
        <is>
          <t>N3</t>
        </is>
      </c>
      <c r="C352" s="8" t="inlineStr">
        <is>
          <t>Nhân công nhóm 3</t>
        </is>
      </c>
      <c r="E352" s="8" t="inlineStr">
        <is>
          <t>công</t>
        </is>
      </c>
      <c r="F352" s="8" t="inlineStr"/>
      <c r="G352" s="8" t="inlineStr"/>
      <c r="H352" s="8" t="n">
        <v>0.023</v>
      </c>
      <c r="I352" s="8" t="inlineStr"/>
      <c r="J352" s="8" t="n">
        <v>1</v>
      </c>
      <c r="K352" s="8" t="inlineStr"/>
      <c r="L352" s="8" t="n">
        <v>29.9</v>
      </c>
      <c r="M352" s="8" t="inlineStr"/>
      <c r="N352" s="8" t="inlineStr"/>
      <c r="O352" s="8" t="inlineStr"/>
      <c r="P352" s="8" t="inlineStr"/>
      <c r="Q352" s="8" t="inlineStr"/>
      <c r="R352" s="8" t="inlineStr"/>
      <c r="S352" s="8" t="inlineStr"/>
      <c r="T352" s="8" t="n">
        <v>210</v>
      </c>
    </row>
    <row r="353">
      <c r="A353" s="8" t="n">
        <v>30</v>
      </c>
      <c r="B353" s="11" t="inlineStr">
        <is>
          <t>BA.16202</t>
        </is>
      </c>
      <c r="C353" s="8" t="inlineStr">
        <is>
          <t>Dây điện_Cu/PVC_2x(1x1.5)mm2</t>
        </is>
      </c>
      <c r="D353" s="12">
        <f>HYPERLINK("tt38://pl3/14", "👉 Phụ lục III - Trang 14 (Khớp nhóm BA.1620)")</f>
        <v/>
      </c>
      <c r="E353" s="8" t="inlineStr">
        <is>
          <t>m</t>
        </is>
      </c>
      <c r="F353" s="8" t="n">
        <v>4660</v>
      </c>
      <c r="G353" s="8" t="inlineStr"/>
      <c r="H353" s="8" t="inlineStr"/>
      <c r="I353" s="8" t="inlineStr"/>
      <c r="J353" s="8" t="inlineStr"/>
      <c r="K353" s="8" t="inlineStr"/>
      <c r="L353" s="8" t="inlineStr"/>
      <c r="M353" s="8" t="inlineStr"/>
      <c r="N353" s="8" t="inlineStr"/>
      <c r="O353" s="8" t="inlineStr"/>
      <c r="P353" s="8" t="inlineStr"/>
      <c r="Q353" s="8" t="inlineStr"/>
      <c r="R353" s="8" t="inlineStr"/>
      <c r="S353" s="8" t="inlineStr"/>
      <c r="T353" s="8" t="inlineStr"/>
    </row>
    <row r="354">
      <c r="A354" s="8" t="inlineStr"/>
      <c r="B354" s="8" t="inlineStr"/>
      <c r="C354" s="8" t="inlineStr">
        <is>
          <t>a) Vật liệu</t>
        </is>
      </c>
      <c r="E354" s="8" t="inlineStr"/>
      <c r="F354" s="8" t="inlineStr"/>
      <c r="G354" s="8" t="inlineStr"/>
      <c r="H354" s="8" t="inlineStr"/>
      <c r="I354" s="8" t="inlineStr"/>
      <c r="J354" s="8" t="inlineStr"/>
      <c r="K354" s="8" t="inlineStr"/>
      <c r="L354" s="8" t="inlineStr"/>
      <c r="M354" s="8" t="inlineStr"/>
      <c r="N354" s="8" t="inlineStr"/>
      <c r="O354" s="8" t="inlineStr"/>
      <c r="P354" s="8" t="inlineStr"/>
      <c r="Q354" s="8" t="inlineStr"/>
      <c r="R354" s="8" t="inlineStr"/>
      <c r="S354" s="8" t="inlineStr"/>
      <c r="T354" s="8" t="inlineStr"/>
    </row>
    <row r="355">
      <c r="A355" s="8" t="inlineStr"/>
      <c r="B355" s="8" t="inlineStr">
        <is>
          <t>A33.0075</t>
        </is>
      </c>
      <c r="C355" s="8" t="inlineStr">
        <is>
          <t>Dây điện_Cu/PVC_2x(1x1.5)mm2</t>
        </is>
      </c>
      <c r="E355" s="8" t="inlineStr">
        <is>
          <t>m</t>
        </is>
      </c>
      <c r="F355" s="8" t="inlineStr"/>
      <c r="G355" s="8" t="n">
        <v>1.01</v>
      </c>
      <c r="H355" s="8" t="inlineStr"/>
      <c r="I355" s="8" t="inlineStr"/>
      <c r="J355" s="8" t="n">
        <v>1</v>
      </c>
      <c r="K355" s="8" t="n">
        <v>4706.6</v>
      </c>
      <c r="L355" s="8" t="inlineStr"/>
      <c r="M355" s="8" t="inlineStr"/>
      <c r="N355" s="8" t="inlineStr"/>
      <c r="O355" s="8" t="inlineStr"/>
      <c r="P355" s="8" t="inlineStr"/>
      <c r="Q355" s="8" t="inlineStr"/>
      <c r="R355" s="8" t="n">
        <v>0</v>
      </c>
      <c r="S355" s="8" t="n">
        <v>0</v>
      </c>
      <c r="T355" s="8" t="n">
        <v>1117</v>
      </c>
    </row>
    <row r="356">
      <c r="A356" s="8" t="inlineStr"/>
      <c r="B356" s="8" t="inlineStr">
        <is>
          <t>Z999</t>
        </is>
      </c>
      <c r="C356" s="8" t="inlineStr">
        <is>
          <t>Vật liệu khác</t>
        </is>
      </c>
      <c r="E356" s="8" t="inlineStr">
        <is>
          <t>%</t>
        </is>
      </c>
      <c r="F356" s="8" t="inlineStr"/>
      <c r="G356" s="8" t="n">
        <v>3</v>
      </c>
      <c r="H356" s="8" t="inlineStr"/>
      <c r="I356" s="8" t="inlineStr"/>
      <c r="J356" s="8" t="inlineStr"/>
      <c r="K356" s="8" t="inlineStr"/>
      <c r="L356" s="8" t="inlineStr"/>
      <c r="M356" s="8" t="inlineStr"/>
      <c r="N356" s="8" t="n">
        <v>0</v>
      </c>
      <c r="O356" s="8" t="inlineStr"/>
      <c r="P356" s="8" t="n">
        <v>2125735.89</v>
      </c>
      <c r="Q356" s="8" t="inlineStr"/>
      <c r="R356" s="8" t="inlineStr"/>
      <c r="S356" s="8" t="inlineStr"/>
      <c r="T356" s="8" t="inlineStr"/>
    </row>
    <row r="357">
      <c r="A357" s="8" t="inlineStr"/>
      <c r="B357" s="8" t="inlineStr"/>
      <c r="C357" s="8" t="inlineStr">
        <is>
          <t>b) Nhân công</t>
        </is>
      </c>
      <c r="E357" s="8" t="inlineStr"/>
      <c r="F357" s="8" t="inlineStr"/>
      <c r="G357" s="8" t="inlineStr"/>
      <c r="H357" s="8" t="inlineStr"/>
      <c r="I357" s="8" t="inlineStr"/>
      <c r="J357" s="8" t="inlineStr"/>
      <c r="K357" s="8" t="inlineStr"/>
      <c r="L357" s="8" t="inlineStr"/>
      <c r="M357" s="8" t="inlineStr"/>
      <c r="N357" s="8" t="inlineStr"/>
      <c r="O357" s="8" t="inlineStr"/>
      <c r="P357" s="8" t="inlineStr"/>
      <c r="Q357" s="8" t="inlineStr"/>
      <c r="R357" s="8" t="inlineStr"/>
      <c r="S357" s="8" t="inlineStr"/>
      <c r="T357" s="8" t="inlineStr"/>
    </row>
    <row r="358">
      <c r="A358" s="8" t="inlineStr"/>
      <c r="B358" s="8" t="inlineStr">
        <is>
          <t>N3</t>
        </is>
      </c>
      <c r="C358" s="8" t="inlineStr">
        <is>
          <t>Nhân công nhóm 3</t>
        </is>
      </c>
      <c r="E358" s="8" t="inlineStr">
        <is>
          <t>công</t>
        </is>
      </c>
      <c r="F358" s="8" t="inlineStr"/>
      <c r="G358" s="8" t="inlineStr"/>
      <c r="H358" s="8" t="n">
        <v>0.028</v>
      </c>
      <c r="I358" s="8" t="inlineStr"/>
      <c r="J358" s="8" t="n">
        <v>1</v>
      </c>
      <c r="K358" s="8" t="inlineStr"/>
      <c r="L358" s="8" t="n">
        <v>130.48</v>
      </c>
      <c r="M358" s="8" t="inlineStr"/>
      <c r="N358" s="8" t="inlineStr"/>
      <c r="O358" s="8" t="inlineStr"/>
      <c r="P358" s="8" t="inlineStr"/>
      <c r="Q358" s="8" t="inlineStr"/>
      <c r="R358" s="8" t="inlineStr"/>
      <c r="S358" s="8" t="inlineStr"/>
      <c r="T358" s="8" t="n">
        <v>210</v>
      </c>
    </row>
    <row r="359">
      <c r="A359" s="8" t="n">
        <v>31</v>
      </c>
      <c r="B359" s="11" t="inlineStr">
        <is>
          <t>BA.16202</t>
        </is>
      </c>
      <c r="C359" s="8" t="inlineStr">
        <is>
          <t>Dây điện_Cu/PVC_2x(1x2.5)mm2</t>
        </is>
      </c>
      <c r="D359" s="12">
        <f>HYPERLINK("tt38://pl3/14", "👉 Phụ lục III - Trang 14 (Khớp nhóm BA.1620)")</f>
        <v/>
      </c>
      <c r="E359" s="8" t="inlineStr">
        <is>
          <t>m</t>
        </is>
      </c>
      <c r="F359" s="8" t="n">
        <v>4660</v>
      </c>
      <c r="G359" s="8" t="inlineStr"/>
      <c r="H359" s="8" t="inlineStr"/>
      <c r="I359" s="8" t="inlineStr"/>
      <c r="J359" s="8" t="inlineStr"/>
      <c r="K359" s="8" t="inlineStr"/>
      <c r="L359" s="8" t="inlineStr"/>
      <c r="M359" s="8" t="inlineStr"/>
      <c r="N359" s="8" t="inlineStr"/>
      <c r="O359" s="8" t="inlineStr"/>
      <c r="P359" s="8" t="inlineStr"/>
      <c r="Q359" s="8" t="inlineStr"/>
      <c r="R359" s="8" t="inlineStr"/>
      <c r="S359" s="8" t="inlineStr"/>
      <c r="T359" s="8" t="inlineStr"/>
    </row>
    <row r="360">
      <c r="A360" s="8" t="inlineStr"/>
      <c r="B360" s="8" t="inlineStr"/>
      <c r="C360" s="8" t="inlineStr">
        <is>
          <t>a) Vật liệu</t>
        </is>
      </c>
      <c r="E360" s="8" t="inlineStr"/>
      <c r="F360" s="8" t="inlineStr"/>
      <c r="G360" s="8" t="inlineStr"/>
      <c r="H360" s="8" t="inlineStr"/>
      <c r="I360" s="8" t="inlineStr"/>
      <c r="J360" s="8" t="inlineStr"/>
      <c r="K360" s="8" t="inlineStr"/>
      <c r="L360" s="8" t="inlineStr"/>
      <c r="M360" s="8" t="inlineStr"/>
      <c r="N360" s="8" t="inlineStr"/>
      <c r="O360" s="8" t="inlineStr"/>
      <c r="P360" s="8" t="inlineStr"/>
      <c r="Q360" s="8" t="inlineStr"/>
      <c r="R360" s="8" t="inlineStr"/>
      <c r="S360" s="8" t="inlineStr"/>
      <c r="T360" s="8" t="inlineStr"/>
    </row>
    <row r="361">
      <c r="A361" s="8" t="inlineStr"/>
      <c r="B361" s="8" t="inlineStr">
        <is>
          <t>A33.0075</t>
        </is>
      </c>
      <c r="C361" s="8" t="inlineStr">
        <is>
          <t>Dây điện_Cu/PVC_2x(1x2.5)mm2</t>
        </is>
      </c>
      <c r="E361" s="8" t="inlineStr">
        <is>
          <t>m</t>
        </is>
      </c>
      <c r="F361" s="8" t="inlineStr"/>
      <c r="G361" s="8" t="n">
        <v>1.01</v>
      </c>
      <c r="H361" s="8" t="inlineStr"/>
      <c r="I361" s="8" t="inlineStr"/>
      <c r="J361" s="8" t="n">
        <v>1</v>
      </c>
      <c r="K361" s="8" t="n">
        <v>4706.6</v>
      </c>
      <c r="L361" s="8" t="inlineStr"/>
      <c r="M361" s="8" t="inlineStr"/>
      <c r="N361" s="8" t="inlineStr"/>
      <c r="O361" s="8" t="inlineStr"/>
      <c r="P361" s="8" t="inlineStr"/>
      <c r="Q361" s="8" t="inlineStr"/>
      <c r="R361" s="8" t="n">
        <v>0</v>
      </c>
      <c r="S361" s="8" t="n">
        <v>0</v>
      </c>
      <c r="T361" s="8" t="n">
        <v>1118</v>
      </c>
    </row>
    <row r="362">
      <c r="A362" s="8" t="inlineStr"/>
      <c r="B362" s="8" t="inlineStr">
        <is>
          <t>Z999</t>
        </is>
      </c>
      <c r="C362" s="8" t="inlineStr">
        <is>
          <t>Vật liệu khác</t>
        </is>
      </c>
      <c r="E362" s="8" t="inlineStr">
        <is>
          <t>%</t>
        </is>
      </c>
      <c r="F362" s="8" t="inlineStr"/>
      <c r="G362" s="8" t="n">
        <v>3</v>
      </c>
      <c r="H362" s="8" t="inlineStr"/>
      <c r="I362" s="8" t="inlineStr"/>
      <c r="J362" s="8" t="inlineStr"/>
      <c r="K362" s="8" t="inlineStr"/>
      <c r="L362" s="8" t="inlineStr"/>
      <c r="M362" s="8" t="inlineStr"/>
      <c r="N362" s="8" t="n">
        <v>0</v>
      </c>
      <c r="O362" s="8" t="inlineStr"/>
      <c r="P362" s="8" t="n">
        <v>3472200.018</v>
      </c>
      <c r="Q362" s="8" t="inlineStr"/>
      <c r="R362" s="8" t="inlineStr"/>
      <c r="S362" s="8" t="inlineStr"/>
      <c r="T362" s="8" t="inlineStr"/>
    </row>
    <row r="363">
      <c r="A363" s="8" t="inlineStr"/>
      <c r="B363" s="8" t="inlineStr"/>
      <c r="C363" s="8" t="inlineStr">
        <is>
          <t>b) Nhân công</t>
        </is>
      </c>
      <c r="E363" s="8" t="inlineStr"/>
      <c r="F363" s="8" t="inlineStr"/>
      <c r="G363" s="8" t="inlineStr"/>
      <c r="H363" s="8" t="inlineStr"/>
      <c r="I363" s="8" t="inlineStr"/>
      <c r="J363" s="8" t="inlineStr"/>
      <c r="K363" s="8" t="inlineStr"/>
      <c r="L363" s="8" t="inlineStr"/>
      <c r="M363" s="8" t="inlineStr"/>
      <c r="N363" s="8" t="inlineStr"/>
      <c r="O363" s="8" t="inlineStr"/>
      <c r="P363" s="8" t="inlineStr"/>
      <c r="Q363" s="8" t="inlineStr"/>
      <c r="R363" s="8" t="inlineStr"/>
      <c r="S363" s="8" t="inlineStr"/>
      <c r="T363" s="8" t="inlineStr"/>
    </row>
    <row r="364">
      <c r="A364" s="8" t="inlineStr"/>
      <c r="B364" s="8" t="inlineStr">
        <is>
          <t>N3</t>
        </is>
      </c>
      <c r="C364" s="8" t="inlineStr">
        <is>
          <t>Nhân công nhóm 3</t>
        </is>
      </c>
      <c r="E364" s="8" t="inlineStr">
        <is>
          <t>công</t>
        </is>
      </c>
      <c r="F364" s="8" t="inlineStr"/>
      <c r="G364" s="8" t="inlineStr"/>
      <c r="H364" s="8" t="n">
        <v>0.028</v>
      </c>
      <c r="I364" s="8" t="inlineStr"/>
      <c r="J364" s="8" t="n">
        <v>1</v>
      </c>
      <c r="K364" s="8" t="inlineStr"/>
      <c r="L364" s="8" t="n">
        <v>130.48</v>
      </c>
      <c r="M364" s="8" t="inlineStr"/>
      <c r="N364" s="8" t="inlineStr"/>
      <c r="O364" s="8" t="inlineStr"/>
      <c r="P364" s="8" t="inlineStr"/>
      <c r="Q364" s="8" t="inlineStr"/>
      <c r="R364" s="8" t="inlineStr"/>
      <c r="S364" s="8" t="inlineStr"/>
      <c r="T364" s="8" t="n">
        <v>210</v>
      </c>
    </row>
    <row r="365">
      <c r="A365" s="8" t="n">
        <v>32</v>
      </c>
      <c r="B365" s="11" t="inlineStr">
        <is>
          <t>BA.16202</t>
        </is>
      </c>
      <c r="C365" s="8" t="inlineStr">
        <is>
          <t>Dây điện_Cu/PVC_2x(1x4.0)mm2</t>
        </is>
      </c>
      <c r="D365" s="12">
        <f>HYPERLINK("tt38://pl3/14", "👉 Phụ lục III - Trang 14 (Khớp nhóm BA.1620)")</f>
        <v/>
      </c>
      <c r="E365" s="8" t="inlineStr">
        <is>
          <t>m</t>
        </is>
      </c>
      <c r="F365" s="8" t="n">
        <v>4000</v>
      </c>
      <c r="G365" s="8" t="inlineStr"/>
      <c r="H365" s="8" t="inlineStr"/>
      <c r="I365" s="8" t="inlineStr"/>
      <c r="J365" s="8" t="inlineStr"/>
      <c r="K365" s="8" t="inlineStr"/>
      <c r="L365" s="8" t="inlineStr"/>
      <c r="M365" s="8" t="inlineStr"/>
      <c r="N365" s="8" t="inlineStr"/>
      <c r="O365" s="8" t="inlineStr"/>
      <c r="P365" s="8" t="inlineStr"/>
      <c r="Q365" s="8" t="inlineStr"/>
      <c r="R365" s="8" t="inlineStr"/>
      <c r="S365" s="8" t="inlineStr"/>
      <c r="T365" s="8" t="inlineStr"/>
    </row>
    <row r="366">
      <c r="A366" s="8" t="inlineStr"/>
      <c r="B366" s="8" t="inlineStr"/>
      <c r="C366" s="8" t="inlineStr">
        <is>
          <t>a) Vật liệu</t>
        </is>
      </c>
      <c r="E366" s="8" t="inlineStr"/>
      <c r="F366" s="8" t="inlineStr"/>
      <c r="G366" s="8" t="inlineStr"/>
      <c r="H366" s="8" t="inlineStr"/>
      <c r="I366" s="8" t="inlineStr"/>
      <c r="J366" s="8" t="inlineStr"/>
      <c r="K366" s="8" t="inlineStr"/>
      <c r="L366" s="8" t="inlineStr"/>
      <c r="M366" s="8" t="inlineStr"/>
      <c r="N366" s="8" t="inlineStr"/>
      <c r="O366" s="8" t="inlineStr"/>
      <c r="P366" s="8" t="inlineStr"/>
      <c r="Q366" s="8" t="inlineStr"/>
      <c r="R366" s="8" t="inlineStr"/>
      <c r="S366" s="8" t="inlineStr"/>
      <c r="T366" s="8" t="inlineStr"/>
    </row>
    <row r="367">
      <c r="A367" s="8" t="inlineStr"/>
      <c r="B367" s="8" t="inlineStr">
        <is>
          <t>A33.0075</t>
        </is>
      </c>
      <c r="C367" s="8" t="inlineStr">
        <is>
          <t>Dây điện_Cu/PVC_2x(1x4.0)mm2</t>
        </is>
      </c>
      <c r="E367" s="8" t="inlineStr">
        <is>
          <t>m</t>
        </is>
      </c>
      <c r="F367" s="8" t="inlineStr"/>
      <c r="G367" s="8" t="n">
        <v>1.01</v>
      </c>
      <c r="H367" s="8" t="inlineStr"/>
      <c r="I367" s="8" t="inlineStr"/>
      <c r="J367" s="8" t="n">
        <v>1</v>
      </c>
      <c r="K367" s="8" t="n">
        <v>4040</v>
      </c>
      <c r="L367" s="8" t="inlineStr"/>
      <c r="M367" s="8" t="inlineStr"/>
      <c r="N367" s="8" t="inlineStr"/>
      <c r="O367" s="8" t="inlineStr"/>
      <c r="P367" s="8" t="inlineStr"/>
      <c r="Q367" s="8" t="inlineStr"/>
      <c r="R367" s="8" t="n">
        <v>0</v>
      </c>
      <c r="S367" s="8" t="n">
        <v>0</v>
      </c>
      <c r="T367" s="8" t="n">
        <v>1119</v>
      </c>
    </row>
    <row r="368">
      <c r="A368" s="8" t="inlineStr"/>
      <c r="B368" s="8" t="inlineStr">
        <is>
          <t>Z999</t>
        </is>
      </c>
      <c r="C368" s="8" t="inlineStr">
        <is>
          <t>Vật liệu khác</t>
        </is>
      </c>
      <c r="E368" s="8" t="inlineStr">
        <is>
          <t>%</t>
        </is>
      </c>
      <c r="F368" s="8" t="inlineStr"/>
      <c r="G368" s="8" t="n">
        <v>3</v>
      </c>
      <c r="H368" s="8" t="inlineStr"/>
      <c r="I368" s="8" t="inlineStr"/>
      <c r="J368" s="8" t="inlineStr"/>
      <c r="K368" s="8" t="inlineStr"/>
      <c r="L368" s="8" t="inlineStr"/>
      <c r="M368" s="8" t="inlineStr"/>
      <c r="N368" s="8" t="n">
        <v>0</v>
      </c>
      <c r="O368" s="8" t="inlineStr"/>
      <c r="P368" s="8" t="n">
        <v>4762190.4</v>
      </c>
      <c r="Q368" s="8" t="inlineStr"/>
      <c r="R368" s="8" t="inlineStr"/>
      <c r="S368" s="8" t="inlineStr"/>
      <c r="T368" s="8" t="inlineStr"/>
    </row>
    <row r="369">
      <c r="A369" s="8" t="inlineStr"/>
      <c r="B369" s="8" t="inlineStr"/>
      <c r="C369" s="8" t="inlineStr">
        <is>
          <t>b) Nhân công</t>
        </is>
      </c>
      <c r="E369" s="8" t="inlineStr"/>
      <c r="F369" s="8" t="inlineStr"/>
      <c r="G369" s="8" t="inlineStr"/>
      <c r="H369" s="8" t="inlineStr"/>
      <c r="I369" s="8" t="inlineStr"/>
      <c r="J369" s="8" t="inlineStr"/>
      <c r="K369" s="8" t="inlineStr"/>
      <c r="L369" s="8" t="inlineStr"/>
      <c r="M369" s="8" t="inlineStr"/>
      <c r="N369" s="8" t="inlineStr"/>
      <c r="O369" s="8" t="inlineStr"/>
      <c r="P369" s="8" t="inlineStr"/>
      <c r="Q369" s="8" t="inlineStr"/>
      <c r="R369" s="8" t="inlineStr"/>
      <c r="S369" s="8" t="inlineStr"/>
      <c r="T369" s="8" t="inlineStr"/>
    </row>
    <row r="370">
      <c r="A370" s="8" t="inlineStr"/>
      <c r="B370" s="8" t="inlineStr">
        <is>
          <t>N3</t>
        </is>
      </c>
      <c r="C370" s="8" t="inlineStr">
        <is>
          <t>Nhân công nhóm 3</t>
        </is>
      </c>
      <c r="E370" s="8" t="inlineStr">
        <is>
          <t>công</t>
        </is>
      </c>
      <c r="F370" s="8" t="inlineStr"/>
      <c r="G370" s="8" t="inlineStr"/>
      <c r="H370" s="8" t="n">
        <v>0.028</v>
      </c>
      <c r="I370" s="8" t="inlineStr"/>
      <c r="J370" s="8" t="n">
        <v>1</v>
      </c>
      <c r="K370" s="8" t="inlineStr"/>
      <c r="L370" s="8" t="n">
        <v>112</v>
      </c>
      <c r="M370" s="8" t="inlineStr"/>
      <c r="N370" s="8" t="inlineStr"/>
      <c r="O370" s="8" t="inlineStr"/>
      <c r="P370" s="8" t="inlineStr"/>
      <c r="Q370" s="8" t="inlineStr"/>
      <c r="R370" s="8" t="inlineStr"/>
      <c r="S370" s="8" t="inlineStr"/>
      <c r="T370" s="8" t="n">
        <v>210</v>
      </c>
    </row>
    <row r="371">
      <c r="A371" s="8" t="inlineStr"/>
      <c r="B371" s="8" t="inlineStr"/>
      <c r="C371" s="8" t="inlineStr">
        <is>
          <t>KẾT THÚC : Dây điện</t>
        </is>
      </c>
      <c r="E371" s="8" t="inlineStr"/>
      <c r="F371" s="8" t="inlineStr"/>
      <c r="G371" s="8" t="inlineStr"/>
      <c r="H371" s="8" t="inlineStr"/>
      <c r="I371" s="8" t="inlineStr"/>
      <c r="J371" s="8" t="inlineStr"/>
      <c r="K371" s="8" t="inlineStr"/>
      <c r="L371" s="8" t="inlineStr"/>
      <c r="M371" s="8" t="inlineStr"/>
      <c r="N371" s="8" t="inlineStr"/>
      <c r="O371" s="8" t="inlineStr"/>
      <c r="P371" s="8" t="inlineStr"/>
      <c r="Q371" s="8" t="inlineStr"/>
      <c r="R371" s="8" t="inlineStr"/>
      <c r="S371" s="8" t="inlineStr"/>
      <c r="T371" s="8" t="inlineStr"/>
    </row>
  </sheetData>
  <hyperlinks>
    <hyperlink xmlns:r="http://schemas.openxmlformats.org/officeDocument/2006/relationships" ref="B6" r:id="rId1"/>
    <hyperlink xmlns:r="http://schemas.openxmlformats.org/officeDocument/2006/relationships" ref="D6" r:id="rId2"/>
    <hyperlink xmlns:r="http://schemas.openxmlformats.org/officeDocument/2006/relationships" ref="B26" r:id="rId3"/>
    <hyperlink xmlns:r="http://schemas.openxmlformats.org/officeDocument/2006/relationships" ref="D26" r:id="rId4"/>
    <hyperlink xmlns:r="http://schemas.openxmlformats.org/officeDocument/2006/relationships" ref="B34" r:id="rId5"/>
    <hyperlink xmlns:r="http://schemas.openxmlformats.org/officeDocument/2006/relationships" ref="D34" r:id="rId6"/>
    <hyperlink xmlns:r="http://schemas.openxmlformats.org/officeDocument/2006/relationships" ref="B42" r:id="rId7"/>
    <hyperlink xmlns:r="http://schemas.openxmlformats.org/officeDocument/2006/relationships" ref="D42" r:id="rId8"/>
    <hyperlink xmlns:r="http://schemas.openxmlformats.org/officeDocument/2006/relationships" ref="B50" r:id="rId9"/>
    <hyperlink xmlns:r="http://schemas.openxmlformats.org/officeDocument/2006/relationships" ref="D50" r:id="rId10"/>
    <hyperlink xmlns:r="http://schemas.openxmlformats.org/officeDocument/2006/relationships" ref="B58" r:id="rId11"/>
    <hyperlink xmlns:r="http://schemas.openxmlformats.org/officeDocument/2006/relationships" ref="D58" r:id="rId12"/>
    <hyperlink xmlns:r="http://schemas.openxmlformats.org/officeDocument/2006/relationships" ref="B66" r:id="rId13"/>
    <hyperlink xmlns:r="http://schemas.openxmlformats.org/officeDocument/2006/relationships" ref="D66" r:id="rId14"/>
    <hyperlink xmlns:r="http://schemas.openxmlformats.org/officeDocument/2006/relationships" ref="B74" r:id="rId15"/>
    <hyperlink xmlns:r="http://schemas.openxmlformats.org/officeDocument/2006/relationships" ref="D74" r:id="rId16"/>
    <hyperlink xmlns:r="http://schemas.openxmlformats.org/officeDocument/2006/relationships" ref="B82" r:id="rId17"/>
    <hyperlink xmlns:r="http://schemas.openxmlformats.org/officeDocument/2006/relationships" ref="D82" r:id="rId18"/>
    <hyperlink xmlns:r="http://schemas.openxmlformats.org/officeDocument/2006/relationships" ref="B90" r:id="rId19"/>
    <hyperlink xmlns:r="http://schemas.openxmlformats.org/officeDocument/2006/relationships" ref="D90" r:id="rId20"/>
    <hyperlink xmlns:r="http://schemas.openxmlformats.org/officeDocument/2006/relationships" ref="B98" r:id="rId21"/>
    <hyperlink xmlns:r="http://schemas.openxmlformats.org/officeDocument/2006/relationships" ref="D98" r:id="rId22"/>
    <hyperlink xmlns:r="http://schemas.openxmlformats.org/officeDocument/2006/relationships" ref="B106" r:id="rId23"/>
    <hyperlink xmlns:r="http://schemas.openxmlformats.org/officeDocument/2006/relationships" ref="D106" r:id="rId24"/>
    <hyperlink xmlns:r="http://schemas.openxmlformats.org/officeDocument/2006/relationships" ref="B120" r:id="rId25"/>
    <hyperlink xmlns:r="http://schemas.openxmlformats.org/officeDocument/2006/relationships" ref="D120" r:id="rId26"/>
    <hyperlink xmlns:r="http://schemas.openxmlformats.org/officeDocument/2006/relationships" ref="B130" r:id="rId27"/>
    <hyperlink xmlns:r="http://schemas.openxmlformats.org/officeDocument/2006/relationships" ref="D130" r:id="rId28"/>
    <hyperlink xmlns:r="http://schemas.openxmlformats.org/officeDocument/2006/relationships" ref="B140" r:id="rId29"/>
    <hyperlink xmlns:r="http://schemas.openxmlformats.org/officeDocument/2006/relationships" ref="D140" r:id="rId30"/>
    <hyperlink xmlns:r="http://schemas.openxmlformats.org/officeDocument/2006/relationships" ref="B150" r:id="rId31"/>
    <hyperlink xmlns:r="http://schemas.openxmlformats.org/officeDocument/2006/relationships" ref="D150" r:id="rId32"/>
    <hyperlink xmlns:r="http://schemas.openxmlformats.org/officeDocument/2006/relationships" ref="B160" r:id="rId33"/>
    <hyperlink xmlns:r="http://schemas.openxmlformats.org/officeDocument/2006/relationships" ref="D160" r:id="rId34"/>
    <hyperlink xmlns:r="http://schemas.openxmlformats.org/officeDocument/2006/relationships" ref="B170" r:id="rId35"/>
    <hyperlink xmlns:r="http://schemas.openxmlformats.org/officeDocument/2006/relationships" ref="D170" r:id="rId36"/>
    <hyperlink xmlns:r="http://schemas.openxmlformats.org/officeDocument/2006/relationships" ref="B180" r:id="rId37"/>
    <hyperlink xmlns:r="http://schemas.openxmlformats.org/officeDocument/2006/relationships" ref="D180" r:id="rId38"/>
    <hyperlink xmlns:r="http://schemas.openxmlformats.org/officeDocument/2006/relationships" ref="B190" r:id="rId39"/>
    <hyperlink xmlns:r="http://schemas.openxmlformats.org/officeDocument/2006/relationships" ref="D190" r:id="rId40"/>
    <hyperlink xmlns:r="http://schemas.openxmlformats.org/officeDocument/2006/relationships" ref="B200" r:id="rId41"/>
    <hyperlink xmlns:r="http://schemas.openxmlformats.org/officeDocument/2006/relationships" ref="D200" r:id="rId42"/>
    <hyperlink xmlns:r="http://schemas.openxmlformats.org/officeDocument/2006/relationships" ref="B210" r:id="rId43"/>
    <hyperlink xmlns:r="http://schemas.openxmlformats.org/officeDocument/2006/relationships" ref="D210" r:id="rId44"/>
    <hyperlink xmlns:r="http://schemas.openxmlformats.org/officeDocument/2006/relationships" ref="B217" r:id="rId45"/>
    <hyperlink xmlns:r="http://schemas.openxmlformats.org/officeDocument/2006/relationships" ref="D217" r:id="rId46"/>
    <hyperlink xmlns:r="http://schemas.openxmlformats.org/officeDocument/2006/relationships" ref="B224" r:id="rId47"/>
    <hyperlink xmlns:r="http://schemas.openxmlformats.org/officeDocument/2006/relationships" ref="D224" r:id="rId48"/>
    <hyperlink xmlns:r="http://schemas.openxmlformats.org/officeDocument/2006/relationships" ref="B231" r:id="rId49"/>
    <hyperlink xmlns:r="http://schemas.openxmlformats.org/officeDocument/2006/relationships" ref="D231" r:id="rId50"/>
    <hyperlink xmlns:r="http://schemas.openxmlformats.org/officeDocument/2006/relationships" ref="B238" r:id="rId51"/>
    <hyperlink xmlns:r="http://schemas.openxmlformats.org/officeDocument/2006/relationships" ref="D238" r:id="rId52"/>
    <hyperlink xmlns:r="http://schemas.openxmlformats.org/officeDocument/2006/relationships" ref="B245" r:id="rId53"/>
    <hyperlink xmlns:r="http://schemas.openxmlformats.org/officeDocument/2006/relationships" ref="D245" r:id="rId54"/>
    <hyperlink xmlns:r="http://schemas.openxmlformats.org/officeDocument/2006/relationships" ref="B252" r:id="rId55"/>
    <hyperlink xmlns:r="http://schemas.openxmlformats.org/officeDocument/2006/relationships" ref="D252" r:id="rId56"/>
    <hyperlink xmlns:r="http://schemas.openxmlformats.org/officeDocument/2006/relationships" ref="B259" r:id="rId57"/>
    <hyperlink xmlns:r="http://schemas.openxmlformats.org/officeDocument/2006/relationships" ref="D259" r:id="rId58"/>
    <hyperlink xmlns:r="http://schemas.openxmlformats.org/officeDocument/2006/relationships" ref="B266" r:id="rId59"/>
    <hyperlink xmlns:r="http://schemas.openxmlformats.org/officeDocument/2006/relationships" ref="D266" r:id="rId60"/>
    <hyperlink xmlns:r="http://schemas.openxmlformats.org/officeDocument/2006/relationships" ref="B275" r:id="rId61"/>
    <hyperlink xmlns:r="http://schemas.openxmlformats.org/officeDocument/2006/relationships" ref="D275" r:id="rId62"/>
    <hyperlink xmlns:r="http://schemas.openxmlformats.org/officeDocument/2006/relationships" ref="B283" r:id="rId63"/>
    <hyperlink xmlns:r="http://schemas.openxmlformats.org/officeDocument/2006/relationships" ref="D283" r:id="rId64"/>
    <hyperlink xmlns:r="http://schemas.openxmlformats.org/officeDocument/2006/relationships" ref="B291" r:id="rId65"/>
    <hyperlink xmlns:r="http://schemas.openxmlformats.org/officeDocument/2006/relationships" ref="D291" r:id="rId66"/>
    <hyperlink xmlns:r="http://schemas.openxmlformats.org/officeDocument/2006/relationships" ref="B299" r:id="rId67"/>
    <hyperlink xmlns:r="http://schemas.openxmlformats.org/officeDocument/2006/relationships" ref="D299" r:id="rId68"/>
    <hyperlink xmlns:r="http://schemas.openxmlformats.org/officeDocument/2006/relationships" ref="B307" r:id="rId69"/>
    <hyperlink xmlns:r="http://schemas.openxmlformats.org/officeDocument/2006/relationships" ref="D307" r:id="rId70"/>
    <hyperlink xmlns:r="http://schemas.openxmlformats.org/officeDocument/2006/relationships" ref="B315" r:id="rId71"/>
    <hyperlink xmlns:r="http://schemas.openxmlformats.org/officeDocument/2006/relationships" ref="D315" r:id="rId72"/>
    <hyperlink xmlns:r="http://schemas.openxmlformats.org/officeDocument/2006/relationships" ref="B321" r:id="rId73"/>
    <hyperlink xmlns:r="http://schemas.openxmlformats.org/officeDocument/2006/relationships" ref="D321" r:id="rId74"/>
    <hyperlink xmlns:r="http://schemas.openxmlformats.org/officeDocument/2006/relationships" ref="B327" r:id="rId75"/>
    <hyperlink xmlns:r="http://schemas.openxmlformats.org/officeDocument/2006/relationships" ref="D327" r:id="rId76"/>
    <hyperlink xmlns:r="http://schemas.openxmlformats.org/officeDocument/2006/relationships" ref="B333" r:id="rId77"/>
    <hyperlink xmlns:r="http://schemas.openxmlformats.org/officeDocument/2006/relationships" ref="D333" r:id="rId78"/>
    <hyperlink xmlns:r="http://schemas.openxmlformats.org/officeDocument/2006/relationships" ref="B339" r:id="rId79"/>
    <hyperlink xmlns:r="http://schemas.openxmlformats.org/officeDocument/2006/relationships" ref="D339" r:id="rId80"/>
    <hyperlink xmlns:r="http://schemas.openxmlformats.org/officeDocument/2006/relationships" ref="B347" r:id="rId81"/>
    <hyperlink xmlns:r="http://schemas.openxmlformats.org/officeDocument/2006/relationships" ref="D347" r:id="rId82"/>
    <hyperlink xmlns:r="http://schemas.openxmlformats.org/officeDocument/2006/relationships" ref="B353" r:id="rId83"/>
    <hyperlink xmlns:r="http://schemas.openxmlformats.org/officeDocument/2006/relationships" ref="D353" r:id="rId84"/>
    <hyperlink xmlns:r="http://schemas.openxmlformats.org/officeDocument/2006/relationships" ref="B359" r:id="rId85"/>
    <hyperlink xmlns:r="http://schemas.openxmlformats.org/officeDocument/2006/relationships" ref="D359" r:id="rId86"/>
    <hyperlink xmlns:r="http://schemas.openxmlformats.org/officeDocument/2006/relationships" ref="B365" r:id="rId87"/>
    <hyperlink xmlns:r="http://schemas.openxmlformats.org/officeDocument/2006/relationships" ref="D365" r:id="rId88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V70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13" customWidth="1" min="3" max="3"/>
    <col width="38" customWidth="1" min="4" max="4"/>
    <col width="12" customWidth="1" min="5" max="5"/>
    <col width="13" customWidth="1" min="6" max="6"/>
    <col width="15" customWidth="1" min="7" max="7"/>
    <col width="18" customWidth="1" min="8" max="8"/>
    <col width="15" customWidth="1" min="9" max="9"/>
    <col width="18" customWidth="1" min="10" max="10"/>
    <col width="12" customWidth="1" min="11" max="11"/>
    <col width="21" customWidth="1" min="12" max="12"/>
    <col width="18" customWidth="1" min="13" max="13"/>
    <col width="30" customWidth="1" min="14" max="14"/>
    <col width="18" customWidth="1" min="15" max="15"/>
    <col width="15" customWidth="1" min="16" max="16"/>
    <col width="18" customWidth="1" min="17" max="17"/>
    <col width="18" customWidth="1" min="18" max="18"/>
    <col width="18" customWidth="1" min="19" max="19"/>
    <col width="29" customWidth="1" min="20" max="20"/>
    <col width="21" customWidth="1" min="21" max="21"/>
    <col width="12" customWidth="1" min="22" max="22"/>
  </cols>
  <sheetData>
    <row r="1">
      <c r="A1" s="8" t="inlineStr">
        <is>
          <t>BẢNG TỔNG HỢP VẬT TƯ VÀ CHÊNH LỆCH GIÁ</t>
        </is>
      </c>
      <c r="B1" s="8" t="inlineStr"/>
      <c r="C1" s="8" t="inlineStr"/>
      <c r="E1" s="8" t="inlineStr"/>
      <c r="F1" s="8" t="inlineStr"/>
      <c r="G1" s="8" t="inlineStr"/>
      <c r="H1" s="8" t="inlineStr"/>
      <c r="I1" s="8" t="inlineStr"/>
      <c r="J1" s="8" t="inlineStr"/>
      <c r="K1" s="8" t="inlineStr"/>
      <c r="L1" s="8" t="inlineStr"/>
      <c r="M1" s="8" t="inlineStr"/>
      <c r="N1" s="8" t="inlineStr"/>
      <c r="O1" s="8" t="inlineStr"/>
      <c r="P1" s="8" t="inlineStr"/>
      <c r="Q1" s="8" t="inlineStr"/>
      <c r="R1" s="8" t="inlineStr"/>
      <c r="S1" s="8" t="inlineStr"/>
      <c r="T1" s="8" t="inlineStr"/>
      <c r="U1" s="8" t="inlineStr"/>
      <c r="V1" s="8" t="inlineStr"/>
    </row>
    <row r="2">
      <c r="A2" s="8" t="inlineStr">
        <is>
          <t>DỰ ÁN: XÂY DỰNG NHÀ Ở CHO LỰC LƯỢNG VŨ TRANG CÔNG AN NHÂN DÂN TẠI Ô ĐẤT NO1 THUỘC LÔ ĐẤT D12 KHU ĐÔ THỊ MỚI CẦU GIẤY,
 PHƯỜNG CẦU GIẤY, THÀNH PHỐ HÀ NỘI</t>
        </is>
      </c>
      <c r="B2" s="8" t="inlineStr"/>
      <c r="C2" s="8" t="inlineStr"/>
      <c r="E2" s="8" t="inlineStr"/>
      <c r="F2" s="8" t="inlineStr"/>
      <c r="G2" s="8" t="inlineStr"/>
      <c r="H2" s="8" t="inlineStr"/>
      <c r="I2" s="8" t="inlineStr"/>
      <c r="J2" s="8" t="inlineStr"/>
      <c r="K2" s="8" t="inlineStr"/>
      <c r="L2" s="8" t="inlineStr"/>
      <c r="M2" s="8" t="inlineStr"/>
      <c r="N2" s="8" t="inlineStr"/>
      <c r="O2" s="8" t="inlineStr"/>
      <c r="P2" s="8" t="inlineStr"/>
      <c r="Q2" s="8" t="inlineStr"/>
      <c r="R2" s="8" t="inlineStr"/>
      <c r="S2" s="8" t="inlineStr"/>
      <c r="T2" s="8" t="inlineStr"/>
      <c r="U2" s="8" t="inlineStr"/>
      <c r="V2" s="8" t="inlineStr"/>
    </row>
    <row r="3">
      <c r="A3" s="8" t="inlineStr">
        <is>
          <t>(TOÀN BỘ CÔNG TRÌNH)</t>
        </is>
      </c>
      <c r="B3" s="8" t="inlineStr"/>
      <c r="C3" s="8" t="inlineStr"/>
      <c r="E3" s="8" t="inlineStr"/>
      <c r="F3" s="8" t="inlineStr"/>
      <c r="G3" s="8" t="inlineStr"/>
      <c r="H3" s="8" t="inlineStr"/>
      <c r="I3" s="8" t="inlineStr"/>
      <c r="J3" s="8" t="inlineStr"/>
      <c r="K3" s="8" t="inlineStr"/>
      <c r="L3" s="8" t="inlineStr"/>
      <c r="M3" s="8" t="inlineStr"/>
      <c r="N3" s="8" t="inlineStr"/>
      <c r="O3" s="8" t="inlineStr"/>
      <c r="P3" s="8" t="inlineStr"/>
      <c r="Q3" s="8" t="inlineStr"/>
      <c r="R3" s="8" t="inlineStr"/>
      <c r="S3" s="8" t="inlineStr"/>
      <c r="T3" s="8" t="inlineStr"/>
      <c r="U3" s="8" t="inlineStr"/>
      <c r="V3" s="8" t="inlineStr"/>
    </row>
    <row r="4">
      <c r="A4" s="8" t="inlineStr">
        <is>
          <t>STT</t>
        </is>
      </c>
      <c r="B4" s="8" t="inlineStr">
        <is>
          <t>Mã số</t>
        </is>
      </c>
      <c r="C4" s="8" t="inlineStr">
        <is>
          <t>Tên vật tư</t>
        </is>
      </c>
      <c r="D4" s="10" t="inlineStr">
        <is>
          <t>LINK TRA CỨU TT 38/2026/TT-BXD</t>
        </is>
      </c>
      <c r="E4" s="8" t="inlineStr">
        <is>
          <t>Đơn vị</t>
        </is>
      </c>
      <c r="F4" s="8" t="inlineStr">
        <is>
          <t>Khối lượng</t>
        </is>
      </c>
      <c r="G4" s="8" t="inlineStr">
        <is>
          <t>Giá gốc
(đ)</t>
        </is>
      </c>
      <c r="H4" s="8" t="inlineStr">
        <is>
          <t>Thành tiền
(đ)</t>
        </is>
      </c>
      <c r="I4" s="8" t="inlineStr">
        <is>
          <t>Giá T.B
(đ)</t>
        </is>
      </c>
      <c r="J4" s="8" t="inlineStr">
        <is>
          <t>Thành tiền
(đ)</t>
        </is>
      </c>
      <c r="K4" s="8" t="inlineStr">
        <is>
          <t>Hệ số</t>
        </is>
      </c>
      <c r="L4" s="8" t="inlineStr">
        <is>
          <t>Giá T.B x H.S
(đ)</t>
        </is>
      </c>
      <c r="M4" s="8" t="inlineStr">
        <is>
          <t>Thành tiền
(đ)</t>
        </is>
      </c>
      <c r="N4" s="8" t="inlineStr">
        <is>
          <t>Cước V.C
Bù NL, lương
(đ)</t>
        </is>
      </c>
      <c r="O4" s="8" t="inlineStr">
        <is>
          <t>Thành tiền
(đ)</t>
        </is>
      </c>
      <c r="P4" s="8" t="inlineStr">
        <is>
          <t>Giá H.T
(đ)</t>
        </is>
      </c>
      <c r="Q4" s="8" t="inlineStr">
        <is>
          <t>Thành tiền
(đ)</t>
        </is>
      </c>
      <c r="R4" s="8" t="inlineStr">
        <is>
          <t>Chênh lệch
(đ)</t>
        </is>
      </c>
      <c r="S4" s="8" t="inlineStr">
        <is>
          <t>Tổng chênh
(đ)</t>
        </is>
      </c>
      <c r="T4" s="8" t="inlineStr">
        <is>
          <t>Ghi chú, Nguồn gốc xuất xứ</t>
        </is>
      </c>
      <c r="U4" s="8" t="inlineStr">
        <is>
          <t>Cước ôtô
Cước sông</t>
        </is>
      </c>
      <c r="V4" s="8" t="inlineStr">
        <is>
          <t>Cước bộ</t>
        </is>
      </c>
    </row>
    <row r="5">
      <c r="A5" s="8" t="inlineStr">
        <is>
          <t>I</t>
        </is>
      </c>
      <c r="B5" s="8" t="inlineStr"/>
      <c r="C5" s="8" t="inlineStr">
        <is>
          <t>VẬT LIỆU</t>
        </is>
      </c>
      <c r="E5" s="8" t="inlineStr"/>
      <c r="F5" s="8" t="inlineStr"/>
      <c r="G5" s="8" t="inlineStr"/>
      <c r="H5" s="8" t="inlineStr"/>
      <c r="I5" s="8" t="inlineStr"/>
      <c r="J5" s="8" t="inlineStr"/>
      <c r="K5" s="8" t="inlineStr"/>
      <c r="L5" s="8" t="inlineStr"/>
      <c r="M5" s="8" t="inlineStr"/>
      <c r="N5" s="8" t="inlineStr"/>
      <c r="O5" s="8" t="inlineStr"/>
      <c r="P5" s="8" t="inlineStr"/>
      <c r="Q5" s="8" t="inlineStr"/>
      <c r="R5" s="8" t="inlineStr"/>
      <c r="S5" s="8" t="inlineStr"/>
      <c r="T5" s="8" t="inlineStr"/>
      <c r="U5" s="8" t="inlineStr"/>
      <c r="V5" s="8" t="inlineStr"/>
    </row>
    <row r="6">
      <c r="A6" s="8" t="n">
        <v>1</v>
      </c>
      <c r="B6" s="8" t="inlineStr"/>
      <c r="C6" s="8" t="inlineStr"/>
      <c r="E6" s="8" t="inlineStr"/>
      <c r="F6" s="8" t="inlineStr"/>
      <c r="G6" s="8" t="inlineStr"/>
      <c r="H6" s="8" t="inlineStr"/>
      <c r="I6" s="8" t="inlineStr"/>
      <c r="J6" s="8" t="inlineStr"/>
      <c r="K6" s="8" t="inlineStr"/>
      <c r="L6" s="8" t="inlineStr"/>
      <c r="M6" s="8" t="inlineStr"/>
      <c r="N6" s="8" t="inlineStr"/>
      <c r="O6" s="8" t="inlineStr"/>
      <c r="P6" s="8" t="inlineStr"/>
      <c r="Q6" s="8" t="inlineStr"/>
      <c r="R6" s="8" t="inlineStr"/>
      <c r="S6" s="8" t="inlineStr"/>
      <c r="T6" s="8" t="inlineStr"/>
      <c r="U6" s="8" t="inlineStr"/>
      <c r="V6" s="8" t="inlineStr"/>
    </row>
    <row r="7">
      <c r="A7" s="8" t="n">
        <v>2</v>
      </c>
      <c r="B7" s="8" t="inlineStr"/>
      <c r="C7" s="8" t="inlineStr"/>
      <c r="E7" s="8" t="inlineStr"/>
      <c r="F7" s="8" t="inlineStr"/>
      <c r="G7" s="8" t="inlineStr"/>
      <c r="H7" s="8" t="inlineStr"/>
      <c r="I7" s="8" t="inlineStr"/>
      <c r="J7" s="8" t="inlineStr"/>
      <c r="K7" s="8" t="inlineStr"/>
      <c r="L7" s="8" t="inlineStr"/>
      <c r="M7" s="8" t="inlineStr"/>
      <c r="N7" s="8" t="inlineStr"/>
      <c r="O7" s="8" t="inlineStr"/>
      <c r="P7" s="8" t="inlineStr"/>
      <c r="Q7" s="8" t="inlineStr"/>
      <c r="R7" s="8" t="inlineStr"/>
      <c r="S7" s="8" t="inlineStr"/>
      <c r="T7" s="8" t="inlineStr"/>
      <c r="U7" s="8" t="inlineStr"/>
      <c r="V7" s="8" t="inlineStr"/>
    </row>
    <row r="8">
      <c r="A8" s="8" t="n">
        <v>3</v>
      </c>
      <c r="B8" s="8" t="inlineStr"/>
      <c r="C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</row>
    <row r="9">
      <c r="A9" s="8" t="n">
        <v>4</v>
      </c>
      <c r="B9" s="8" t="inlineStr"/>
      <c r="C9" s="8" t="inlineStr"/>
      <c r="E9" s="8" t="inlineStr"/>
      <c r="F9" s="8" t="inlineStr"/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8" t="inlineStr"/>
      <c r="P9" s="8" t="inlineStr"/>
      <c r="Q9" s="8" t="inlineStr"/>
      <c r="R9" s="8" t="inlineStr"/>
      <c r="S9" s="8" t="inlineStr"/>
      <c r="T9" s="8" t="inlineStr"/>
      <c r="U9" s="8" t="inlineStr"/>
      <c r="V9" s="8" t="inlineStr"/>
    </row>
    <row r="10">
      <c r="A10" s="8" t="n">
        <v>5</v>
      </c>
      <c r="B10" s="8" t="inlineStr"/>
      <c r="C10" s="8" t="inlineStr"/>
      <c r="E10" s="8" t="inlineStr"/>
      <c r="F10" s="8" t="inlineStr"/>
      <c r="G10" s="8" t="inlineStr"/>
      <c r="H10" s="8" t="inlineStr"/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8" t="inlineStr"/>
      <c r="R10" s="8" t="inlineStr"/>
      <c r="S10" s="8" t="inlineStr"/>
      <c r="T10" s="8" t="inlineStr"/>
      <c r="U10" s="8" t="inlineStr"/>
      <c r="V10" s="8" t="inlineStr"/>
    </row>
    <row r="11">
      <c r="A11" s="8" t="n">
        <v>6</v>
      </c>
      <c r="B11" s="8" t="inlineStr"/>
      <c r="C11" s="8" t="inlineStr"/>
      <c r="E11" s="8" t="inlineStr"/>
      <c r="F11" s="8" t="inlineStr"/>
      <c r="G11" s="8" t="inlineStr"/>
      <c r="H11" s="8" t="inlineStr"/>
      <c r="I11" s="8" t="inlineStr"/>
      <c r="J11" s="8" t="inlineStr"/>
      <c r="K11" s="8" t="inlineStr"/>
      <c r="L11" s="8" t="inlineStr"/>
      <c r="M11" s="8" t="inlineStr"/>
      <c r="N11" s="8" t="inlineStr"/>
      <c r="O11" s="8" t="inlineStr"/>
      <c r="P11" s="8" t="inlineStr"/>
      <c r="Q11" s="8" t="inlineStr"/>
      <c r="R11" s="8" t="inlineStr"/>
      <c r="S11" s="8" t="inlineStr"/>
      <c r="T11" s="8" t="inlineStr"/>
      <c r="U11" s="8" t="inlineStr"/>
      <c r="V11" s="8" t="inlineStr"/>
    </row>
    <row r="12">
      <c r="A12" s="8" t="n">
        <v>7</v>
      </c>
      <c r="B12" s="8" t="inlineStr"/>
      <c r="C12" s="8" t="inlineStr"/>
      <c r="E12" s="8" t="inlineStr"/>
      <c r="F12" s="8" t="inlineStr"/>
      <c r="G12" s="8" t="inlineStr"/>
      <c r="H12" s="8" t="inlineStr"/>
      <c r="I12" s="8" t="inlineStr"/>
      <c r="J12" s="8" t="inlineStr"/>
      <c r="K12" s="8" t="inlineStr"/>
      <c r="L12" s="8" t="inlineStr"/>
      <c r="M12" s="8" t="inlineStr"/>
      <c r="N12" s="8" t="inlineStr"/>
      <c r="O12" s="8" t="inlineStr"/>
      <c r="P12" s="8" t="inlineStr"/>
      <c r="Q12" s="8" t="inlineStr"/>
      <c r="R12" s="8" t="inlineStr"/>
      <c r="S12" s="8" t="inlineStr"/>
      <c r="T12" s="8" t="inlineStr"/>
      <c r="U12" s="8" t="inlineStr"/>
      <c r="V12" s="8" t="inlineStr"/>
    </row>
    <row r="13">
      <c r="A13" s="8" t="n">
        <v>8</v>
      </c>
      <c r="B13" s="8" t="inlineStr"/>
      <c r="C13" s="8" t="inlineStr"/>
      <c r="E13" s="8" t="inlineStr"/>
      <c r="F13" s="8" t="inlineStr"/>
      <c r="G13" s="8" t="inlineStr"/>
      <c r="H13" s="8" t="inlineStr"/>
      <c r="I13" s="8" t="inlineStr"/>
      <c r="J13" s="8" t="inlineStr"/>
      <c r="K13" s="8" t="inlineStr"/>
      <c r="L13" s="8" t="inlineStr"/>
      <c r="M13" s="8" t="inlineStr"/>
      <c r="N13" s="8" t="inlineStr"/>
      <c r="O13" s="8" t="inlineStr"/>
      <c r="P13" s="8" t="inlineStr"/>
      <c r="Q13" s="8" t="inlineStr"/>
      <c r="R13" s="8" t="inlineStr"/>
      <c r="S13" s="8" t="inlineStr"/>
      <c r="T13" s="8" t="inlineStr"/>
      <c r="U13" s="8" t="inlineStr"/>
      <c r="V13" s="8" t="inlineStr"/>
    </row>
    <row r="14">
      <c r="A14" s="8" t="n">
        <v>9</v>
      </c>
      <c r="B14" s="8" t="inlineStr"/>
      <c r="C14" s="8" t="inlineStr"/>
      <c r="E14" s="8" t="inlineStr"/>
      <c r="F14" s="8" t="inlineStr"/>
      <c r="G14" s="8" t="inlineStr"/>
      <c r="H14" s="8" t="inlineStr"/>
      <c r="I14" s="8" t="inlineStr"/>
      <c r="J14" s="8" t="inlineStr"/>
      <c r="K14" s="8" t="inlineStr"/>
      <c r="L14" s="8" t="inlineStr"/>
      <c r="M14" s="8" t="inlineStr"/>
      <c r="N14" s="8" t="inlineStr"/>
      <c r="O14" s="8" t="inlineStr"/>
      <c r="P14" s="8" t="inlineStr"/>
      <c r="Q14" s="8" t="inlineStr"/>
      <c r="R14" s="8" t="inlineStr"/>
      <c r="S14" s="8" t="inlineStr"/>
      <c r="T14" s="8" t="inlineStr"/>
      <c r="U14" s="8" t="inlineStr"/>
      <c r="V14" s="8" t="inlineStr"/>
    </row>
    <row r="15">
      <c r="A15" s="8" t="n">
        <v>10</v>
      </c>
      <c r="B15" s="8" t="inlineStr"/>
      <c r="C15" s="8" t="inlineStr"/>
      <c r="E15" s="8" t="inlineStr"/>
      <c r="F15" s="8" t="inlineStr"/>
      <c r="G15" s="8" t="inlineStr"/>
      <c r="H15" s="8" t="inlineStr"/>
      <c r="I15" s="8" t="inlineStr"/>
      <c r="J15" s="8" t="inlineStr"/>
      <c r="K15" s="8" t="inlineStr"/>
      <c r="L15" s="8" t="inlineStr"/>
      <c r="M15" s="8" t="inlineStr"/>
      <c r="N15" s="8" t="inlineStr"/>
      <c r="O15" s="8" t="inlineStr"/>
      <c r="P15" s="8" t="inlineStr"/>
      <c r="Q15" s="8" t="inlineStr"/>
      <c r="R15" s="8" t="inlineStr"/>
      <c r="S15" s="8" t="inlineStr"/>
      <c r="T15" s="8" t="inlineStr"/>
      <c r="U15" s="8" t="inlineStr"/>
      <c r="V15" s="8" t="inlineStr"/>
    </row>
    <row r="16">
      <c r="A16" s="8" t="n">
        <v>11</v>
      </c>
      <c r="B16" s="8" t="inlineStr"/>
      <c r="C16" s="8" t="inlineStr"/>
      <c r="E16" s="8" t="inlineStr"/>
      <c r="F16" s="8" t="inlineStr"/>
      <c r="G16" s="8" t="inlineStr"/>
      <c r="H16" s="8" t="inlineStr"/>
      <c r="I16" s="8" t="inlineStr"/>
      <c r="J16" s="8" t="inlineStr"/>
      <c r="K16" s="8" t="inlineStr"/>
      <c r="L16" s="8" t="inlineStr"/>
      <c r="M16" s="8" t="inlineStr"/>
      <c r="N16" s="8" t="inlineStr"/>
      <c r="O16" s="8" t="inlineStr"/>
      <c r="P16" s="8" t="inlineStr"/>
      <c r="Q16" s="8" t="inlineStr"/>
      <c r="R16" s="8" t="inlineStr"/>
      <c r="S16" s="8" t="inlineStr"/>
      <c r="T16" s="8" t="inlineStr"/>
      <c r="U16" s="8" t="inlineStr"/>
      <c r="V16" s="8" t="inlineStr"/>
    </row>
    <row r="17">
      <c r="A17" s="8" t="n">
        <v>12</v>
      </c>
      <c r="B17" s="8" t="inlineStr"/>
      <c r="C17" s="8" t="inlineStr"/>
      <c r="E17" s="8" t="inlineStr"/>
      <c r="F17" s="8" t="inlineStr"/>
      <c r="G17" s="8" t="inlineStr"/>
      <c r="H17" s="8" t="inlineStr"/>
      <c r="I17" s="8" t="inlineStr"/>
      <c r="J17" s="8" t="inlineStr"/>
      <c r="K17" s="8" t="inlineStr"/>
      <c r="L17" s="8" t="inlineStr"/>
      <c r="M17" s="8" t="inlineStr"/>
      <c r="N17" s="8" t="inlineStr"/>
      <c r="O17" s="8" t="inlineStr"/>
      <c r="P17" s="8" t="inlineStr"/>
      <c r="Q17" s="8" t="inlineStr"/>
      <c r="R17" s="8" t="inlineStr"/>
      <c r="S17" s="8" t="inlineStr"/>
      <c r="T17" s="8" t="inlineStr"/>
      <c r="U17" s="8" t="inlineStr"/>
      <c r="V17" s="8" t="inlineStr"/>
    </row>
    <row r="18">
      <c r="A18" s="8" t="n">
        <v>13</v>
      </c>
      <c r="B18" s="8" t="inlineStr"/>
      <c r="C18" s="8" t="inlineStr"/>
      <c r="E18" s="8" t="inlineStr"/>
      <c r="F18" s="8" t="inlineStr"/>
      <c r="G18" s="8" t="inlineStr"/>
      <c r="H18" s="8" t="inlineStr"/>
      <c r="I18" s="8" t="inlineStr"/>
      <c r="J18" s="8" t="inlineStr"/>
      <c r="K18" s="8" t="inlineStr"/>
      <c r="L18" s="8" t="inlineStr"/>
      <c r="M18" s="8" t="inlineStr"/>
      <c r="N18" s="8" t="inlineStr"/>
      <c r="O18" s="8" t="inlineStr"/>
      <c r="P18" s="8" t="inlineStr"/>
      <c r="Q18" s="8" t="inlineStr"/>
      <c r="R18" s="8" t="inlineStr"/>
      <c r="S18" s="8" t="inlineStr"/>
      <c r="T18" s="8" t="inlineStr"/>
      <c r="U18" s="8" t="inlineStr"/>
      <c r="V18" s="8" t="inlineStr"/>
    </row>
    <row r="19">
      <c r="A19" s="8" t="n">
        <v>14</v>
      </c>
      <c r="B19" s="8" t="inlineStr"/>
      <c r="C19" s="8" t="inlineStr"/>
      <c r="E19" s="8" t="inlineStr"/>
      <c r="F19" s="8" t="inlineStr"/>
      <c r="G19" s="8" t="inlineStr"/>
      <c r="H19" s="8" t="inlineStr"/>
      <c r="I19" s="8" t="inlineStr"/>
      <c r="J19" s="8" t="inlineStr"/>
      <c r="K19" s="8" t="inlineStr"/>
      <c r="L19" s="8" t="inlineStr"/>
      <c r="M19" s="8" t="inlineStr"/>
      <c r="N19" s="8" t="inlineStr"/>
      <c r="O19" s="8" t="inlineStr"/>
      <c r="P19" s="8" t="inlineStr"/>
      <c r="Q19" s="8" t="inlineStr"/>
      <c r="R19" s="8" t="inlineStr"/>
      <c r="S19" s="8" t="inlineStr"/>
      <c r="T19" s="8" t="inlineStr"/>
      <c r="U19" s="8" t="inlineStr"/>
      <c r="V19" s="8" t="inlineStr"/>
    </row>
    <row r="20">
      <c r="A20" s="8" t="n">
        <v>15</v>
      </c>
      <c r="B20" s="8" t="inlineStr"/>
      <c r="C20" s="8" t="inlineStr"/>
      <c r="E20" s="8" t="inlineStr"/>
      <c r="F20" s="8" t="inlineStr"/>
      <c r="G20" s="8" t="inlineStr"/>
      <c r="H20" s="8" t="inlineStr"/>
      <c r="I20" s="8" t="inlineStr"/>
      <c r="J20" s="8" t="inlineStr"/>
      <c r="K20" s="8" t="inlineStr"/>
      <c r="L20" s="8" t="inlineStr"/>
      <c r="M20" s="8" t="inlineStr"/>
      <c r="N20" s="8" t="inlineStr"/>
      <c r="O20" s="8" t="inlineStr"/>
      <c r="P20" s="8" t="inlineStr"/>
      <c r="Q20" s="8" t="inlineStr"/>
      <c r="R20" s="8" t="inlineStr"/>
      <c r="S20" s="8" t="inlineStr"/>
      <c r="T20" s="8" t="inlineStr"/>
      <c r="U20" s="8" t="inlineStr"/>
      <c r="V20" s="8" t="inlineStr"/>
    </row>
    <row r="21">
      <c r="A21" s="8" t="n">
        <v>16</v>
      </c>
      <c r="B21" s="8" t="inlineStr"/>
      <c r="C21" s="8" t="inlineStr"/>
      <c r="E21" s="8" t="inlineStr"/>
      <c r="F21" s="8" t="inlineStr"/>
      <c r="G21" s="8" t="inlineStr"/>
      <c r="H21" s="8" t="inlineStr"/>
      <c r="I21" s="8" t="inlineStr"/>
      <c r="J21" s="8" t="inlineStr"/>
      <c r="K21" s="8" t="inlineStr"/>
      <c r="L21" s="8" t="inlineStr"/>
      <c r="M21" s="8" t="inlineStr"/>
      <c r="N21" s="8" t="inlineStr"/>
      <c r="O21" s="8" t="inlineStr"/>
      <c r="P21" s="8" t="inlineStr"/>
      <c r="Q21" s="8" t="inlineStr"/>
      <c r="R21" s="8" t="inlineStr"/>
      <c r="S21" s="8" t="inlineStr"/>
      <c r="T21" s="8" t="inlineStr"/>
      <c r="U21" s="8" t="inlineStr"/>
      <c r="V21" s="8" t="inlineStr"/>
    </row>
    <row r="22">
      <c r="A22" s="8" t="n">
        <v>17</v>
      </c>
      <c r="B22" s="8" t="inlineStr"/>
      <c r="C22" s="8" t="inlineStr"/>
      <c r="E22" s="8" t="inlineStr"/>
      <c r="F22" s="8" t="inlineStr"/>
      <c r="G22" s="8" t="inlineStr"/>
      <c r="H22" s="8" t="inlineStr"/>
      <c r="I22" s="8" t="inlineStr"/>
      <c r="J22" s="8" t="inlineStr"/>
      <c r="K22" s="8" t="inlineStr"/>
      <c r="L22" s="8" t="inlineStr"/>
      <c r="M22" s="8" t="inlineStr"/>
      <c r="N22" s="8" t="inlineStr"/>
      <c r="O22" s="8" t="inlineStr"/>
      <c r="P22" s="8" t="inlineStr"/>
      <c r="Q22" s="8" t="inlineStr"/>
      <c r="R22" s="8" t="inlineStr"/>
      <c r="S22" s="8" t="inlineStr"/>
      <c r="T22" s="8" t="inlineStr"/>
      <c r="U22" s="8" t="inlineStr"/>
      <c r="V22" s="8" t="inlineStr"/>
    </row>
    <row r="23">
      <c r="A23" s="8" t="n">
        <v>18</v>
      </c>
      <c r="B23" s="8" t="inlineStr"/>
      <c r="C23" s="8" t="inlineStr"/>
      <c r="E23" s="8" t="inlineStr"/>
      <c r="F23" s="8" t="inlineStr"/>
      <c r="G23" s="8" t="inlineStr"/>
      <c r="H23" s="8" t="inlineStr"/>
      <c r="I23" s="8" t="inlineStr"/>
      <c r="J23" s="8" t="inlineStr"/>
      <c r="K23" s="8" t="inlineStr"/>
      <c r="L23" s="8" t="inlineStr"/>
      <c r="M23" s="8" t="inlineStr"/>
      <c r="N23" s="8" t="inlineStr"/>
      <c r="O23" s="8" t="inlineStr"/>
      <c r="P23" s="8" t="inlineStr"/>
      <c r="Q23" s="8" t="inlineStr"/>
      <c r="R23" s="8" t="inlineStr"/>
      <c r="S23" s="8" t="inlineStr"/>
      <c r="T23" s="8" t="inlineStr"/>
      <c r="U23" s="8" t="inlineStr"/>
      <c r="V23" s="8" t="inlineStr"/>
    </row>
    <row r="24">
      <c r="A24" s="8" t="n">
        <v>19</v>
      </c>
      <c r="B24" s="8" t="inlineStr"/>
      <c r="C24" s="8" t="inlineStr"/>
      <c r="E24" s="8" t="inlineStr"/>
      <c r="F24" s="8" t="inlineStr"/>
      <c r="G24" s="8" t="inlineStr"/>
      <c r="H24" s="8" t="inlineStr"/>
      <c r="I24" s="8" t="inlineStr"/>
      <c r="J24" s="8" t="inlineStr"/>
      <c r="K24" s="8" t="inlineStr"/>
      <c r="L24" s="8" t="inlineStr"/>
      <c r="M24" s="8" t="inlineStr"/>
      <c r="N24" s="8" t="inlineStr"/>
      <c r="O24" s="8" t="inlineStr"/>
      <c r="P24" s="8" t="inlineStr"/>
      <c r="Q24" s="8" t="inlineStr"/>
      <c r="R24" s="8" t="inlineStr"/>
      <c r="S24" s="8" t="inlineStr"/>
      <c r="T24" s="8" t="inlineStr"/>
      <c r="U24" s="8" t="inlineStr"/>
      <c r="V24" s="8" t="inlineStr"/>
    </row>
    <row r="25">
      <c r="A25" s="8" t="n">
        <v>20</v>
      </c>
      <c r="B25" s="8" t="inlineStr"/>
      <c r="C25" s="8" t="inlineStr"/>
      <c r="E25" s="8" t="inlineStr"/>
      <c r="F25" s="8" t="inlineStr"/>
      <c r="G25" s="8" t="inlineStr"/>
      <c r="H25" s="8" t="inlineStr"/>
      <c r="I25" s="8" t="inlineStr"/>
      <c r="J25" s="8" t="inlineStr"/>
      <c r="K25" s="8" t="inlineStr"/>
      <c r="L25" s="8" t="inlineStr"/>
      <c r="M25" s="8" t="inlineStr"/>
      <c r="N25" s="8" t="inlineStr"/>
      <c r="O25" s="8" t="inlineStr"/>
      <c r="P25" s="8" t="inlineStr"/>
      <c r="Q25" s="8" t="inlineStr"/>
      <c r="R25" s="8" t="inlineStr"/>
      <c r="S25" s="8" t="inlineStr"/>
      <c r="T25" s="8" t="inlineStr"/>
      <c r="U25" s="8" t="inlineStr"/>
      <c r="V25" s="8" t="inlineStr"/>
    </row>
    <row r="26">
      <c r="A26" s="8" t="n">
        <v>21</v>
      </c>
      <c r="B26" s="8" t="inlineStr"/>
      <c r="C26" s="8" t="inlineStr"/>
      <c r="E26" s="8" t="inlineStr"/>
      <c r="F26" s="8" t="inlineStr"/>
      <c r="G26" s="8" t="inlineStr"/>
      <c r="H26" s="8" t="inlineStr"/>
      <c r="I26" s="8" t="inlineStr"/>
      <c r="J26" s="8" t="inlineStr"/>
      <c r="K26" s="8" t="inlineStr"/>
      <c r="L26" s="8" t="inlineStr"/>
      <c r="M26" s="8" t="inlineStr"/>
      <c r="N26" s="8" t="inlineStr"/>
      <c r="O26" s="8" t="inlineStr"/>
      <c r="P26" s="8" t="inlineStr"/>
      <c r="Q26" s="8" t="inlineStr"/>
      <c r="R26" s="8" t="inlineStr"/>
      <c r="S26" s="8" t="inlineStr"/>
      <c r="T26" s="8" t="inlineStr"/>
      <c r="U26" s="8" t="inlineStr"/>
      <c r="V26" s="8" t="inlineStr"/>
    </row>
    <row r="27">
      <c r="A27" s="8" t="n">
        <v>22</v>
      </c>
      <c r="B27" s="8" t="inlineStr"/>
      <c r="C27" s="8" t="inlineStr"/>
      <c r="E27" s="8" t="inlineStr"/>
      <c r="F27" s="8" t="inlineStr"/>
      <c r="G27" s="8" t="inlineStr"/>
      <c r="H27" s="8" t="inlineStr"/>
      <c r="I27" s="8" t="inlineStr"/>
      <c r="J27" s="8" t="inlineStr"/>
      <c r="K27" s="8" t="inlineStr"/>
      <c r="L27" s="8" t="inlineStr"/>
      <c r="M27" s="8" t="inlineStr"/>
      <c r="N27" s="8" t="inlineStr"/>
      <c r="O27" s="8" t="inlineStr"/>
      <c r="P27" s="8" t="inlineStr"/>
      <c r="Q27" s="8" t="inlineStr"/>
      <c r="R27" s="8" t="inlineStr"/>
      <c r="S27" s="8" t="inlineStr"/>
      <c r="T27" s="8" t="inlineStr"/>
      <c r="U27" s="8" t="inlineStr"/>
      <c r="V27" s="8" t="inlineStr"/>
    </row>
    <row r="28">
      <c r="A28" s="8" t="n">
        <v>23</v>
      </c>
      <c r="B28" s="8" t="inlineStr"/>
      <c r="C28" s="8" t="inlineStr"/>
      <c r="E28" s="8" t="inlineStr"/>
      <c r="F28" s="8" t="inlineStr"/>
      <c r="G28" s="8" t="inlineStr"/>
      <c r="H28" s="8" t="inlineStr"/>
      <c r="I28" s="8" t="inlineStr"/>
      <c r="J28" s="8" t="inlineStr"/>
      <c r="K28" s="8" t="inlineStr"/>
      <c r="L28" s="8" t="inlineStr"/>
      <c r="M28" s="8" t="inlineStr"/>
      <c r="N28" s="8" t="inlineStr"/>
      <c r="O28" s="8" t="inlineStr"/>
      <c r="P28" s="8" t="inlineStr"/>
      <c r="Q28" s="8" t="inlineStr"/>
      <c r="R28" s="8" t="inlineStr"/>
      <c r="S28" s="8" t="inlineStr"/>
      <c r="T28" s="8" t="inlineStr"/>
      <c r="U28" s="8" t="inlineStr"/>
      <c r="V28" s="8" t="inlineStr"/>
    </row>
    <row r="29">
      <c r="A29" s="8" t="n">
        <v>24</v>
      </c>
      <c r="B29" s="8" t="inlineStr"/>
      <c r="C29" s="8" t="inlineStr"/>
      <c r="E29" s="8" t="inlineStr"/>
      <c r="F29" s="8" t="inlineStr"/>
      <c r="G29" s="8" t="inlineStr"/>
      <c r="H29" s="8" t="inlineStr"/>
      <c r="I29" s="8" t="inlineStr"/>
      <c r="J29" s="8" t="inlineStr"/>
      <c r="K29" s="8" t="inlineStr"/>
      <c r="L29" s="8" t="inlineStr"/>
      <c r="M29" s="8" t="inlineStr"/>
      <c r="N29" s="8" t="inlineStr"/>
      <c r="O29" s="8" t="inlineStr"/>
      <c r="P29" s="8" t="inlineStr"/>
      <c r="Q29" s="8" t="inlineStr"/>
      <c r="R29" s="8" t="inlineStr"/>
      <c r="S29" s="8" t="inlineStr"/>
      <c r="T29" s="8" t="inlineStr"/>
      <c r="U29" s="8" t="inlineStr"/>
      <c r="V29" s="8" t="inlineStr"/>
    </row>
    <row r="30">
      <c r="A30" s="8" t="n">
        <v>25</v>
      </c>
      <c r="B30" s="8" t="inlineStr"/>
      <c r="C30" s="8" t="inlineStr"/>
      <c r="E30" s="8" t="inlineStr"/>
      <c r="F30" s="8" t="inlineStr"/>
      <c r="G30" s="8" t="inlineStr"/>
      <c r="H30" s="8" t="inlineStr"/>
      <c r="I30" s="8" t="inlineStr"/>
      <c r="J30" s="8" t="inlineStr"/>
      <c r="K30" s="8" t="inlineStr"/>
      <c r="L30" s="8" t="inlineStr"/>
      <c r="M30" s="8" t="inlineStr"/>
      <c r="N30" s="8" t="inlineStr"/>
      <c r="O30" s="8" t="inlineStr"/>
      <c r="P30" s="8" t="inlineStr"/>
      <c r="Q30" s="8" t="inlineStr"/>
      <c r="R30" s="8" t="inlineStr"/>
      <c r="S30" s="8" t="inlineStr"/>
      <c r="T30" s="8" t="inlineStr"/>
      <c r="U30" s="8" t="inlineStr"/>
      <c r="V30" s="8" t="inlineStr"/>
    </row>
    <row r="31">
      <c r="A31" s="8" t="n">
        <v>26</v>
      </c>
      <c r="B31" s="8" t="inlineStr"/>
      <c r="C31" s="8" t="inlineStr"/>
      <c r="E31" s="8" t="inlineStr"/>
      <c r="F31" s="8" t="inlineStr"/>
      <c r="G31" s="8" t="inlineStr"/>
      <c r="H31" s="8" t="inlineStr"/>
      <c r="I31" s="8" t="inlineStr"/>
      <c r="J31" s="8" t="inlineStr"/>
      <c r="K31" s="8" t="inlineStr"/>
      <c r="L31" s="8" t="inlineStr"/>
      <c r="M31" s="8" t="inlineStr"/>
      <c r="N31" s="8" t="inlineStr"/>
      <c r="O31" s="8" t="inlineStr"/>
      <c r="P31" s="8" t="inlineStr"/>
      <c r="Q31" s="8" t="inlineStr"/>
      <c r="R31" s="8" t="inlineStr"/>
      <c r="S31" s="8" t="inlineStr"/>
      <c r="T31" s="8" t="inlineStr"/>
      <c r="U31" s="8" t="inlineStr"/>
      <c r="V31" s="8" t="inlineStr"/>
    </row>
    <row r="32">
      <c r="A32" s="8" t="n">
        <v>27</v>
      </c>
      <c r="B32" s="8" t="inlineStr"/>
      <c r="C32" s="8" t="inlineStr"/>
      <c r="E32" s="8" t="inlineStr"/>
      <c r="F32" s="8" t="inlineStr"/>
      <c r="G32" s="8" t="inlineStr"/>
      <c r="H32" s="8" t="inlineStr"/>
      <c r="I32" s="8" t="inlineStr"/>
      <c r="J32" s="8" t="inlineStr"/>
      <c r="K32" s="8" t="inlineStr"/>
      <c r="L32" s="8" t="inlineStr"/>
      <c r="M32" s="8" t="inlineStr"/>
      <c r="N32" s="8" t="inlineStr"/>
      <c r="O32" s="8" t="inlineStr"/>
      <c r="P32" s="8" t="inlineStr"/>
      <c r="Q32" s="8" t="inlineStr"/>
      <c r="R32" s="8" t="inlineStr"/>
      <c r="S32" s="8" t="inlineStr"/>
      <c r="T32" s="8" t="inlineStr"/>
      <c r="U32" s="8" t="inlineStr"/>
      <c r="V32" s="8" t="inlineStr"/>
    </row>
    <row r="33">
      <c r="A33" s="8" t="n">
        <v>28</v>
      </c>
      <c r="B33" s="8" t="inlineStr"/>
      <c r="C33" s="8" t="inlineStr"/>
      <c r="E33" s="8" t="inlineStr"/>
      <c r="F33" s="8" t="inlineStr"/>
      <c r="G33" s="8" t="inlineStr"/>
      <c r="H33" s="8" t="inlineStr"/>
      <c r="I33" s="8" t="inlineStr"/>
      <c r="J33" s="8" t="inlineStr"/>
      <c r="K33" s="8" t="inlineStr"/>
      <c r="L33" s="8" t="inlineStr"/>
      <c r="M33" s="8" t="inlineStr"/>
      <c r="N33" s="8" t="inlineStr"/>
      <c r="O33" s="8" t="inlineStr"/>
      <c r="P33" s="8" t="inlineStr"/>
      <c r="Q33" s="8" t="inlineStr"/>
      <c r="R33" s="8" t="inlineStr"/>
      <c r="S33" s="8" t="inlineStr"/>
      <c r="T33" s="8" t="inlineStr"/>
      <c r="U33" s="8" t="inlineStr"/>
      <c r="V33" s="8" t="inlineStr"/>
    </row>
    <row r="34">
      <c r="A34" s="8" t="n">
        <v>29</v>
      </c>
      <c r="B34" s="8" t="inlineStr"/>
      <c r="C34" s="8" t="inlineStr"/>
      <c r="E34" s="8" t="inlineStr"/>
      <c r="F34" s="8" t="inlineStr"/>
      <c r="G34" s="8" t="inlineStr"/>
      <c r="H34" s="8" t="inlineStr"/>
      <c r="I34" s="8" t="inlineStr"/>
      <c r="J34" s="8" t="inlineStr"/>
      <c r="K34" s="8" t="inlineStr"/>
      <c r="L34" s="8" t="inlineStr"/>
      <c r="M34" s="8" t="inlineStr"/>
      <c r="N34" s="8" t="inlineStr"/>
      <c r="O34" s="8" t="inlineStr"/>
      <c r="P34" s="8" t="inlineStr"/>
      <c r="Q34" s="8" t="inlineStr"/>
      <c r="R34" s="8" t="inlineStr"/>
      <c r="S34" s="8" t="inlineStr"/>
      <c r="T34" s="8" t="inlineStr"/>
      <c r="U34" s="8" t="inlineStr"/>
      <c r="V34" s="8" t="inlineStr"/>
    </row>
    <row r="35">
      <c r="A35" s="8" t="n">
        <v>30</v>
      </c>
      <c r="B35" s="8" t="inlineStr"/>
      <c r="C35" s="8" t="inlineStr"/>
      <c r="E35" s="8" t="inlineStr"/>
      <c r="F35" s="8" t="inlineStr"/>
      <c r="G35" s="8" t="inlineStr"/>
      <c r="H35" s="8" t="inlineStr"/>
      <c r="I35" s="8" t="inlineStr"/>
      <c r="J35" s="8" t="inlineStr"/>
      <c r="K35" s="8" t="inlineStr"/>
      <c r="L35" s="8" t="inlineStr"/>
      <c r="M35" s="8" t="inlineStr"/>
      <c r="N35" s="8" t="inlineStr"/>
      <c r="O35" s="8" t="inlineStr"/>
      <c r="P35" s="8" t="inlineStr"/>
      <c r="Q35" s="8" t="inlineStr"/>
      <c r="R35" s="8" t="inlineStr"/>
      <c r="S35" s="8" t="inlineStr"/>
      <c r="T35" s="8" t="inlineStr"/>
      <c r="U35" s="8" t="inlineStr"/>
      <c r="V35" s="8" t="inlineStr"/>
    </row>
    <row r="36">
      <c r="A36" s="8" t="n">
        <v>31</v>
      </c>
      <c r="B36" s="8" t="inlineStr"/>
      <c r="C36" s="8" t="inlineStr"/>
      <c r="E36" s="8" t="inlineStr"/>
      <c r="F36" s="8" t="inlineStr"/>
      <c r="G36" s="8" t="inlineStr"/>
      <c r="H36" s="8" t="inlineStr"/>
      <c r="I36" s="8" t="inlineStr"/>
      <c r="J36" s="8" t="inlineStr"/>
      <c r="K36" s="8" t="inlineStr"/>
      <c r="L36" s="8" t="inlineStr"/>
      <c r="M36" s="8" t="inlineStr"/>
      <c r="N36" s="8" t="inlineStr"/>
      <c r="O36" s="8" t="inlineStr"/>
      <c r="P36" s="8" t="inlineStr"/>
      <c r="Q36" s="8" t="inlineStr"/>
      <c r="R36" s="8" t="inlineStr"/>
      <c r="S36" s="8" t="inlineStr"/>
      <c r="T36" s="8" t="inlineStr"/>
      <c r="U36" s="8" t="inlineStr"/>
      <c r="V36" s="8" t="inlineStr"/>
    </row>
    <row r="37">
      <c r="A37" s="8" t="n">
        <v>32</v>
      </c>
      <c r="B37" s="8" t="inlineStr"/>
      <c r="C37" s="8" t="inlineStr"/>
      <c r="E37" s="8" t="inlineStr"/>
      <c r="F37" s="8" t="inlineStr"/>
      <c r="G37" s="8" t="inlineStr"/>
      <c r="H37" s="8" t="inlineStr"/>
      <c r="I37" s="8" t="inlineStr"/>
      <c r="J37" s="8" t="inlineStr"/>
      <c r="K37" s="8" t="inlineStr"/>
      <c r="L37" s="8" t="inlineStr"/>
      <c r="M37" s="8" t="inlineStr"/>
      <c r="N37" s="8" t="inlineStr"/>
      <c r="O37" s="8" t="inlineStr"/>
      <c r="P37" s="8" t="inlineStr"/>
      <c r="Q37" s="8" t="inlineStr"/>
      <c r="R37" s="8" t="inlineStr"/>
      <c r="S37" s="8" t="inlineStr"/>
      <c r="T37" s="8" t="inlineStr"/>
      <c r="U37" s="8" t="inlineStr"/>
      <c r="V37" s="8" t="inlineStr"/>
    </row>
    <row r="38">
      <c r="A38" s="8" t="n">
        <v>33</v>
      </c>
      <c r="B38" s="8" t="inlineStr"/>
      <c r="C38" s="8" t="inlineStr"/>
      <c r="E38" s="8" t="inlineStr"/>
      <c r="F38" s="8" t="inlineStr"/>
      <c r="G38" s="8" t="inlineStr"/>
      <c r="H38" s="8" t="inlineStr"/>
      <c r="I38" s="8" t="inlineStr"/>
      <c r="J38" s="8" t="inlineStr"/>
      <c r="K38" s="8" t="inlineStr"/>
      <c r="L38" s="8" t="inlineStr"/>
      <c r="M38" s="8" t="inlineStr"/>
      <c r="N38" s="8" t="inlineStr"/>
      <c r="O38" s="8" t="inlineStr"/>
      <c r="P38" s="8" t="inlineStr"/>
      <c r="Q38" s="8" t="inlineStr"/>
      <c r="R38" s="8" t="inlineStr"/>
      <c r="S38" s="8" t="inlineStr"/>
      <c r="T38" s="8" t="inlineStr"/>
      <c r="U38" s="8" t="inlineStr"/>
      <c r="V38" s="8" t="inlineStr"/>
    </row>
    <row r="39">
      <c r="A39" s="8" t="n">
        <v>34</v>
      </c>
      <c r="B39" s="8" t="inlineStr"/>
      <c r="C39" s="8" t="inlineStr"/>
      <c r="E39" s="8" t="inlineStr"/>
      <c r="F39" s="8" t="inlineStr"/>
      <c r="G39" s="8" t="inlineStr"/>
      <c r="H39" s="8" t="inlineStr"/>
      <c r="I39" s="8" t="inlineStr"/>
      <c r="J39" s="8" t="inlineStr"/>
      <c r="K39" s="8" t="inlineStr"/>
      <c r="L39" s="8" t="inlineStr"/>
      <c r="M39" s="8" t="inlineStr"/>
      <c r="N39" s="8" t="inlineStr"/>
      <c r="O39" s="8" t="inlineStr"/>
      <c r="P39" s="8" t="inlineStr"/>
      <c r="Q39" s="8" t="inlineStr"/>
      <c r="R39" s="8" t="inlineStr"/>
      <c r="S39" s="8" t="inlineStr"/>
      <c r="T39" s="8" t="inlineStr"/>
      <c r="U39" s="8" t="inlineStr"/>
      <c r="V39" s="8" t="inlineStr"/>
    </row>
    <row r="40">
      <c r="A40" s="8" t="n">
        <v>35</v>
      </c>
      <c r="B40" s="8" t="inlineStr"/>
      <c r="C40" s="8" t="inlineStr"/>
      <c r="E40" s="8" t="inlineStr"/>
      <c r="F40" s="8" t="inlineStr"/>
      <c r="G40" s="8" t="inlineStr"/>
      <c r="H40" s="8" t="inlineStr"/>
      <c r="I40" s="8" t="inlineStr"/>
      <c r="J40" s="8" t="inlineStr"/>
      <c r="K40" s="8" t="inlineStr"/>
      <c r="L40" s="8" t="inlineStr"/>
      <c r="M40" s="8" t="inlineStr"/>
      <c r="N40" s="8" t="inlineStr"/>
      <c r="O40" s="8" t="inlineStr"/>
      <c r="P40" s="8" t="inlineStr"/>
      <c r="Q40" s="8" t="inlineStr"/>
      <c r="R40" s="8" t="inlineStr"/>
      <c r="S40" s="8" t="inlineStr"/>
      <c r="T40" s="8" t="inlineStr"/>
      <c r="U40" s="8" t="inlineStr"/>
      <c r="V40" s="8" t="inlineStr"/>
    </row>
    <row r="41">
      <c r="A41" s="8" t="n">
        <v>36</v>
      </c>
      <c r="B41" s="8" t="inlineStr"/>
      <c r="C41" s="8" t="inlineStr"/>
      <c r="E41" s="8" t="inlineStr"/>
      <c r="F41" s="8" t="inlineStr"/>
      <c r="G41" s="8" t="inlineStr"/>
      <c r="H41" s="8" t="inlineStr"/>
      <c r="I41" s="8" t="inlineStr"/>
      <c r="J41" s="8" t="inlineStr"/>
      <c r="K41" s="8" t="inlineStr"/>
      <c r="L41" s="8" t="inlineStr"/>
      <c r="M41" s="8" t="inlineStr"/>
      <c r="N41" s="8" t="inlineStr"/>
      <c r="O41" s="8" t="inlineStr"/>
      <c r="P41" s="8" t="inlineStr"/>
      <c r="Q41" s="8" t="inlineStr"/>
      <c r="R41" s="8" t="inlineStr"/>
      <c r="S41" s="8" t="inlineStr"/>
      <c r="T41" s="8" t="inlineStr"/>
      <c r="U41" s="8" t="inlineStr"/>
      <c r="V41" s="8" t="inlineStr"/>
    </row>
    <row r="42">
      <c r="A42" s="8" t="n">
        <v>37</v>
      </c>
      <c r="B42" s="8" t="inlineStr"/>
      <c r="C42" s="8" t="inlineStr"/>
      <c r="E42" s="8" t="inlineStr"/>
      <c r="F42" s="8" t="inlineStr"/>
      <c r="G42" s="8" t="inlineStr"/>
      <c r="H42" s="8" t="inlineStr"/>
      <c r="I42" s="8" t="inlineStr"/>
      <c r="J42" s="8" t="inlineStr"/>
      <c r="K42" s="8" t="inlineStr"/>
      <c r="L42" s="8" t="inlineStr"/>
      <c r="M42" s="8" t="inlineStr"/>
      <c r="N42" s="8" t="inlineStr"/>
      <c r="O42" s="8" t="inlineStr"/>
      <c r="P42" s="8" t="inlineStr"/>
      <c r="Q42" s="8" t="inlineStr"/>
      <c r="R42" s="8" t="inlineStr"/>
      <c r="S42" s="8" t="inlineStr"/>
      <c r="T42" s="8" t="inlineStr"/>
      <c r="U42" s="8" t="inlineStr"/>
      <c r="V42" s="8" t="inlineStr"/>
    </row>
    <row r="43">
      <c r="A43" s="8" t="n">
        <v>38</v>
      </c>
      <c r="B43" s="8" t="inlineStr"/>
      <c r="C43" s="8" t="inlineStr"/>
      <c r="E43" s="8" t="inlineStr"/>
      <c r="F43" s="8" t="inlineStr"/>
      <c r="G43" s="8" t="inlineStr"/>
      <c r="H43" s="8" t="inlineStr"/>
      <c r="I43" s="8" t="inlineStr"/>
      <c r="J43" s="8" t="inlineStr"/>
      <c r="K43" s="8" t="inlineStr"/>
      <c r="L43" s="8" t="inlineStr"/>
      <c r="M43" s="8" t="inlineStr"/>
      <c r="N43" s="8" t="inlineStr"/>
      <c r="O43" s="8" t="inlineStr"/>
      <c r="P43" s="8" t="inlineStr"/>
      <c r="Q43" s="8" t="inlineStr"/>
      <c r="R43" s="8" t="inlineStr"/>
      <c r="S43" s="8" t="inlineStr"/>
      <c r="T43" s="8" t="inlineStr"/>
      <c r="U43" s="8" t="inlineStr"/>
      <c r="V43" s="8" t="inlineStr"/>
    </row>
    <row r="44">
      <c r="A44" s="8" t="n">
        <v>39</v>
      </c>
      <c r="B44" s="8" t="inlineStr"/>
      <c r="C44" s="8" t="inlineStr"/>
      <c r="E44" s="8" t="inlineStr"/>
      <c r="F44" s="8" t="inlineStr"/>
      <c r="G44" s="8" t="inlineStr"/>
      <c r="H44" s="8" t="inlineStr"/>
      <c r="I44" s="8" t="inlineStr"/>
      <c r="J44" s="8" t="inlineStr"/>
      <c r="K44" s="8" t="inlineStr"/>
      <c r="L44" s="8" t="inlineStr"/>
      <c r="M44" s="8" t="inlineStr"/>
      <c r="N44" s="8" t="inlineStr"/>
      <c r="O44" s="8" t="inlineStr"/>
      <c r="P44" s="8" t="inlineStr"/>
      <c r="Q44" s="8" t="inlineStr"/>
      <c r="R44" s="8" t="inlineStr"/>
      <c r="S44" s="8" t="inlineStr"/>
      <c r="T44" s="8" t="inlineStr"/>
      <c r="U44" s="8" t="inlineStr"/>
      <c r="V44" s="8" t="inlineStr"/>
    </row>
    <row r="45">
      <c r="A45" s="8" t="n">
        <v>40</v>
      </c>
      <c r="B45" s="8" t="inlineStr"/>
      <c r="C45" s="8" t="inlineStr"/>
      <c r="E45" s="8" t="inlineStr"/>
      <c r="F45" s="8" t="inlineStr"/>
      <c r="G45" s="8" t="inlineStr"/>
      <c r="H45" s="8" t="inlineStr"/>
      <c r="I45" s="8" t="inlineStr"/>
      <c r="J45" s="8" t="inlineStr"/>
      <c r="K45" s="8" t="inlineStr"/>
      <c r="L45" s="8" t="inlineStr"/>
      <c r="M45" s="8" t="inlineStr"/>
      <c r="N45" s="8" t="inlineStr"/>
      <c r="O45" s="8" t="inlineStr"/>
      <c r="P45" s="8" t="inlineStr"/>
      <c r="Q45" s="8" t="inlineStr"/>
      <c r="R45" s="8" t="inlineStr"/>
      <c r="S45" s="8" t="inlineStr"/>
      <c r="T45" s="8" t="inlineStr"/>
      <c r="U45" s="8" t="inlineStr"/>
      <c r="V45" s="8" t="inlineStr"/>
    </row>
    <row r="46">
      <c r="A46" s="8" t="n">
        <v>41</v>
      </c>
      <c r="B46" s="8" t="inlineStr"/>
      <c r="C46" s="8" t="inlineStr"/>
      <c r="E46" s="8" t="inlineStr"/>
      <c r="F46" s="8" t="inlineStr"/>
      <c r="G46" s="8" t="inlineStr"/>
      <c r="H46" s="8" t="inlineStr"/>
      <c r="I46" s="8" t="inlineStr"/>
      <c r="J46" s="8" t="inlineStr"/>
      <c r="K46" s="8" t="inlineStr"/>
      <c r="L46" s="8" t="inlineStr"/>
      <c r="M46" s="8" t="inlineStr"/>
      <c r="N46" s="8" t="inlineStr"/>
      <c r="O46" s="8" t="inlineStr"/>
      <c r="P46" s="8" t="inlineStr"/>
      <c r="Q46" s="8" t="inlineStr"/>
      <c r="R46" s="8" t="inlineStr"/>
      <c r="S46" s="8" t="inlineStr"/>
      <c r="T46" s="8" t="inlineStr"/>
      <c r="U46" s="8" t="inlineStr"/>
      <c r="V46" s="8" t="inlineStr"/>
    </row>
    <row r="47">
      <c r="A47" s="8" t="n">
        <v>42</v>
      </c>
      <c r="B47" s="8" t="inlineStr"/>
      <c r="C47" s="8" t="inlineStr"/>
      <c r="E47" s="8" t="inlineStr"/>
      <c r="F47" s="8" t="inlineStr"/>
      <c r="G47" s="8" t="inlineStr"/>
      <c r="H47" s="8" t="inlineStr"/>
      <c r="I47" s="8" t="inlineStr"/>
      <c r="J47" s="8" t="inlineStr"/>
      <c r="K47" s="8" t="inlineStr"/>
      <c r="L47" s="8" t="inlineStr"/>
      <c r="M47" s="8" t="inlineStr"/>
      <c r="N47" s="8" t="inlineStr"/>
      <c r="O47" s="8" t="inlineStr"/>
      <c r="P47" s="8" t="inlineStr"/>
      <c r="Q47" s="8" t="inlineStr"/>
      <c r="R47" s="8" t="inlineStr"/>
      <c r="S47" s="8" t="inlineStr"/>
      <c r="T47" s="8" t="inlineStr"/>
      <c r="U47" s="8" t="inlineStr"/>
      <c r="V47" s="8" t="inlineStr"/>
    </row>
    <row r="48">
      <c r="A48" s="8" t="n">
        <v>43</v>
      </c>
      <c r="B48" s="8" t="inlineStr"/>
      <c r="C48" s="8" t="inlineStr"/>
      <c r="E48" s="8" t="inlineStr"/>
      <c r="F48" s="8" t="inlineStr"/>
      <c r="G48" s="8" t="inlineStr"/>
      <c r="H48" s="8" t="inlineStr"/>
      <c r="I48" s="8" t="inlineStr"/>
      <c r="J48" s="8" t="inlineStr"/>
      <c r="K48" s="8" t="inlineStr"/>
      <c r="L48" s="8" t="inlineStr"/>
      <c r="M48" s="8" t="inlineStr"/>
      <c r="N48" s="8" t="inlineStr"/>
      <c r="O48" s="8" t="inlineStr"/>
      <c r="P48" s="8" t="inlineStr"/>
      <c r="Q48" s="8" t="inlineStr"/>
      <c r="R48" s="8" t="inlineStr"/>
      <c r="S48" s="8" t="inlineStr"/>
      <c r="T48" s="8" t="inlineStr"/>
      <c r="U48" s="8" t="inlineStr"/>
      <c r="V48" s="8" t="inlineStr"/>
    </row>
    <row r="49">
      <c r="A49" s="8" t="n">
        <v>44</v>
      </c>
      <c r="B49" s="8" t="inlineStr"/>
      <c r="C49" s="8" t="inlineStr"/>
      <c r="E49" s="8" t="inlineStr"/>
      <c r="F49" s="8" t="inlineStr"/>
      <c r="G49" s="8" t="inlineStr"/>
      <c r="H49" s="8" t="inlineStr"/>
      <c r="I49" s="8" t="inlineStr"/>
      <c r="J49" s="8" t="inlineStr"/>
      <c r="K49" s="8" t="inlineStr"/>
      <c r="L49" s="8" t="inlineStr"/>
      <c r="M49" s="8" t="inlineStr"/>
      <c r="N49" s="8" t="inlineStr"/>
      <c r="O49" s="8" t="inlineStr"/>
      <c r="P49" s="8" t="inlineStr"/>
      <c r="Q49" s="8" t="inlineStr"/>
      <c r="R49" s="8" t="inlineStr"/>
      <c r="S49" s="8" t="inlineStr"/>
      <c r="T49" s="8" t="inlineStr"/>
      <c r="U49" s="8" t="inlineStr"/>
      <c r="V49" s="8" t="inlineStr"/>
    </row>
    <row r="50">
      <c r="A50" s="8" t="n">
        <v>45</v>
      </c>
      <c r="B50" s="8" t="inlineStr"/>
      <c r="C50" s="8" t="inlineStr"/>
      <c r="E50" s="8" t="inlineStr"/>
      <c r="F50" s="8" t="inlineStr"/>
      <c r="G50" s="8" t="inlineStr"/>
      <c r="H50" s="8" t="inlineStr"/>
      <c r="I50" s="8" t="inlineStr"/>
      <c r="J50" s="8" t="inlineStr"/>
      <c r="K50" s="8" t="inlineStr"/>
      <c r="L50" s="8" t="inlineStr"/>
      <c r="M50" s="8" t="inlineStr"/>
      <c r="N50" s="8" t="inlineStr"/>
      <c r="O50" s="8" t="inlineStr"/>
      <c r="P50" s="8" t="inlineStr"/>
      <c r="Q50" s="8" t="inlineStr"/>
      <c r="R50" s="8" t="inlineStr"/>
      <c r="S50" s="8" t="inlineStr"/>
      <c r="T50" s="8" t="inlineStr"/>
      <c r="U50" s="8" t="inlineStr"/>
      <c r="V50" s="8" t="inlineStr"/>
    </row>
    <row r="51">
      <c r="A51" s="8" t="n">
        <v>46</v>
      </c>
      <c r="B51" s="8" t="inlineStr"/>
      <c r="C51" s="8" t="inlineStr"/>
      <c r="E51" s="8" t="inlineStr"/>
      <c r="F51" s="8" t="inlineStr"/>
      <c r="G51" s="8" t="inlineStr"/>
      <c r="H51" s="8" t="inlineStr"/>
      <c r="I51" s="8" t="inlineStr"/>
      <c r="J51" s="8" t="inlineStr"/>
      <c r="K51" s="8" t="inlineStr"/>
      <c r="L51" s="8" t="inlineStr"/>
      <c r="M51" s="8" t="inlineStr"/>
      <c r="N51" s="8" t="inlineStr"/>
      <c r="O51" s="8" t="inlineStr"/>
      <c r="P51" s="8" t="inlineStr"/>
      <c r="Q51" s="8" t="inlineStr"/>
      <c r="R51" s="8" t="inlineStr"/>
      <c r="S51" s="8" t="inlineStr"/>
      <c r="T51" s="8" t="inlineStr"/>
      <c r="U51" s="8" t="inlineStr"/>
      <c r="V51" s="8" t="inlineStr"/>
    </row>
    <row r="52">
      <c r="A52" s="8" t="n">
        <v>47</v>
      </c>
      <c r="B52" s="8" t="inlineStr"/>
      <c r="C52" s="8" t="inlineStr"/>
      <c r="E52" s="8" t="inlineStr"/>
      <c r="F52" s="8" t="inlineStr"/>
      <c r="G52" s="8" t="inlineStr"/>
      <c r="H52" s="8" t="inlineStr"/>
      <c r="I52" s="8" t="inlineStr"/>
      <c r="J52" s="8" t="inlineStr"/>
      <c r="K52" s="8" t="inlineStr"/>
      <c r="L52" s="8" t="inlineStr"/>
      <c r="M52" s="8" t="inlineStr"/>
      <c r="N52" s="8" t="inlineStr"/>
      <c r="O52" s="8" t="inlineStr"/>
      <c r="P52" s="8" t="inlineStr"/>
      <c r="Q52" s="8" t="inlineStr"/>
      <c r="R52" s="8" t="inlineStr"/>
      <c r="S52" s="8" t="inlineStr"/>
      <c r="T52" s="8" t="inlineStr"/>
      <c r="U52" s="8" t="inlineStr"/>
      <c r="V52" s="8" t="inlineStr"/>
    </row>
    <row r="53">
      <c r="A53" s="8" t="n">
        <v>48</v>
      </c>
      <c r="B53" s="8" t="inlineStr"/>
      <c r="C53" s="8" t="inlineStr"/>
      <c r="E53" s="8" t="inlineStr"/>
      <c r="F53" s="8" t="inlineStr"/>
      <c r="G53" s="8" t="inlineStr"/>
      <c r="H53" s="8" t="inlineStr"/>
      <c r="I53" s="8" t="inlineStr"/>
      <c r="J53" s="8" t="inlineStr"/>
      <c r="K53" s="8" t="inlineStr"/>
      <c r="L53" s="8" t="inlineStr"/>
      <c r="M53" s="8" t="inlineStr"/>
      <c r="N53" s="8" t="inlineStr"/>
      <c r="O53" s="8" t="inlineStr"/>
      <c r="P53" s="8" t="inlineStr"/>
      <c r="Q53" s="8" t="inlineStr"/>
      <c r="R53" s="8" t="inlineStr"/>
      <c r="S53" s="8" t="inlineStr"/>
      <c r="T53" s="8" t="inlineStr"/>
      <c r="U53" s="8" t="inlineStr"/>
      <c r="V53" s="8" t="inlineStr"/>
    </row>
    <row r="54">
      <c r="A54" s="8" t="n">
        <v>49</v>
      </c>
      <c r="B54" s="8" t="inlineStr"/>
      <c r="C54" s="8" t="inlineStr"/>
      <c r="E54" s="8" t="inlineStr"/>
      <c r="F54" s="8" t="inlineStr"/>
      <c r="G54" s="8" t="inlineStr"/>
      <c r="H54" s="8" t="inlineStr"/>
      <c r="I54" s="8" t="inlineStr"/>
      <c r="J54" s="8" t="inlineStr"/>
      <c r="K54" s="8" t="inlineStr"/>
      <c r="L54" s="8" t="inlineStr"/>
      <c r="M54" s="8" t="inlineStr"/>
      <c r="N54" s="8" t="inlineStr"/>
      <c r="O54" s="8" t="inlineStr"/>
      <c r="P54" s="8" t="inlineStr"/>
      <c r="Q54" s="8" t="inlineStr"/>
      <c r="R54" s="8" t="inlineStr"/>
      <c r="S54" s="8" t="inlineStr"/>
      <c r="T54" s="8" t="inlineStr"/>
      <c r="U54" s="8" t="inlineStr"/>
      <c r="V54" s="8" t="inlineStr"/>
    </row>
    <row r="55">
      <c r="A55" s="8" t="n">
        <v>50</v>
      </c>
      <c r="B55" s="8" t="inlineStr"/>
      <c r="C55" s="8" t="inlineStr"/>
      <c r="E55" s="8" t="inlineStr"/>
      <c r="F55" s="8" t="inlineStr"/>
      <c r="G55" s="8" t="inlineStr"/>
      <c r="H55" s="8" t="inlineStr"/>
      <c r="I55" s="8" t="inlineStr"/>
      <c r="J55" s="8" t="inlineStr"/>
      <c r="K55" s="8" t="inlineStr"/>
      <c r="L55" s="8" t="inlineStr"/>
      <c r="M55" s="8" t="inlineStr"/>
      <c r="N55" s="8" t="inlineStr"/>
      <c r="O55" s="8" t="inlineStr"/>
      <c r="P55" s="8" t="inlineStr"/>
      <c r="Q55" s="8" t="inlineStr"/>
      <c r="R55" s="8" t="inlineStr"/>
      <c r="S55" s="8" t="inlineStr"/>
      <c r="T55" s="8" t="inlineStr"/>
      <c r="U55" s="8" t="inlineStr"/>
      <c r="V55" s="8" t="inlineStr"/>
    </row>
    <row r="56">
      <c r="A56" s="8" t="n">
        <v>51</v>
      </c>
      <c r="B56" s="8" t="inlineStr"/>
      <c r="C56" s="8" t="inlineStr"/>
      <c r="E56" s="8" t="inlineStr"/>
      <c r="F56" s="8" t="inlineStr"/>
      <c r="G56" s="8" t="inlineStr"/>
      <c r="H56" s="8" t="inlineStr"/>
      <c r="I56" s="8" t="inlineStr"/>
      <c r="J56" s="8" t="inlineStr"/>
      <c r="K56" s="8" t="inlineStr"/>
      <c r="L56" s="8" t="inlineStr"/>
      <c r="M56" s="8" t="inlineStr"/>
      <c r="N56" s="8" t="inlineStr"/>
      <c r="O56" s="8" t="inlineStr"/>
      <c r="P56" s="8" t="inlineStr"/>
      <c r="Q56" s="8" t="inlineStr"/>
      <c r="R56" s="8" t="inlineStr"/>
      <c r="S56" s="8" t="inlineStr"/>
      <c r="T56" s="8" t="inlineStr"/>
      <c r="U56" s="8" t="inlineStr"/>
      <c r="V56" s="8" t="inlineStr"/>
    </row>
    <row r="57">
      <c r="A57" s="8" t="n">
        <v>52</v>
      </c>
      <c r="B57" s="8" t="inlineStr">
        <is>
          <t>Z999</t>
        </is>
      </c>
      <c r="C57" s="8" t="inlineStr">
        <is>
          <t>Vật liệu khác</t>
        </is>
      </c>
      <c r="E57" s="8" t="inlineStr">
        <is>
          <t>%</t>
        </is>
      </c>
      <c r="F57" s="8" t="inlineStr"/>
      <c r="G57" s="8" t="inlineStr"/>
      <c r="H57" s="8" t="inlineStr"/>
      <c r="I57" s="8" t="inlineStr"/>
      <c r="J57" s="8" t="inlineStr"/>
      <c r="K57" s="8" t="inlineStr"/>
      <c r="L57" s="8" t="inlineStr"/>
      <c r="M57" s="8" t="inlineStr"/>
      <c r="N57" s="8" t="inlineStr"/>
      <c r="O57" s="8" t="inlineStr"/>
      <c r="P57" s="8" t="inlineStr"/>
      <c r="Q57" s="8" t="inlineStr"/>
      <c r="R57" s="8" t="inlineStr"/>
      <c r="S57" s="8" t="inlineStr"/>
      <c r="T57" s="8" t="inlineStr"/>
      <c r="U57" s="8" t="inlineStr"/>
      <c r="V57" s="8" t="inlineStr"/>
    </row>
    <row r="58">
      <c r="A58" s="8" t="inlineStr"/>
      <c r="B58" s="8" t="inlineStr"/>
      <c r="C58" s="8" t="inlineStr">
        <is>
          <t>TỔNG VẬT LIỆU</t>
        </is>
      </c>
      <c r="E58" s="8" t="inlineStr"/>
      <c r="F58" s="8" t="inlineStr"/>
      <c r="G58" s="8" t="inlineStr"/>
      <c r="H58" s="8" t="inlineStr"/>
      <c r="I58" s="8" t="inlineStr"/>
      <c r="J58" s="8" t="inlineStr"/>
      <c r="K58" s="8" t="inlineStr"/>
      <c r="L58" s="8" t="inlineStr"/>
      <c r="M58" s="8" t="inlineStr"/>
      <c r="N58" s="8" t="inlineStr"/>
      <c r="O58" s="8" t="inlineStr"/>
      <c r="P58" s="8" t="inlineStr"/>
      <c r="Q58" s="8" t="inlineStr"/>
      <c r="R58" s="8" t="inlineStr"/>
      <c r="S58" s="8" t="inlineStr"/>
      <c r="T58" s="8" t="inlineStr"/>
      <c r="U58" s="8" t="inlineStr"/>
      <c r="V58" s="8" t="inlineStr"/>
    </row>
    <row r="59">
      <c r="A59" s="8" t="inlineStr">
        <is>
          <t>II</t>
        </is>
      </c>
      <c r="B59" s="8" t="inlineStr"/>
      <c r="C59" s="8" t="inlineStr">
        <is>
          <t>NHÂN CÔNG</t>
        </is>
      </c>
      <c r="E59" s="8" t="inlineStr"/>
      <c r="F59" s="8" t="inlineStr"/>
      <c r="G59" s="8" t="inlineStr"/>
      <c r="H59" s="8" t="inlineStr"/>
      <c r="I59" s="8" t="inlineStr"/>
      <c r="J59" s="8" t="inlineStr"/>
      <c r="K59" s="8" t="inlineStr"/>
      <c r="L59" s="8" t="inlineStr"/>
      <c r="M59" s="8" t="inlineStr"/>
      <c r="N59" s="8" t="inlineStr"/>
      <c r="O59" s="8" t="inlineStr"/>
      <c r="P59" s="8" t="inlineStr"/>
      <c r="Q59" s="8" t="inlineStr"/>
      <c r="R59" s="8" t="inlineStr"/>
      <c r="S59" s="8" t="inlineStr"/>
      <c r="T59" s="8" t="inlineStr"/>
      <c r="U59" s="8" t="inlineStr"/>
      <c r="V59" s="8" t="inlineStr"/>
    </row>
    <row r="60">
      <c r="A60" s="8" t="n">
        <v>1</v>
      </c>
      <c r="B60" s="8" t="inlineStr"/>
      <c r="C60" s="8" t="inlineStr"/>
      <c r="E60" s="8" t="inlineStr"/>
      <c r="F60" s="8" t="inlineStr"/>
      <c r="G60" s="8" t="inlineStr"/>
      <c r="H60" s="8" t="inlineStr"/>
      <c r="I60" s="8" t="inlineStr"/>
      <c r="J60" s="8" t="inlineStr"/>
      <c r="K60" s="8" t="inlineStr"/>
      <c r="L60" s="8" t="inlineStr"/>
      <c r="M60" s="8" t="inlineStr"/>
      <c r="N60" s="8" t="inlineStr"/>
      <c r="O60" s="8" t="inlineStr"/>
      <c r="P60" s="8" t="inlineStr"/>
      <c r="Q60" s="8" t="inlineStr"/>
      <c r="R60" s="8" t="inlineStr"/>
      <c r="S60" s="8" t="inlineStr"/>
      <c r="T60" s="8" t="inlineStr"/>
      <c r="U60" s="8" t="inlineStr"/>
      <c r="V60" s="8" t="inlineStr"/>
    </row>
    <row r="61">
      <c r="A61" s="8" t="n">
        <v>2</v>
      </c>
      <c r="B61" s="8" t="inlineStr"/>
      <c r="C61" s="8" t="inlineStr"/>
      <c r="E61" s="8" t="inlineStr"/>
      <c r="F61" s="8" t="inlineStr"/>
      <c r="G61" s="8" t="inlineStr"/>
      <c r="H61" s="8" t="inlineStr"/>
      <c r="I61" s="8" t="inlineStr"/>
      <c r="J61" s="8" t="inlineStr"/>
      <c r="K61" s="8" t="inlineStr"/>
      <c r="L61" s="8" t="inlineStr"/>
      <c r="M61" s="8" t="inlineStr"/>
      <c r="N61" s="8" t="inlineStr"/>
      <c r="O61" s="8" t="inlineStr"/>
      <c r="P61" s="8" t="inlineStr"/>
      <c r="Q61" s="8" t="inlineStr"/>
      <c r="R61" s="8" t="inlineStr"/>
      <c r="S61" s="8" t="inlineStr"/>
      <c r="T61" s="8" t="inlineStr"/>
      <c r="U61" s="8" t="inlineStr"/>
      <c r="V61" s="8" t="inlineStr"/>
    </row>
    <row r="62">
      <c r="A62" s="8" t="inlineStr"/>
      <c r="B62" s="8" t="inlineStr"/>
      <c r="C62" s="8" t="inlineStr">
        <is>
          <t>TỔNG NHÂN CÔNG</t>
        </is>
      </c>
      <c r="E62" s="8" t="inlineStr"/>
      <c r="F62" s="8" t="inlineStr"/>
      <c r="G62" s="8" t="inlineStr"/>
      <c r="H62" s="8" t="inlineStr"/>
      <c r="I62" s="8" t="inlineStr"/>
      <c r="J62" s="8" t="inlineStr"/>
      <c r="K62" s="8" t="inlineStr"/>
      <c r="L62" s="8" t="inlineStr"/>
      <c r="M62" s="8" t="inlineStr"/>
      <c r="N62" s="8" t="inlineStr"/>
      <c r="O62" s="8" t="n">
        <v>0</v>
      </c>
      <c r="P62" s="8" t="inlineStr"/>
      <c r="Q62" s="8" t="inlineStr"/>
      <c r="R62" s="8" t="inlineStr"/>
      <c r="S62" s="8" t="inlineStr"/>
      <c r="T62" s="8" t="inlineStr"/>
      <c r="U62" s="8" t="inlineStr"/>
      <c r="V62" s="8" t="inlineStr"/>
    </row>
    <row r="63">
      <c r="A63" s="8" t="inlineStr">
        <is>
          <t>III</t>
        </is>
      </c>
      <c r="B63" s="8" t="inlineStr"/>
      <c r="C63" s="8" t="inlineStr">
        <is>
          <t>MÁY THI CÔNG</t>
        </is>
      </c>
      <c r="E63" s="8" t="inlineStr"/>
      <c r="F63" s="8" t="inlineStr"/>
      <c r="G63" s="8" t="inlineStr"/>
      <c r="H63" s="8" t="inlineStr"/>
      <c r="I63" s="8" t="inlineStr"/>
      <c r="J63" s="8" t="inlineStr"/>
      <c r="K63" s="8" t="inlineStr"/>
      <c r="L63" s="8" t="inlineStr"/>
      <c r="M63" s="8" t="inlineStr"/>
      <c r="N63" s="8" t="inlineStr"/>
      <c r="O63" s="8" t="inlineStr"/>
      <c r="P63" s="8" t="inlineStr"/>
      <c r="Q63" s="8" t="inlineStr"/>
      <c r="R63" s="8" t="inlineStr"/>
      <c r="S63" s="8" t="inlineStr"/>
      <c r="T63" s="8" t="inlineStr"/>
      <c r="U63" s="8" t="inlineStr"/>
      <c r="V63" s="8" t="inlineStr"/>
    </row>
    <row r="64">
      <c r="A64" s="8" t="n">
        <v>1</v>
      </c>
      <c r="B64" s="8" t="inlineStr"/>
      <c r="C64" s="8" t="inlineStr"/>
      <c r="E64" s="8" t="inlineStr"/>
      <c r="F64" s="8" t="inlineStr"/>
      <c r="G64" s="8" t="inlineStr"/>
      <c r="H64" s="8" t="inlineStr"/>
      <c r="I64" s="8" t="inlineStr"/>
      <c r="J64" s="8" t="inlineStr"/>
      <c r="K64" s="8" t="inlineStr"/>
      <c r="L64" s="8" t="inlineStr"/>
      <c r="M64" s="8" t="inlineStr"/>
      <c r="N64" s="8" t="inlineStr"/>
      <c r="O64" s="8" t="inlineStr"/>
      <c r="P64" s="8" t="inlineStr"/>
      <c r="Q64" s="8" t="inlineStr"/>
      <c r="R64" s="8" t="inlineStr"/>
      <c r="S64" s="8" t="inlineStr"/>
      <c r="T64" s="8" t="inlineStr"/>
      <c r="U64" s="8" t="inlineStr"/>
      <c r="V64" s="8" t="inlineStr"/>
    </row>
    <row r="65">
      <c r="A65" s="8" t="n">
        <v>2</v>
      </c>
      <c r="B65" s="8" t="inlineStr"/>
      <c r="C65" s="8" t="inlineStr"/>
      <c r="E65" s="8" t="inlineStr"/>
      <c r="F65" s="8" t="inlineStr"/>
      <c r="G65" s="8" t="inlineStr"/>
      <c r="H65" s="8" t="inlineStr"/>
      <c r="I65" s="8" t="inlineStr"/>
      <c r="J65" s="8" t="inlineStr"/>
      <c r="K65" s="8" t="inlineStr"/>
      <c r="L65" s="8" t="inlineStr"/>
      <c r="M65" s="8" t="inlineStr"/>
      <c r="N65" s="8" t="inlineStr"/>
      <c r="O65" s="8" t="inlineStr"/>
      <c r="P65" s="8" t="inlineStr"/>
      <c r="Q65" s="8" t="inlineStr"/>
      <c r="R65" s="8" t="inlineStr"/>
      <c r="S65" s="8" t="inlineStr"/>
      <c r="T65" s="8" t="inlineStr"/>
      <c r="U65" s="8" t="inlineStr"/>
      <c r="V65" s="8" t="inlineStr"/>
    </row>
    <row r="66">
      <c r="A66" s="8" t="n">
        <v>3</v>
      </c>
      <c r="B66" s="8" t="inlineStr"/>
      <c r="C66" s="8" t="inlineStr"/>
      <c r="E66" s="8" t="inlineStr"/>
      <c r="F66" s="8" t="inlineStr"/>
      <c r="G66" s="8" t="inlineStr"/>
      <c r="H66" s="8" t="inlineStr"/>
      <c r="I66" s="8" t="inlineStr"/>
      <c r="J66" s="8" t="inlineStr"/>
      <c r="K66" s="8" t="inlineStr"/>
      <c r="L66" s="8" t="inlineStr"/>
      <c r="M66" s="8" t="inlineStr"/>
      <c r="N66" s="8" t="inlineStr"/>
      <c r="O66" s="8" t="inlineStr"/>
      <c r="P66" s="8" t="inlineStr"/>
      <c r="Q66" s="8" t="inlineStr"/>
      <c r="R66" s="8" t="inlineStr"/>
      <c r="S66" s="8" t="inlineStr"/>
      <c r="T66" s="8" t="inlineStr"/>
      <c r="U66" s="8" t="inlineStr"/>
      <c r="V66" s="8" t="inlineStr"/>
    </row>
    <row r="67">
      <c r="A67" s="8" t="n">
        <v>4</v>
      </c>
      <c r="B67" s="8" t="inlineStr"/>
      <c r="C67" s="8" t="inlineStr"/>
      <c r="E67" s="8" t="inlineStr"/>
      <c r="F67" s="8" t="inlineStr"/>
      <c r="G67" s="8" t="inlineStr"/>
      <c r="H67" s="8" t="inlineStr"/>
      <c r="I67" s="8" t="inlineStr"/>
      <c r="J67" s="8" t="inlineStr"/>
      <c r="K67" s="8" t="inlineStr"/>
      <c r="L67" s="8" t="inlineStr"/>
      <c r="M67" s="8" t="inlineStr"/>
      <c r="N67" s="8" t="inlineStr"/>
      <c r="O67" s="8" t="inlineStr"/>
      <c r="P67" s="8" t="inlineStr"/>
      <c r="Q67" s="8" t="inlineStr"/>
      <c r="R67" s="8" t="inlineStr"/>
      <c r="S67" s="8" t="inlineStr"/>
      <c r="T67" s="8" t="inlineStr"/>
      <c r="U67" s="8" t="inlineStr"/>
      <c r="V67" s="8" t="inlineStr"/>
    </row>
    <row r="68">
      <c r="A68" s="8" t="n">
        <v>5</v>
      </c>
      <c r="B68" s="8" t="inlineStr"/>
      <c r="C68" s="8" t="inlineStr"/>
      <c r="E68" s="8" t="inlineStr"/>
      <c r="F68" s="8" t="inlineStr"/>
      <c r="G68" s="8" t="inlineStr"/>
      <c r="H68" s="8" t="inlineStr"/>
      <c r="I68" s="8" t="inlineStr"/>
      <c r="J68" s="8" t="inlineStr"/>
      <c r="K68" s="8" t="inlineStr"/>
      <c r="L68" s="8" t="inlineStr"/>
      <c r="M68" s="8" t="inlineStr"/>
      <c r="N68" s="8" t="inlineStr"/>
      <c r="O68" s="8" t="inlineStr"/>
      <c r="P68" s="8" t="inlineStr"/>
      <c r="Q68" s="8" t="inlineStr"/>
      <c r="R68" s="8" t="inlineStr"/>
      <c r="S68" s="8" t="inlineStr"/>
      <c r="T68" s="8" t="inlineStr"/>
      <c r="U68" s="8" t="inlineStr"/>
      <c r="V68" s="8" t="inlineStr"/>
    </row>
    <row r="69">
      <c r="A69" s="8" t="n">
        <v>6</v>
      </c>
      <c r="B69" s="8" t="inlineStr">
        <is>
          <t>M999</t>
        </is>
      </c>
      <c r="C69" s="8" t="inlineStr">
        <is>
          <t>Máy khác</t>
        </is>
      </c>
      <c r="E69" s="8" t="inlineStr">
        <is>
          <t>%</t>
        </is>
      </c>
      <c r="F69" s="8" t="inlineStr"/>
      <c r="G69" s="8" t="inlineStr"/>
      <c r="H69" s="8" t="inlineStr"/>
      <c r="I69" s="8" t="inlineStr"/>
      <c r="J69" s="8" t="inlineStr"/>
      <c r="K69" s="8" t="inlineStr"/>
      <c r="L69" s="8" t="inlineStr"/>
      <c r="M69" s="8" t="inlineStr"/>
      <c r="N69" s="8" t="inlineStr"/>
      <c r="O69" s="8" t="inlineStr"/>
      <c r="P69" s="8" t="inlineStr"/>
      <c r="Q69" s="8" t="inlineStr"/>
      <c r="R69" s="8" t="inlineStr"/>
      <c r="S69" s="8" t="inlineStr"/>
      <c r="T69" s="8" t="inlineStr"/>
      <c r="U69" s="8" t="inlineStr"/>
      <c r="V69" s="8" t="inlineStr"/>
    </row>
    <row r="70">
      <c r="A70" s="8" t="inlineStr"/>
      <c r="B70" s="8" t="inlineStr"/>
      <c r="C70" s="8" t="inlineStr">
        <is>
          <t>TỔNG MÁY THI CÔNG</t>
        </is>
      </c>
      <c r="E70" s="8" t="inlineStr"/>
      <c r="F70" s="8" t="inlineStr"/>
      <c r="G70" s="8" t="inlineStr"/>
      <c r="H70" s="8" t="inlineStr"/>
      <c r="I70" s="8" t="inlineStr"/>
      <c r="J70" s="8" t="inlineStr"/>
      <c r="K70" s="8" t="inlineStr"/>
      <c r="L70" s="8" t="inlineStr"/>
      <c r="M70" s="8" t="inlineStr"/>
      <c r="N70" s="8" t="inlineStr"/>
      <c r="O70" s="8" t="inlineStr"/>
      <c r="P70" s="8" t="inlineStr"/>
      <c r="Q70" s="8" t="inlineStr"/>
      <c r="R70" s="8" t="inlineStr"/>
      <c r="S70" s="8" t="inlineStr"/>
      <c r="T70" s="8" t="inlineStr"/>
      <c r="U70" s="8" t="inlineStr"/>
      <c r="V70" s="8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S54"/>
  <sheetViews>
    <sheetView workbookViewId="0">
      <selection activeCell="A1" sqref="A1"/>
    </sheetView>
  </sheetViews>
  <sheetFormatPr baseColWidth="8" defaultRowHeight="15"/>
  <cols>
    <col width="50" customWidth="1" min="1" max="1"/>
    <col width="13" customWidth="1" min="2" max="2"/>
    <col width="38" customWidth="1" min="3" max="3"/>
    <col width="38" customWidth="1" min="4" max="4"/>
    <col width="12" customWidth="1" min="5" max="5"/>
    <col width="22" customWidth="1" min="6" max="6"/>
    <col width="16" customWidth="1" min="7" max="7"/>
    <col width="17" customWidth="1" min="8" max="8"/>
    <col width="12" customWidth="1" min="9" max="9"/>
    <col width="37" customWidth="1" min="10" max="10"/>
    <col width="12" customWidth="1" min="11" max="11"/>
    <col width="17" customWidth="1" min="12" max="12"/>
    <col width="18" customWidth="1" min="13" max="13"/>
    <col width="13" customWidth="1" min="14" max="14"/>
    <col width="12" customWidth="1" min="15" max="15"/>
    <col width="17" customWidth="1" min="16" max="16"/>
    <col width="14" customWidth="1" min="17" max="17"/>
    <col width="26" customWidth="1" min="18" max="18"/>
    <col width="26" customWidth="1" min="19" max="19"/>
    <col width="26" customWidth="1" min="20" max="20"/>
    <col width="39" customWidth="1" min="21" max="21"/>
    <col width="24" customWidth="1" min="22" max="22"/>
    <col width="18" customWidth="1" min="23" max="23"/>
    <col width="23" customWidth="1" min="24" max="24"/>
    <col width="25" customWidth="1" min="25" max="25"/>
    <col width="27" customWidth="1" min="26" max="26"/>
    <col width="34" customWidth="1" min="27" max="27"/>
    <col width="39" customWidth="1" min="28" max="28"/>
    <col width="36" customWidth="1" min="29" max="29"/>
    <col width="37" customWidth="1" min="30" max="30"/>
    <col width="17" customWidth="1" min="31" max="31"/>
    <col width="38" customWidth="1" min="32" max="32"/>
    <col width="33" customWidth="1" min="33" max="33"/>
    <col width="39" customWidth="1" min="34" max="34"/>
    <col width="32" customWidth="1" min="35" max="35"/>
    <col width="33" customWidth="1" min="36" max="36"/>
    <col width="34" customWidth="1" min="37" max="37"/>
    <col width="25" customWidth="1" min="38" max="38"/>
    <col width="27" customWidth="1" min="39" max="39"/>
    <col width="25" customWidth="1" min="40" max="40"/>
    <col width="28" customWidth="1" min="41" max="41"/>
    <col width="34" customWidth="1" min="42" max="42"/>
    <col width="33" customWidth="1" min="43" max="43"/>
    <col width="29" customWidth="1" min="44" max="44"/>
    <col width="12" customWidth="1" min="45" max="45"/>
  </cols>
  <sheetData>
    <row r="1">
      <c r="A1" s="8" t="inlineStr">
        <is>
          <t>BẢNG CƯỚC VẬN CHUYỂN</t>
        </is>
      </c>
      <c r="B1" s="8" t="inlineStr"/>
      <c r="C1" s="8" t="inlineStr"/>
      <c r="E1" s="8" t="inlineStr"/>
      <c r="F1" s="8" t="inlineStr"/>
      <c r="G1" s="8" t="inlineStr"/>
      <c r="H1" s="8" t="inlineStr"/>
      <c r="I1" s="8" t="inlineStr"/>
      <c r="J1" s="8" t="inlineStr"/>
      <c r="K1" s="8" t="inlineStr"/>
      <c r="L1" s="8" t="inlineStr"/>
      <c r="M1" s="8" t="inlineStr"/>
      <c r="N1" s="8" t="inlineStr"/>
      <c r="O1" s="8" t="inlineStr"/>
      <c r="P1" s="8" t="inlineStr"/>
      <c r="Q1" s="8" t="inlineStr"/>
      <c r="R1" s="8" t="inlineStr"/>
      <c r="S1" s="8" t="inlineStr"/>
      <c r="T1" s="8" t="inlineStr"/>
      <c r="U1" s="8" t="inlineStr"/>
      <c r="V1" s="8" t="inlineStr"/>
      <c r="W1" s="8" t="inlineStr"/>
      <c r="X1" s="8" t="inlineStr"/>
      <c r="Y1" s="8" t="inlineStr"/>
      <c r="Z1" s="8" t="inlineStr"/>
      <c r="AA1" s="8" t="inlineStr"/>
      <c r="AB1" s="8" t="inlineStr"/>
      <c r="AC1" s="8" t="inlineStr"/>
      <c r="AD1" s="8" t="inlineStr"/>
      <c r="AE1" s="8" t="inlineStr"/>
      <c r="AF1" s="8" t="inlineStr"/>
      <c r="AG1" s="8" t="inlineStr"/>
      <c r="AH1" s="8" t="inlineStr"/>
      <c r="AI1" s="8" t="inlineStr"/>
      <c r="AJ1" s="8" t="inlineStr"/>
      <c r="AK1" s="8" t="inlineStr"/>
      <c r="AL1" s="8" t="inlineStr"/>
      <c r="AM1" s="8" t="inlineStr"/>
      <c r="AN1" s="8" t="inlineStr"/>
      <c r="AO1" s="8" t="inlineStr"/>
      <c r="AP1" s="8" t="inlineStr"/>
      <c r="AQ1" s="8" t="inlineStr"/>
      <c r="AR1" s="8" t="inlineStr"/>
      <c r="AS1" s="8" t="inlineStr"/>
    </row>
    <row r="2">
      <c r="A2" s="8" t="inlineStr">
        <is>
          <t>DỰ ÁN: XÂY DỰNG NHÀ Ở CHO LỰC LƯỢNG VŨ TRANG CÔNG AN NHÂN DÂN TẠI Ô ĐẤT NO1 THUỘC LÔ ĐẤT D12 KHU ĐÔ THỊ MỚI CẦU GIẤY,
 PHƯỜNG CẦU GIẤY, THÀNH PHỐ HÀ NỘI</t>
        </is>
      </c>
      <c r="B2" s="8" t="inlineStr"/>
      <c r="C2" s="8" t="inlineStr"/>
      <c r="E2" s="8" t="inlineStr"/>
      <c r="F2" s="8" t="inlineStr"/>
      <c r="G2" s="8" t="inlineStr"/>
      <c r="H2" s="8" t="inlineStr"/>
      <c r="I2" s="8" t="inlineStr"/>
      <c r="J2" s="8" t="inlineStr"/>
      <c r="K2" s="8" t="inlineStr"/>
      <c r="L2" s="8" t="inlineStr"/>
      <c r="M2" s="8" t="inlineStr"/>
      <c r="N2" s="8" t="inlineStr"/>
      <c r="O2" s="8" t="inlineStr"/>
      <c r="P2" s="8" t="inlineStr"/>
      <c r="Q2" s="8" t="inlineStr"/>
      <c r="R2" s="8" t="inlineStr"/>
      <c r="S2" s="8" t="inlineStr"/>
      <c r="T2" s="8" t="inlineStr"/>
      <c r="U2" s="8" t="inlineStr"/>
      <c r="V2" s="8" t="inlineStr"/>
      <c r="W2" s="8" t="inlineStr"/>
      <c r="X2" s="8" t="inlineStr"/>
      <c r="Y2" s="8" t="inlineStr"/>
      <c r="Z2" s="8" t="inlineStr"/>
      <c r="AA2" s="8" t="inlineStr"/>
      <c r="AB2" s="8" t="inlineStr"/>
      <c r="AC2" s="8" t="inlineStr"/>
      <c r="AD2" s="8" t="inlineStr"/>
      <c r="AE2" s="8" t="inlineStr"/>
      <c r="AF2" s="8" t="inlineStr"/>
      <c r="AG2" s="8" t="inlineStr"/>
      <c r="AH2" s="8" t="inlineStr"/>
      <c r="AI2" s="8" t="inlineStr"/>
      <c r="AJ2" s="8" t="inlineStr"/>
      <c r="AK2" s="8" t="inlineStr"/>
      <c r="AL2" s="8" t="inlineStr"/>
      <c r="AM2" s="8" t="inlineStr"/>
      <c r="AN2" s="8" t="inlineStr"/>
      <c r="AO2" s="8" t="inlineStr"/>
      <c r="AP2" s="8" t="inlineStr"/>
      <c r="AQ2" s="8" t="inlineStr"/>
      <c r="AR2" s="8" t="inlineStr"/>
      <c r="AS2" s="8" t="inlineStr"/>
    </row>
    <row r="3">
      <c r="A3" s="8" t="inlineStr"/>
      <c r="B3" s="8" t="inlineStr"/>
      <c r="C3" s="8" t="inlineStr"/>
      <c r="E3" s="8" t="inlineStr"/>
      <c r="F3" s="8" t="inlineStr"/>
      <c r="G3" s="8" t="inlineStr"/>
      <c r="H3" s="8" t="inlineStr"/>
      <c r="I3" s="8" t="inlineStr"/>
      <c r="J3" s="8" t="inlineStr"/>
      <c r="K3" s="8" t="inlineStr"/>
      <c r="L3" s="8" t="inlineStr"/>
      <c r="M3" s="8" t="inlineStr"/>
      <c r="N3" s="8" t="inlineStr"/>
      <c r="O3" s="8" t="inlineStr"/>
      <c r="P3" s="8" t="inlineStr"/>
      <c r="Q3" s="8" t="inlineStr"/>
      <c r="R3" s="8" t="inlineStr"/>
      <c r="S3" s="8" t="inlineStr"/>
      <c r="T3" s="8" t="inlineStr"/>
      <c r="U3" s="8" t="inlineStr"/>
      <c r="V3" s="8" t="inlineStr"/>
      <c r="W3" s="8" t="inlineStr"/>
      <c r="X3" s="8" t="inlineStr"/>
      <c r="Y3" s="8" t="inlineStr"/>
      <c r="Z3" s="8" t="inlineStr"/>
      <c r="AA3" s="8" t="inlineStr"/>
      <c r="AB3" s="8" t="inlineStr"/>
      <c r="AC3" s="8" t="inlineStr"/>
      <c r="AD3" s="8" t="inlineStr"/>
      <c r="AE3" s="8" t="inlineStr"/>
      <c r="AF3" s="8" t="inlineStr"/>
      <c r="AG3" s="8" t="inlineStr"/>
      <c r="AH3" s="8" t="inlineStr"/>
      <c r="AI3" s="8" t="inlineStr"/>
      <c r="AJ3" s="8" t="inlineStr"/>
      <c r="AK3" s="8" t="inlineStr"/>
      <c r="AL3" s="8" t="inlineStr"/>
      <c r="AM3" s="8" t="inlineStr"/>
      <c r="AN3" s="8" t="inlineStr"/>
      <c r="AO3" s="8" t="inlineStr"/>
      <c r="AP3" s="8" t="inlineStr"/>
      <c r="AQ3" s="8" t="inlineStr"/>
      <c r="AR3" s="8" t="inlineStr"/>
      <c r="AS3" s="8" t="inlineStr"/>
    </row>
    <row r="4">
      <c r="A4" s="8" t="inlineStr">
        <is>
          <t>STT</t>
        </is>
      </c>
      <c r="B4" s="8" t="inlineStr">
        <is>
          <t>Mã số</t>
        </is>
      </c>
      <c r="C4" s="8" t="inlineStr">
        <is>
          <t>Tên vật liệu
/
Diễn giải vận chuyển</t>
        </is>
      </c>
      <c r="D4" s="10" t="inlineStr">
        <is>
          <t>LINK TRA CỨU TT 38/2026/TT-BXD</t>
        </is>
      </c>
      <c r="E4" s="8" t="inlineStr">
        <is>
          <t>Đơn
vị</t>
        </is>
      </c>
      <c r="F4" s="8" t="inlineStr">
        <is>
          <t>Khối
lượng</t>
        </is>
      </c>
      <c r="G4" s="8" t="inlineStr">
        <is>
          <t>Nhóm vật liệu</t>
        </is>
      </c>
      <c r="H4" s="8" t="inlineStr">
        <is>
          <t>Quy
đổi
đơn
vị</t>
        </is>
      </c>
      <c r="I4" s="8" t="inlineStr">
        <is>
          <t>Nguồn
mua</t>
        </is>
      </c>
      <c r="J4" s="8" t="inlineStr">
        <is>
          <t>Phương
tiện
vận
chuyển
/ Loại
hình</t>
        </is>
      </c>
      <c r="K4" s="8" t="inlineStr">
        <is>
          <t>Bậc
hàng</t>
        </is>
      </c>
      <c r="L4" s="8" t="inlineStr">
        <is>
          <t>Hệ
số
bậc
hàng</t>
        </is>
      </c>
      <c r="M4" s="8" t="inlineStr">
        <is>
          <t>Cự
ly
tổng
(km)</t>
        </is>
      </c>
      <c r="N4" s="8" t="inlineStr">
        <is>
          <t>Cung
đường</t>
        </is>
      </c>
      <c r="O4" s="8" t="inlineStr"/>
      <c r="P4" s="8" t="inlineStr"/>
      <c r="Q4" s="8" t="inlineStr"/>
      <c r="R4" s="8" t="inlineStr">
        <is>
          <t>H.số
đổ
ben
hoặc
bốc
dỡ</t>
        </is>
      </c>
      <c r="S4" s="8" t="inlineStr">
        <is>
          <t>H.số
sử
dụng
xe
tải
nhỏ</t>
        </is>
      </c>
      <c r="T4" s="8" t="inlineStr">
        <is>
          <t>Định mức
ca máy
(ca/km)</t>
        </is>
      </c>
      <c r="U4" s="8" t="inlineStr">
        <is>
          <t>Định mức
ca máy
đã v/c
trước
(ca/km)</t>
        </is>
      </c>
      <c r="V4" s="8" t="inlineStr">
        <is>
          <t>Đơn giá
ca máy
(đ/ca)</t>
        </is>
      </c>
      <c r="W4" s="8" t="inlineStr">
        <is>
          <t>Giá cước
(đ/km)</t>
        </is>
      </c>
      <c r="X4" s="8" t="inlineStr">
        <is>
          <t>Cộng
thêm
cước
(đ/T)</t>
        </is>
      </c>
      <c r="Y4" s="8" t="inlineStr">
        <is>
          <t>Thành tiền
Chi phí
(đ)</t>
        </is>
      </c>
      <c r="Z4" s="8" t="inlineStr">
        <is>
          <t>Hệ
số
điều
chỉnh
cước
VC</t>
        </is>
      </c>
      <c r="AA4" s="8" t="inlineStr">
        <is>
          <t>Cước V/C
sau khi
điều
chỉnh
(đ)</t>
        </is>
      </c>
      <c r="AB4" s="8" t="inlineStr">
        <is>
          <t>Bốc xếp
+ vận
chuyển
bằng xe
ben
(đ)</t>
        </is>
      </c>
      <c r="AC4" s="8" t="inlineStr">
        <is>
          <t>Định
mức
bốc
lên
khi
trung
chuyển</t>
        </is>
      </c>
      <c r="AD4" s="8" t="inlineStr">
        <is>
          <t>Định
mức
dỡ
xuống
khi
trung
chuyển</t>
        </is>
      </c>
      <c r="AE4" s="8" t="inlineStr">
        <is>
          <t>Đơn giá
bốc dỡ</t>
        </is>
      </c>
      <c r="AF4" s="8" t="inlineStr">
        <is>
          <t>Chi phí
bốc dỡ
khi
trung
chuyển
(đ)</t>
        </is>
      </c>
      <c r="AG4" s="8" t="inlineStr">
        <is>
          <t>Hệ số
hao hụt
khi
trung
chuyển</t>
        </is>
      </c>
      <c r="AH4" s="8" t="inlineStr">
        <is>
          <t>Chi phí
hao hụt
khi
trung
chuyển
(đ)</t>
        </is>
      </c>
      <c r="AI4" s="8" t="inlineStr">
        <is>
          <t>Định
mức
bốc
lên
khi
bảo
quản</t>
        </is>
      </c>
      <c r="AJ4" s="8" t="inlineStr">
        <is>
          <t>Định
mức
dỡ
xuống
khi
bảo
quản</t>
        </is>
      </c>
      <c r="AK4" s="8" t="inlineStr">
        <is>
          <t>Chi phí
bốc dỡ
khi
bảo
quản
(đ)</t>
        </is>
      </c>
      <c r="AL4" s="8" t="inlineStr">
        <is>
          <t>Hệ
số
hao
hụt
bảo
quản</t>
        </is>
      </c>
      <c r="AM4" s="8" t="inlineStr">
        <is>
          <t>Chi phí
hao
hụt
bảo
quản</t>
        </is>
      </c>
      <c r="AN4" s="8" t="inlineStr">
        <is>
          <t>Giá V/C
trước
thuế
(đ)</t>
        </is>
      </c>
      <c r="AO4" s="8" t="inlineStr">
        <is>
          <t>Thành tiền
Vận chuyển
(đ)</t>
        </is>
      </c>
      <c r="AP4" s="8" t="inlineStr">
        <is>
          <t>Giá vật
liệu gốc
trước thuế
(đ)</t>
        </is>
      </c>
      <c r="AQ4" s="8" t="inlineStr">
        <is>
          <t>Giá hiện
trường
trước
thuế
(đ)</t>
        </is>
      </c>
      <c r="AR4" s="8" t="inlineStr">
        <is>
          <t>Thành tiền
hiện trường
(đ)</t>
        </is>
      </c>
      <c r="AS4" s="8" t="inlineStr"/>
    </row>
    <row r="5">
      <c r="A5" s="8" t="inlineStr"/>
      <c r="B5" s="8" t="inlineStr"/>
      <c r="C5" s="8" t="inlineStr"/>
      <c r="E5" s="8" t="inlineStr"/>
      <c r="F5" s="8" t="inlineStr"/>
      <c r="G5" s="8" t="inlineStr"/>
      <c r="H5" s="8" t="inlineStr"/>
      <c r="I5" s="8" t="inlineStr"/>
      <c r="J5" s="8" t="inlineStr"/>
      <c r="K5" s="8" t="inlineStr"/>
      <c r="L5" s="8" t="inlineStr"/>
      <c r="M5" s="8" t="inlineStr"/>
      <c r="N5" s="8" t="inlineStr">
        <is>
          <t>Cự
ly
(km)</t>
        </is>
      </c>
      <c r="O5" s="8" t="inlineStr">
        <is>
          <t>Loại
đg`</t>
        </is>
      </c>
      <c r="P5" s="8" t="inlineStr">
        <is>
          <t>Hệ
số
loại
đg`</t>
        </is>
      </c>
      <c r="Q5" s="8" t="inlineStr">
        <is>
          <t>Đã
v/c
(km)</t>
        </is>
      </c>
      <c r="R5" s="8" t="inlineStr"/>
      <c r="S5" s="8" t="inlineStr"/>
      <c r="T5" s="8" t="inlineStr"/>
      <c r="U5" s="8" t="inlineStr"/>
      <c r="V5" s="8" t="inlineStr"/>
      <c r="W5" s="8" t="inlineStr"/>
      <c r="X5" s="8" t="inlineStr"/>
      <c r="Y5" s="8" t="inlineStr"/>
      <c r="Z5" s="8" t="inlineStr"/>
      <c r="AA5" s="8" t="inlineStr"/>
      <c r="AB5" s="8" t="inlineStr"/>
      <c r="AC5" s="8" t="inlineStr"/>
      <c r="AD5" s="8" t="inlineStr"/>
      <c r="AE5" s="8" t="inlineStr"/>
      <c r="AF5" s="8" t="inlineStr"/>
      <c r="AG5" s="8" t="inlineStr"/>
      <c r="AH5" s="8" t="inlineStr"/>
      <c r="AI5" s="8" t="inlineStr"/>
      <c r="AJ5" s="8" t="inlineStr"/>
      <c r="AK5" s="8" t="inlineStr"/>
      <c r="AL5" s="8" t="inlineStr"/>
      <c r="AM5" s="8" t="inlineStr"/>
      <c r="AN5" s="8" t="inlineStr"/>
      <c r="AO5" s="8" t="inlineStr"/>
      <c r="AP5" s="8" t="inlineStr"/>
      <c r="AQ5" s="8" t="inlineStr"/>
      <c r="AR5" s="8" t="inlineStr"/>
      <c r="AS5" s="8" t="inlineStr"/>
    </row>
    <row r="6">
      <c r="A6" s="8" t="n">
        <v>1</v>
      </c>
      <c r="B6" s="8" t="inlineStr">
        <is>
          <t>A33.085203</t>
        </is>
      </c>
      <c r="C6" s="8" t="inlineStr">
        <is>
          <t>Bảo ôn ống đồng D12.7 dày 19mm</t>
        </is>
      </c>
      <c r="E6" s="8" t="inlineStr">
        <is>
          <t>m</t>
        </is>
      </c>
      <c r="F6" s="8" t="n">
        <v>50.25</v>
      </c>
      <c r="G6" s="8" t="inlineStr"/>
      <c r="H6" s="8" t="inlineStr"/>
      <c r="I6" s="8" t="inlineStr"/>
      <c r="J6" s="8" t="inlineStr">
        <is>
          <t>ô tô thùng 7T</t>
        </is>
      </c>
      <c r="K6" s="8" t="n">
        <v>1</v>
      </c>
      <c r="L6" s="8" t="n">
        <v>1</v>
      </c>
      <c r="M6" s="8" t="inlineStr"/>
      <c r="N6" s="8" t="inlineStr"/>
      <c r="O6" s="8" t="inlineStr"/>
      <c r="P6" s="8" t="n">
        <v>1</v>
      </c>
      <c r="Q6" s="8" t="inlineStr"/>
      <c r="R6" s="8" t="n">
        <v>1</v>
      </c>
      <c r="S6" s="8" t="n">
        <v>1</v>
      </c>
      <c r="T6" s="8" t="inlineStr"/>
      <c r="U6" s="8" t="inlineStr"/>
      <c r="V6" s="8" t="n">
        <v>1</v>
      </c>
      <c r="W6" s="8" t="n">
        <v>0</v>
      </c>
      <c r="X6" s="8" t="n">
        <v>0</v>
      </c>
      <c r="Y6" s="8" t="n">
        <v>0</v>
      </c>
      <c r="Z6" s="8" t="n">
        <v>1</v>
      </c>
      <c r="AA6" s="8" t="n">
        <v>0</v>
      </c>
      <c r="AB6" s="8" t="inlineStr"/>
      <c r="AC6" s="8" t="inlineStr"/>
      <c r="AD6" s="8" t="inlineStr"/>
      <c r="AE6" s="8" t="inlineStr"/>
      <c r="AF6" s="8" t="n">
        <v>0</v>
      </c>
      <c r="AG6" s="8" t="inlineStr"/>
      <c r="AH6" s="8" t="n">
        <v>0</v>
      </c>
      <c r="AI6" s="8" t="inlineStr"/>
      <c r="AJ6" s="8" t="inlineStr"/>
      <c r="AK6" s="8" t="n">
        <v>0</v>
      </c>
      <c r="AL6" s="8" t="inlineStr"/>
      <c r="AM6" s="8" t="n">
        <v>0</v>
      </c>
      <c r="AN6" s="8" t="n">
        <v>0</v>
      </c>
      <c r="AO6" s="8" t="n">
        <v>0</v>
      </c>
      <c r="AP6" s="8" t="n">
        <v>21000</v>
      </c>
      <c r="AQ6" s="8" t="n">
        <v>21000</v>
      </c>
      <c r="AR6" s="8" t="n">
        <v>1055250</v>
      </c>
      <c r="AS6" s="8" t="n">
        <v>1</v>
      </c>
    </row>
    <row r="7">
      <c r="A7" s="8" t="n">
        <v>2</v>
      </c>
      <c r="B7" s="8" t="inlineStr">
        <is>
          <t>A33.085204</t>
        </is>
      </c>
      <c r="C7" s="8" t="inlineStr">
        <is>
          <t>Bảo ôn ống đồng D15.9 dày 19mm</t>
        </is>
      </c>
      <c r="E7" s="8" t="inlineStr">
        <is>
          <t>m</t>
        </is>
      </c>
      <c r="F7" s="8" t="n">
        <v>2341.65</v>
      </c>
      <c r="G7" s="8" t="inlineStr"/>
      <c r="H7" s="8" t="inlineStr"/>
      <c r="I7" s="8" t="inlineStr"/>
      <c r="J7" s="8" t="inlineStr">
        <is>
          <t>ô tô thùng 7T</t>
        </is>
      </c>
      <c r="K7" s="8" t="n">
        <v>1</v>
      </c>
      <c r="L7" s="8" t="n">
        <v>1</v>
      </c>
      <c r="M7" s="8" t="inlineStr"/>
      <c r="N7" s="8" t="inlineStr"/>
      <c r="O7" s="8" t="inlineStr"/>
      <c r="P7" s="8" t="n">
        <v>1</v>
      </c>
      <c r="Q7" s="8" t="inlineStr"/>
      <c r="R7" s="8" t="n">
        <v>1</v>
      </c>
      <c r="S7" s="8" t="n">
        <v>1</v>
      </c>
      <c r="T7" s="8" t="inlineStr"/>
      <c r="U7" s="8" t="inlineStr"/>
      <c r="V7" s="8" t="n">
        <v>1</v>
      </c>
      <c r="W7" s="8" t="n">
        <v>0</v>
      </c>
      <c r="X7" s="8" t="n">
        <v>0</v>
      </c>
      <c r="Y7" s="8" t="n">
        <v>0</v>
      </c>
      <c r="Z7" s="8" t="n">
        <v>1</v>
      </c>
      <c r="AA7" s="8" t="n">
        <v>0</v>
      </c>
      <c r="AB7" s="8" t="inlineStr"/>
      <c r="AC7" s="8" t="inlineStr"/>
      <c r="AD7" s="8" t="inlineStr"/>
      <c r="AE7" s="8" t="inlineStr"/>
      <c r="AF7" s="8" t="n">
        <v>0</v>
      </c>
      <c r="AG7" s="8" t="inlineStr"/>
      <c r="AH7" s="8" t="n">
        <v>0</v>
      </c>
      <c r="AI7" s="8" t="inlineStr"/>
      <c r="AJ7" s="8" t="inlineStr"/>
      <c r="AK7" s="8" t="n">
        <v>0</v>
      </c>
      <c r="AL7" s="8" t="inlineStr"/>
      <c r="AM7" s="8" t="n">
        <v>0</v>
      </c>
      <c r="AN7" s="8" t="n">
        <v>0</v>
      </c>
      <c r="AO7" s="8" t="n">
        <v>0</v>
      </c>
      <c r="AP7" s="8" t="n">
        <v>22900</v>
      </c>
      <c r="AQ7" s="8" t="n">
        <v>22900</v>
      </c>
      <c r="AR7" s="8" t="n">
        <v>53623785</v>
      </c>
      <c r="AS7" s="8" t="n">
        <v>1</v>
      </c>
    </row>
    <row r="8">
      <c r="A8" s="8" t="n">
        <v>3</v>
      </c>
      <c r="B8" s="8" t="inlineStr">
        <is>
          <t>A33.085205</t>
        </is>
      </c>
      <c r="C8" s="8" t="inlineStr">
        <is>
          <t>Bảo ôn ống đồng D19.1 dày 19mm</t>
        </is>
      </c>
      <c r="E8" s="8" t="inlineStr">
        <is>
          <t>m</t>
        </is>
      </c>
      <c r="F8" s="8" t="n">
        <v>402</v>
      </c>
      <c r="G8" s="8" t="inlineStr"/>
      <c r="H8" s="8" t="inlineStr"/>
      <c r="I8" s="8" t="inlineStr"/>
      <c r="J8" s="8" t="inlineStr">
        <is>
          <t>ô tô thùng 7T</t>
        </is>
      </c>
      <c r="K8" s="8" t="n">
        <v>1</v>
      </c>
      <c r="L8" s="8" t="n">
        <v>1</v>
      </c>
      <c r="M8" s="8" t="inlineStr"/>
      <c r="N8" s="8" t="inlineStr"/>
      <c r="O8" s="8" t="inlineStr"/>
      <c r="P8" s="8" t="n">
        <v>1</v>
      </c>
      <c r="Q8" s="8" t="inlineStr"/>
      <c r="R8" s="8" t="n">
        <v>1</v>
      </c>
      <c r="S8" s="8" t="n">
        <v>1</v>
      </c>
      <c r="T8" s="8" t="inlineStr"/>
      <c r="U8" s="8" t="inlineStr"/>
      <c r="V8" s="8" t="n">
        <v>1</v>
      </c>
      <c r="W8" s="8" t="n">
        <v>0</v>
      </c>
      <c r="X8" s="8" t="n">
        <v>0</v>
      </c>
      <c r="Y8" s="8" t="n">
        <v>0</v>
      </c>
      <c r="Z8" s="8" t="n">
        <v>1</v>
      </c>
      <c r="AA8" s="8" t="n">
        <v>0</v>
      </c>
      <c r="AB8" s="8" t="inlineStr"/>
      <c r="AC8" s="8" t="inlineStr"/>
      <c r="AD8" s="8" t="inlineStr"/>
      <c r="AE8" s="8" t="inlineStr"/>
      <c r="AF8" s="8" t="n">
        <v>0</v>
      </c>
      <c r="AG8" s="8" t="inlineStr"/>
      <c r="AH8" s="8" t="n">
        <v>0</v>
      </c>
      <c r="AI8" s="8" t="inlineStr"/>
      <c r="AJ8" s="8" t="inlineStr"/>
      <c r="AK8" s="8" t="n">
        <v>0</v>
      </c>
      <c r="AL8" s="8" t="inlineStr"/>
      <c r="AM8" s="8" t="n">
        <v>0</v>
      </c>
      <c r="AN8" s="8" t="n">
        <v>0</v>
      </c>
      <c r="AO8" s="8" t="n">
        <v>0</v>
      </c>
      <c r="AP8" s="8" t="n">
        <v>25300</v>
      </c>
      <c r="AQ8" s="8" t="n">
        <v>25300</v>
      </c>
      <c r="AR8" s="8" t="n">
        <v>10170600</v>
      </c>
      <c r="AS8" s="8" t="n">
        <v>1</v>
      </c>
    </row>
    <row r="9">
      <c r="A9" s="8" t="n">
        <v>4</v>
      </c>
      <c r="B9" s="8" t="inlineStr">
        <is>
          <t>A33.085206</t>
        </is>
      </c>
      <c r="C9" s="8" t="inlineStr">
        <is>
          <t>Bảo ôn ống đồng D22.2 dày 19mm</t>
        </is>
      </c>
      <c r="E9" s="8" t="inlineStr">
        <is>
          <t>m</t>
        </is>
      </c>
      <c r="F9" s="8" t="n">
        <v>80.40000000000001</v>
      </c>
      <c r="G9" s="8" t="inlineStr"/>
      <c r="H9" s="8" t="inlineStr"/>
      <c r="I9" s="8" t="inlineStr"/>
      <c r="J9" s="8" t="inlineStr">
        <is>
          <t>ô tô thùng 7T</t>
        </is>
      </c>
      <c r="K9" s="8" t="n">
        <v>1</v>
      </c>
      <c r="L9" s="8" t="n">
        <v>1</v>
      </c>
      <c r="M9" s="8" t="inlineStr"/>
      <c r="N9" s="8" t="inlineStr"/>
      <c r="O9" s="8" t="inlineStr"/>
      <c r="P9" s="8" t="n">
        <v>1</v>
      </c>
      <c r="Q9" s="8" t="inlineStr"/>
      <c r="R9" s="8" t="n">
        <v>1</v>
      </c>
      <c r="S9" s="8" t="n">
        <v>1</v>
      </c>
      <c r="T9" s="8" t="inlineStr"/>
      <c r="U9" s="8" t="inlineStr"/>
      <c r="V9" s="8" t="n">
        <v>1</v>
      </c>
      <c r="W9" s="8" t="n">
        <v>0</v>
      </c>
      <c r="X9" s="8" t="n">
        <v>0</v>
      </c>
      <c r="Y9" s="8" t="n">
        <v>0</v>
      </c>
      <c r="Z9" s="8" t="n">
        <v>1</v>
      </c>
      <c r="AA9" s="8" t="n">
        <v>0</v>
      </c>
      <c r="AB9" s="8" t="inlineStr"/>
      <c r="AC9" s="8" t="inlineStr"/>
      <c r="AD9" s="8" t="inlineStr"/>
      <c r="AE9" s="8" t="inlineStr"/>
      <c r="AF9" s="8" t="n">
        <v>0</v>
      </c>
      <c r="AG9" s="8" t="inlineStr"/>
      <c r="AH9" s="8" t="n">
        <v>0</v>
      </c>
      <c r="AI9" s="8" t="inlineStr"/>
      <c r="AJ9" s="8" t="inlineStr"/>
      <c r="AK9" s="8" t="n">
        <v>0</v>
      </c>
      <c r="AL9" s="8" t="inlineStr"/>
      <c r="AM9" s="8" t="n">
        <v>0</v>
      </c>
      <c r="AN9" s="8" t="n">
        <v>0</v>
      </c>
      <c r="AO9" s="8" t="n">
        <v>0</v>
      </c>
      <c r="AP9" s="8" t="n">
        <v>27200</v>
      </c>
      <c r="AQ9" s="8" t="n">
        <v>27200</v>
      </c>
      <c r="AR9" s="8" t="n">
        <v>2186880</v>
      </c>
      <c r="AS9" s="8" t="n">
        <v>1</v>
      </c>
    </row>
    <row r="10">
      <c r="A10" s="8" t="n">
        <v>5</v>
      </c>
      <c r="B10" s="8" t="inlineStr">
        <is>
          <t>A33.085208</t>
        </is>
      </c>
      <c r="C10" s="8" t="inlineStr">
        <is>
          <t>Bảo ôn ống đồng D28.6 dày 19mm</t>
        </is>
      </c>
      <c r="E10" s="8" t="inlineStr">
        <is>
          <t>m</t>
        </is>
      </c>
      <c r="F10" s="8" t="n">
        <v>160.8</v>
      </c>
      <c r="G10" s="8" t="inlineStr"/>
      <c r="H10" s="8" t="inlineStr"/>
      <c r="I10" s="8" t="inlineStr"/>
      <c r="J10" s="8" t="inlineStr">
        <is>
          <t>ô tô thùng 7T</t>
        </is>
      </c>
      <c r="K10" s="8" t="n">
        <v>1</v>
      </c>
      <c r="L10" s="8" t="n">
        <v>1</v>
      </c>
      <c r="M10" s="8" t="inlineStr"/>
      <c r="N10" s="8" t="inlineStr"/>
      <c r="O10" s="8" t="inlineStr"/>
      <c r="P10" s="8" t="n">
        <v>1</v>
      </c>
      <c r="Q10" s="8" t="inlineStr"/>
      <c r="R10" s="8" t="n">
        <v>1</v>
      </c>
      <c r="S10" s="8" t="n">
        <v>1</v>
      </c>
      <c r="T10" s="8" t="inlineStr"/>
      <c r="U10" s="8" t="inlineStr"/>
      <c r="V10" s="8" t="n">
        <v>1</v>
      </c>
      <c r="W10" s="8" t="n">
        <v>0</v>
      </c>
      <c r="X10" s="8" t="n">
        <v>0</v>
      </c>
      <c r="Y10" s="8" t="n">
        <v>0</v>
      </c>
      <c r="Z10" s="8" t="n">
        <v>1</v>
      </c>
      <c r="AA10" s="8" t="n">
        <v>0</v>
      </c>
      <c r="AB10" s="8" t="inlineStr"/>
      <c r="AC10" s="8" t="inlineStr"/>
      <c r="AD10" s="8" t="inlineStr"/>
      <c r="AE10" s="8" t="inlineStr"/>
      <c r="AF10" s="8" t="n">
        <v>0</v>
      </c>
      <c r="AG10" s="8" t="inlineStr"/>
      <c r="AH10" s="8" t="n">
        <v>0</v>
      </c>
      <c r="AI10" s="8" t="inlineStr"/>
      <c r="AJ10" s="8" t="inlineStr"/>
      <c r="AK10" s="8" t="n">
        <v>0</v>
      </c>
      <c r="AL10" s="8" t="inlineStr"/>
      <c r="AM10" s="8" t="n">
        <v>0</v>
      </c>
      <c r="AN10" s="8" t="n">
        <v>0</v>
      </c>
      <c r="AO10" s="8" t="n">
        <v>0</v>
      </c>
      <c r="AP10" s="8" t="n">
        <v>33000</v>
      </c>
      <c r="AQ10" s="8" t="n">
        <v>33000</v>
      </c>
      <c r="AR10" s="8" t="n">
        <v>5306400</v>
      </c>
      <c r="AS10" s="8" t="n">
        <v>1</v>
      </c>
    </row>
    <row r="11">
      <c r="A11" s="8" t="n">
        <v>6</v>
      </c>
      <c r="B11" s="8" t="inlineStr">
        <is>
          <t>A33.085210</t>
        </is>
      </c>
      <c r="C11" s="8" t="inlineStr">
        <is>
          <t>Bảo ôn ống đồng D34.9 dày 19mm</t>
        </is>
      </c>
      <c r="E11" s="8" t="inlineStr">
        <is>
          <t>m</t>
        </is>
      </c>
      <c r="F11" s="8" t="n">
        <v>160.8</v>
      </c>
      <c r="G11" s="8" t="inlineStr"/>
      <c r="H11" s="8" t="inlineStr"/>
      <c r="I11" s="8" t="inlineStr"/>
      <c r="J11" s="8" t="inlineStr">
        <is>
          <t>ô tô thùng 7T</t>
        </is>
      </c>
      <c r="K11" s="8" t="n">
        <v>1</v>
      </c>
      <c r="L11" s="8" t="n">
        <v>1</v>
      </c>
      <c r="M11" s="8" t="inlineStr"/>
      <c r="N11" s="8" t="inlineStr"/>
      <c r="O11" s="8" t="inlineStr"/>
      <c r="P11" s="8" t="n">
        <v>1</v>
      </c>
      <c r="Q11" s="8" t="inlineStr"/>
      <c r="R11" s="8" t="n">
        <v>1</v>
      </c>
      <c r="S11" s="8" t="n">
        <v>1</v>
      </c>
      <c r="T11" s="8" t="inlineStr"/>
      <c r="U11" s="8" t="inlineStr"/>
      <c r="V11" s="8" t="n">
        <v>1</v>
      </c>
      <c r="W11" s="8" t="n">
        <v>0</v>
      </c>
      <c r="X11" s="8" t="n">
        <v>0</v>
      </c>
      <c r="Y11" s="8" t="n">
        <v>0</v>
      </c>
      <c r="Z11" s="8" t="n">
        <v>1</v>
      </c>
      <c r="AA11" s="8" t="n">
        <v>0</v>
      </c>
      <c r="AB11" s="8" t="inlineStr"/>
      <c r="AC11" s="8" t="inlineStr"/>
      <c r="AD11" s="8" t="inlineStr"/>
      <c r="AE11" s="8" t="inlineStr"/>
      <c r="AF11" s="8" t="n">
        <v>0</v>
      </c>
      <c r="AG11" s="8" t="inlineStr"/>
      <c r="AH11" s="8" t="n">
        <v>0</v>
      </c>
      <c r="AI11" s="8" t="inlineStr"/>
      <c r="AJ11" s="8" t="inlineStr"/>
      <c r="AK11" s="8" t="n">
        <v>0</v>
      </c>
      <c r="AL11" s="8" t="inlineStr"/>
      <c r="AM11" s="8" t="n">
        <v>0</v>
      </c>
      <c r="AN11" s="8" t="n">
        <v>0</v>
      </c>
      <c r="AO11" s="8" t="n">
        <v>0</v>
      </c>
      <c r="AP11" s="8" t="n">
        <v>41800</v>
      </c>
      <c r="AQ11" s="8" t="n">
        <v>41800</v>
      </c>
      <c r="AR11" s="8" t="n">
        <v>6721440</v>
      </c>
      <c r="AS11" s="8" t="n">
        <v>1</v>
      </c>
    </row>
    <row r="12">
      <c r="A12" s="8" t="n">
        <v>7</v>
      </c>
      <c r="B12" s="8" t="inlineStr">
        <is>
          <t>A33.085212</t>
        </is>
      </c>
      <c r="C12" s="8" t="inlineStr">
        <is>
          <t>Bảo ôn ống đồng D41.3 dày 19mm</t>
        </is>
      </c>
      <c r="E12" s="8" t="inlineStr">
        <is>
          <t>m</t>
        </is>
      </c>
      <c r="F12" s="8" t="n">
        <v>241.2</v>
      </c>
      <c r="G12" s="8" t="inlineStr"/>
      <c r="H12" s="8" t="inlineStr"/>
      <c r="I12" s="8" t="inlineStr"/>
      <c r="J12" s="8" t="inlineStr">
        <is>
          <t>ô tô thùng 7T</t>
        </is>
      </c>
      <c r="K12" s="8" t="n">
        <v>1</v>
      </c>
      <c r="L12" s="8" t="n">
        <v>1</v>
      </c>
      <c r="M12" s="8" t="inlineStr"/>
      <c r="N12" s="8" t="inlineStr"/>
      <c r="O12" s="8" t="inlineStr"/>
      <c r="P12" s="8" t="n">
        <v>1</v>
      </c>
      <c r="Q12" s="8" t="inlineStr"/>
      <c r="R12" s="8" t="n">
        <v>1</v>
      </c>
      <c r="S12" s="8" t="n">
        <v>1</v>
      </c>
      <c r="T12" s="8" t="inlineStr"/>
      <c r="U12" s="8" t="inlineStr"/>
      <c r="V12" s="8" t="n">
        <v>1</v>
      </c>
      <c r="W12" s="8" t="n">
        <v>0</v>
      </c>
      <c r="X12" s="8" t="n">
        <v>0</v>
      </c>
      <c r="Y12" s="8" t="n">
        <v>0</v>
      </c>
      <c r="Z12" s="8" t="n">
        <v>1</v>
      </c>
      <c r="AA12" s="8" t="n">
        <v>0</v>
      </c>
      <c r="AB12" s="8" t="inlineStr"/>
      <c r="AC12" s="8" t="inlineStr"/>
      <c r="AD12" s="8" t="inlineStr"/>
      <c r="AE12" s="8" t="inlineStr"/>
      <c r="AF12" s="8" t="n">
        <v>0</v>
      </c>
      <c r="AG12" s="8" t="inlineStr"/>
      <c r="AH12" s="8" t="n">
        <v>0</v>
      </c>
      <c r="AI12" s="8" t="inlineStr"/>
      <c r="AJ12" s="8" t="inlineStr"/>
      <c r="AK12" s="8" t="n">
        <v>0</v>
      </c>
      <c r="AL12" s="8" t="inlineStr"/>
      <c r="AM12" s="8" t="n">
        <v>0</v>
      </c>
      <c r="AN12" s="8" t="n">
        <v>0</v>
      </c>
      <c r="AO12" s="8" t="n">
        <v>0</v>
      </c>
      <c r="AP12" s="8" t="n">
        <v>48100</v>
      </c>
      <c r="AQ12" s="8" t="n">
        <v>48100</v>
      </c>
      <c r="AR12" s="8" t="n">
        <v>11601720</v>
      </c>
      <c r="AS12" s="8" t="n">
        <v>1</v>
      </c>
    </row>
    <row r="13">
      <c r="A13" s="8" t="n">
        <v>8</v>
      </c>
      <c r="B13" s="8" t="inlineStr">
        <is>
          <t>A33.085201</t>
        </is>
      </c>
      <c r="C13" s="8" t="inlineStr">
        <is>
          <t>Bảo ôn ống đồng D6.4 dày 19mm</t>
        </is>
      </c>
      <c r="E13" s="8" t="inlineStr">
        <is>
          <t>m</t>
        </is>
      </c>
      <c r="F13" s="8" t="n">
        <v>80.40000000000001</v>
      </c>
      <c r="G13" s="8" t="inlineStr"/>
      <c r="H13" s="8" t="inlineStr"/>
      <c r="I13" s="8" t="inlineStr"/>
      <c r="J13" s="8" t="inlineStr">
        <is>
          <t>ô tô thùng 7T</t>
        </is>
      </c>
      <c r="K13" s="8" t="n">
        <v>1</v>
      </c>
      <c r="L13" s="8" t="n">
        <v>1</v>
      </c>
      <c r="M13" s="8" t="inlineStr"/>
      <c r="N13" s="8" t="inlineStr"/>
      <c r="O13" s="8" t="inlineStr"/>
      <c r="P13" s="8" t="n">
        <v>1</v>
      </c>
      <c r="Q13" s="8" t="inlineStr"/>
      <c r="R13" s="8" t="n">
        <v>1</v>
      </c>
      <c r="S13" s="8" t="n">
        <v>1</v>
      </c>
      <c r="T13" s="8" t="inlineStr"/>
      <c r="U13" s="8" t="inlineStr"/>
      <c r="V13" s="8" t="n">
        <v>1</v>
      </c>
      <c r="W13" s="8" t="n">
        <v>0</v>
      </c>
      <c r="X13" s="8" t="n">
        <v>0</v>
      </c>
      <c r="Y13" s="8" t="n">
        <v>0</v>
      </c>
      <c r="Z13" s="8" t="n">
        <v>1</v>
      </c>
      <c r="AA13" s="8" t="n">
        <v>0</v>
      </c>
      <c r="AB13" s="8" t="inlineStr"/>
      <c r="AC13" s="8" t="inlineStr"/>
      <c r="AD13" s="8" t="inlineStr"/>
      <c r="AE13" s="8" t="inlineStr"/>
      <c r="AF13" s="8" t="n">
        <v>0</v>
      </c>
      <c r="AG13" s="8" t="inlineStr"/>
      <c r="AH13" s="8" t="n">
        <v>0</v>
      </c>
      <c r="AI13" s="8" t="inlineStr"/>
      <c r="AJ13" s="8" t="inlineStr"/>
      <c r="AK13" s="8" t="n">
        <v>0</v>
      </c>
      <c r="AL13" s="8" t="inlineStr"/>
      <c r="AM13" s="8" t="n">
        <v>0</v>
      </c>
      <c r="AN13" s="8" t="n">
        <v>0</v>
      </c>
      <c r="AO13" s="8" t="n">
        <v>0</v>
      </c>
      <c r="AP13" s="8" t="n">
        <v>17600</v>
      </c>
      <c r="AQ13" s="8" t="n">
        <v>17600</v>
      </c>
      <c r="AR13" s="8" t="n">
        <v>1415040</v>
      </c>
      <c r="AS13" s="8" t="n">
        <v>1</v>
      </c>
    </row>
    <row r="14">
      <c r="A14" s="8" t="n">
        <v>9</v>
      </c>
      <c r="B14" s="8" t="inlineStr">
        <is>
          <t>A33.085202</t>
        </is>
      </c>
      <c r="C14" s="8" t="inlineStr">
        <is>
          <t>Bảo ôn ống đồng D9.5 dày 19mm</t>
        </is>
      </c>
      <c r="E14" s="8" t="inlineStr">
        <is>
          <t>m</t>
        </is>
      </c>
      <c r="F14" s="8" t="n">
        <v>2351.7</v>
      </c>
      <c r="G14" s="8" t="inlineStr"/>
      <c r="H14" s="8" t="inlineStr"/>
      <c r="I14" s="8" t="inlineStr"/>
      <c r="J14" s="8" t="inlineStr">
        <is>
          <t>ô tô thùng 7T</t>
        </is>
      </c>
      <c r="K14" s="8" t="n">
        <v>1</v>
      </c>
      <c r="L14" s="8" t="n">
        <v>1</v>
      </c>
      <c r="M14" s="8" t="inlineStr"/>
      <c r="N14" s="8" t="inlineStr"/>
      <c r="O14" s="8" t="inlineStr"/>
      <c r="P14" s="8" t="n">
        <v>1</v>
      </c>
      <c r="Q14" s="8" t="inlineStr"/>
      <c r="R14" s="8" t="n">
        <v>1</v>
      </c>
      <c r="S14" s="8" t="n">
        <v>1</v>
      </c>
      <c r="T14" s="8" t="inlineStr"/>
      <c r="U14" s="8" t="inlineStr"/>
      <c r="V14" s="8" t="n">
        <v>1</v>
      </c>
      <c r="W14" s="8" t="n">
        <v>0</v>
      </c>
      <c r="X14" s="8" t="n">
        <v>0</v>
      </c>
      <c r="Y14" s="8" t="n">
        <v>0</v>
      </c>
      <c r="Z14" s="8" t="n">
        <v>1</v>
      </c>
      <c r="AA14" s="8" t="n">
        <v>0</v>
      </c>
      <c r="AB14" s="8" t="inlineStr"/>
      <c r="AC14" s="8" t="inlineStr"/>
      <c r="AD14" s="8" t="inlineStr"/>
      <c r="AE14" s="8" t="inlineStr"/>
      <c r="AF14" s="8" t="n">
        <v>0</v>
      </c>
      <c r="AG14" s="8" t="inlineStr"/>
      <c r="AH14" s="8" t="n">
        <v>0</v>
      </c>
      <c r="AI14" s="8" t="inlineStr"/>
      <c r="AJ14" s="8" t="inlineStr"/>
      <c r="AK14" s="8" t="n">
        <v>0</v>
      </c>
      <c r="AL14" s="8" t="inlineStr"/>
      <c r="AM14" s="8" t="n">
        <v>0</v>
      </c>
      <c r="AN14" s="8" t="n">
        <v>0</v>
      </c>
      <c r="AO14" s="8" t="n">
        <v>0</v>
      </c>
      <c r="AP14" s="8" t="n">
        <v>18500</v>
      </c>
      <c r="AQ14" s="8" t="n">
        <v>18500</v>
      </c>
      <c r="AR14" s="8" t="n">
        <v>43506450</v>
      </c>
      <c r="AS14" s="8" t="n">
        <v>1</v>
      </c>
    </row>
    <row r="15">
      <c r="A15" s="8" t="n">
        <v>10</v>
      </c>
      <c r="B15" s="8" t="inlineStr">
        <is>
          <t>A33.1140</t>
        </is>
      </c>
      <c r="C15" s="8" t="inlineStr">
        <is>
          <t>Bảo ôn ống uPVC D21 dày 13mm</t>
        </is>
      </c>
      <c r="E15" s="8" t="inlineStr">
        <is>
          <t>m</t>
        </is>
      </c>
      <c r="F15" s="8" t="n">
        <v>60.59999999999999</v>
      </c>
      <c r="G15" s="8" t="inlineStr"/>
      <c r="H15" s="8" t="inlineStr"/>
      <c r="I15" s="8" t="inlineStr"/>
      <c r="J15" s="8" t="inlineStr">
        <is>
          <t>ô tô thùng 7T</t>
        </is>
      </c>
      <c r="K15" s="8" t="n">
        <v>1</v>
      </c>
      <c r="L15" s="8" t="n">
        <v>1</v>
      </c>
      <c r="M15" s="8" t="inlineStr"/>
      <c r="N15" s="8" t="inlineStr"/>
      <c r="O15" s="8" t="inlineStr"/>
      <c r="P15" s="8" t="n">
        <v>1</v>
      </c>
      <c r="Q15" s="8" t="inlineStr"/>
      <c r="R15" s="8" t="n">
        <v>1</v>
      </c>
      <c r="S15" s="8" t="n">
        <v>1</v>
      </c>
      <c r="T15" s="8" t="inlineStr"/>
      <c r="U15" s="8" t="inlineStr"/>
      <c r="V15" s="8" t="n">
        <v>1</v>
      </c>
      <c r="W15" s="8" t="n">
        <v>0</v>
      </c>
      <c r="X15" s="8" t="n">
        <v>0</v>
      </c>
      <c r="Y15" s="8" t="n">
        <v>0</v>
      </c>
      <c r="Z15" s="8" t="n">
        <v>1</v>
      </c>
      <c r="AA15" s="8" t="n">
        <v>0</v>
      </c>
      <c r="AB15" s="8" t="inlineStr"/>
      <c r="AC15" s="8" t="inlineStr"/>
      <c r="AD15" s="8" t="inlineStr"/>
      <c r="AE15" s="8" t="inlineStr"/>
      <c r="AF15" s="8" t="n">
        <v>0</v>
      </c>
      <c r="AG15" s="8" t="inlineStr"/>
      <c r="AH15" s="8" t="n">
        <v>0</v>
      </c>
      <c r="AI15" s="8" t="inlineStr"/>
      <c r="AJ15" s="8" t="inlineStr"/>
      <c r="AK15" s="8" t="n">
        <v>0</v>
      </c>
      <c r="AL15" s="8" t="inlineStr"/>
      <c r="AM15" s="8" t="n">
        <v>0</v>
      </c>
      <c r="AN15" s="8" t="n">
        <v>0</v>
      </c>
      <c r="AO15" s="8" t="n">
        <v>0</v>
      </c>
      <c r="AP15" s="8" t="n">
        <v>16100</v>
      </c>
      <c r="AQ15" s="8" t="n">
        <v>16100</v>
      </c>
      <c r="AR15" s="8" t="n">
        <v>975660</v>
      </c>
      <c r="AS15" s="8" t="n">
        <v>1</v>
      </c>
    </row>
    <row r="16">
      <c r="A16" s="8" t="n">
        <v>11</v>
      </c>
      <c r="B16" s="8" t="inlineStr">
        <is>
          <t>A33.1140</t>
        </is>
      </c>
      <c r="C16" s="8" t="inlineStr">
        <is>
          <t>Bảo ôn ống uPVC D27 dày 13mm</t>
        </is>
      </c>
      <c r="E16" s="8" t="inlineStr">
        <is>
          <t>m</t>
        </is>
      </c>
      <c r="F16" s="8" t="n">
        <v>1777.6</v>
      </c>
      <c r="G16" s="8" t="inlineStr"/>
      <c r="H16" s="8" t="inlineStr"/>
      <c r="I16" s="8" t="inlineStr"/>
      <c r="J16" s="8" t="inlineStr">
        <is>
          <t>ô tô thùng 7T</t>
        </is>
      </c>
      <c r="K16" s="8" t="n">
        <v>1</v>
      </c>
      <c r="L16" s="8" t="n">
        <v>1</v>
      </c>
      <c r="M16" s="8" t="inlineStr"/>
      <c r="N16" s="8" t="inlineStr"/>
      <c r="O16" s="8" t="inlineStr"/>
      <c r="P16" s="8" t="n">
        <v>1</v>
      </c>
      <c r="Q16" s="8" t="inlineStr"/>
      <c r="R16" s="8" t="n">
        <v>1</v>
      </c>
      <c r="S16" s="8" t="n">
        <v>1</v>
      </c>
      <c r="T16" s="8" t="inlineStr"/>
      <c r="U16" s="8" t="inlineStr"/>
      <c r="V16" s="8" t="n">
        <v>1</v>
      </c>
      <c r="W16" s="8" t="n">
        <v>0</v>
      </c>
      <c r="X16" s="8" t="n">
        <v>0</v>
      </c>
      <c r="Y16" s="8" t="n">
        <v>0</v>
      </c>
      <c r="Z16" s="8" t="n">
        <v>1</v>
      </c>
      <c r="AA16" s="8" t="n">
        <v>0</v>
      </c>
      <c r="AB16" s="8" t="inlineStr"/>
      <c r="AC16" s="8" t="inlineStr"/>
      <c r="AD16" s="8" t="inlineStr"/>
      <c r="AE16" s="8" t="inlineStr"/>
      <c r="AF16" s="8" t="n">
        <v>0</v>
      </c>
      <c r="AG16" s="8" t="inlineStr"/>
      <c r="AH16" s="8" t="n">
        <v>0</v>
      </c>
      <c r="AI16" s="8" t="inlineStr"/>
      <c r="AJ16" s="8" t="inlineStr"/>
      <c r="AK16" s="8" t="n">
        <v>0</v>
      </c>
      <c r="AL16" s="8" t="inlineStr"/>
      <c r="AM16" s="8" t="n">
        <v>0</v>
      </c>
      <c r="AN16" s="8" t="n">
        <v>0</v>
      </c>
      <c r="AO16" s="8" t="n">
        <v>0</v>
      </c>
      <c r="AP16" s="8" t="n">
        <v>19500</v>
      </c>
      <c r="AQ16" s="8" t="n">
        <v>19500</v>
      </c>
      <c r="AR16" s="8" t="n">
        <v>34663200</v>
      </c>
      <c r="AS16" s="8" t="n">
        <v>1</v>
      </c>
    </row>
    <row r="17">
      <c r="A17" s="8" t="n">
        <v>12</v>
      </c>
      <c r="B17" s="8" t="inlineStr">
        <is>
          <t>A33.1140</t>
        </is>
      </c>
      <c r="C17" s="8" t="inlineStr">
        <is>
          <t>Bảo ôn ống uPVC D34 dày 13mm</t>
        </is>
      </c>
      <c r="E17" s="8" t="inlineStr">
        <is>
          <t>m</t>
        </is>
      </c>
      <c r="F17" s="8" t="n">
        <v>303</v>
      </c>
      <c r="G17" s="8" t="inlineStr"/>
      <c r="H17" s="8" t="inlineStr"/>
      <c r="I17" s="8" t="inlineStr"/>
      <c r="J17" s="8" t="inlineStr">
        <is>
          <t>ô tô thùng 7T</t>
        </is>
      </c>
      <c r="K17" s="8" t="n">
        <v>1</v>
      </c>
      <c r="L17" s="8" t="n">
        <v>1</v>
      </c>
      <c r="M17" s="8" t="inlineStr"/>
      <c r="N17" s="8" t="inlineStr"/>
      <c r="O17" s="8" t="inlineStr"/>
      <c r="P17" s="8" t="n">
        <v>1</v>
      </c>
      <c r="Q17" s="8" t="inlineStr"/>
      <c r="R17" s="8" t="n">
        <v>1</v>
      </c>
      <c r="S17" s="8" t="n">
        <v>1</v>
      </c>
      <c r="T17" s="8" t="inlineStr"/>
      <c r="U17" s="8" t="inlineStr"/>
      <c r="V17" s="8" t="n">
        <v>1</v>
      </c>
      <c r="W17" s="8" t="n">
        <v>0</v>
      </c>
      <c r="X17" s="8" t="n">
        <v>0</v>
      </c>
      <c r="Y17" s="8" t="n">
        <v>0</v>
      </c>
      <c r="Z17" s="8" t="n">
        <v>1</v>
      </c>
      <c r="AA17" s="8" t="n">
        <v>0</v>
      </c>
      <c r="AB17" s="8" t="inlineStr"/>
      <c r="AC17" s="8" t="inlineStr"/>
      <c r="AD17" s="8" t="inlineStr"/>
      <c r="AE17" s="8" t="inlineStr"/>
      <c r="AF17" s="8" t="n">
        <v>0</v>
      </c>
      <c r="AG17" s="8" t="inlineStr"/>
      <c r="AH17" s="8" t="n">
        <v>0</v>
      </c>
      <c r="AI17" s="8" t="inlineStr"/>
      <c r="AJ17" s="8" t="inlineStr"/>
      <c r="AK17" s="8" t="n">
        <v>0</v>
      </c>
      <c r="AL17" s="8" t="inlineStr"/>
      <c r="AM17" s="8" t="n">
        <v>0</v>
      </c>
      <c r="AN17" s="8" t="n">
        <v>0</v>
      </c>
      <c r="AO17" s="8" t="n">
        <v>0</v>
      </c>
      <c r="AP17" s="8" t="n">
        <v>22900</v>
      </c>
      <c r="AQ17" s="8" t="n">
        <v>22900</v>
      </c>
      <c r="AR17" s="8" t="n">
        <v>6938700</v>
      </c>
      <c r="AS17" s="8" t="n">
        <v>1</v>
      </c>
    </row>
    <row r="18">
      <c r="A18" s="8" t="n">
        <v>13</v>
      </c>
      <c r="B18" s="8" t="inlineStr">
        <is>
          <t>A33.1140</t>
        </is>
      </c>
      <c r="C18" s="8" t="inlineStr">
        <is>
          <t>Bảo ôn ống uPVC D42 dày 13mm</t>
        </is>
      </c>
      <c r="E18" s="8" t="inlineStr">
        <is>
          <t>m</t>
        </is>
      </c>
      <c r="F18" s="8" t="n">
        <v>303</v>
      </c>
      <c r="G18" s="8" t="inlineStr"/>
      <c r="H18" s="8" t="inlineStr"/>
      <c r="I18" s="8" t="inlineStr"/>
      <c r="J18" s="8" t="inlineStr">
        <is>
          <t>ô tô thùng 7T</t>
        </is>
      </c>
      <c r="K18" s="8" t="n">
        <v>1</v>
      </c>
      <c r="L18" s="8" t="n">
        <v>1</v>
      </c>
      <c r="M18" s="8" t="inlineStr"/>
      <c r="N18" s="8" t="inlineStr"/>
      <c r="O18" s="8" t="inlineStr"/>
      <c r="P18" s="8" t="n">
        <v>1</v>
      </c>
      <c r="Q18" s="8" t="inlineStr"/>
      <c r="R18" s="8" t="n">
        <v>1</v>
      </c>
      <c r="S18" s="8" t="n">
        <v>1</v>
      </c>
      <c r="T18" s="8" t="inlineStr"/>
      <c r="U18" s="8" t="inlineStr"/>
      <c r="V18" s="8" t="n">
        <v>1</v>
      </c>
      <c r="W18" s="8" t="n">
        <v>0</v>
      </c>
      <c r="X18" s="8" t="n">
        <v>0</v>
      </c>
      <c r="Y18" s="8" t="n">
        <v>0</v>
      </c>
      <c r="Z18" s="8" t="n">
        <v>1</v>
      </c>
      <c r="AA18" s="8" t="n">
        <v>0</v>
      </c>
      <c r="AB18" s="8" t="inlineStr"/>
      <c r="AC18" s="8" t="inlineStr"/>
      <c r="AD18" s="8" t="inlineStr"/>
      <c r="AE18" s="8" t="inlineStr"/>
      <c r="AF18" s="8" t="n">
        <v>0</v>
      </c>
      <c r="AG18" s="8" t="inlineStr"/>
      <c r="AH18" s="8" t="n">
        <v>0</v>
      </c>
      <c r="AI18" s="8" t="inlineStr"/>
      <c r="AJ18" s="8" t="inlineStr"/>
      <c r="AK18" s="8" t="n">
        <v>0</v>
      </c>
      <c r="AL18" s="8" t="inlineStr"/>
      <c r="AM18" s="8" t="n">
        <v>0</v>
      </c>
      <c r="AN18" s="8" t="n">
        <v>0</v>
      </c>
      <c r="AO18" s="8" t="n">
        <v>0</v>
      </c>
      <c r="AP18" s="8" t="n">
        <v>29200</v>
      </c>
      <c r="AQ18" s="8" t="n">
        <v>29200</v>
      </c>
      <c r="AR18" s="8" t="n">
        <v>8847600</v>
      </c>
      <c r="AS18" s="8" t="n">
        <v>1</v>
      </c>
    </row>
    <row r="19">
      <c r="A19" s="8" t="n">
        <v>14</v>
      </c>
      <c r="B19" s="8" t="inlineStr">
        <is>
          <t>A33.1140</t>
        </is>
      </c>
      <c r="C19" s="8" t="inlineStr">
        <is>
          <t>Bảo ôn ống uPVC D48 dày 13mm</t>
        </is>
      </c>
      <c r="E19" s="8" t="inlineStr">
        <is>
          <t>m</t>
        </is>
      </c>
      <c r="F19" s="8" t="n">
        <v>252.5</v>
      </c>
      <c r="G19" s="8" t="inlineStr"/>
      <c r="H19" s="8" t="inlineStr"/>
      <c r="I19" s="8" t="inlineStr"/>
      <c r="J19" s="8" t="inlineStr">
        <is>
          <t>ô tô thùng 7T</t>
        </is>
      </c>
      <c r="K19" s="8" t="n">
        <v>1</v>
      </c>
      <c r="L19" s="8" t="n">
        <v>1</v>
      </c>
      <c r="M19" s="8" t="inlineStr"/>
      <c r="N19" s="8" t="inlineStr"/>
      <c r="O19" s="8" t="inlineStr"/>
      <c r="P19" s="8" t="n">
        <v>1</v>
      </c>
      <c r="Q19" s="8" t="inlineStr"/>
      <c r="R19" s="8" t="n">
        <v>1</v>
      </c>
      <c r="S19" s="8" t="n">
        <v>1</v>
      </c>
      <c r="T19" s="8" t="inlineStr"/>
      <c r="U19" s="8" t="inlineStr"/>
      <c r="V19" s="8" t="n">
        <v>1</v>
      </c>
      <c r="W19" s="8" t="n">
        <v>0</v>
      </c>
      <c r="X19" s="8" t="n">
        <v>0</v>
      </c>
      <c r="Y19" s="8" t="n">
        <v>0</v>
      </c>
      <c r="Z19" s="8" t="n">
        <v>1</v>
      </c>
      <c r="AA19" s="8" t="n">
        <v>0</v>
      </c>
      <c r="AB19" s="8" t="inlineStr"/>
      <c r="AC19" s="8" t="inlineStr"/>
      <c r="AD19" s="8" t="inlineStr"/>
      <c r="AE19" s="8" t="inlineStr"/>
      <c r="AF19" s="8" t="n">
        <v>0</v>
      </c>
      <c r="AG19" s="8" t="inlineStr"/>
      <c r="AH19" s="8" t="n">
        <v>0</v>
      </c>
      <c r="AI19" s="8" t="inlineStr"/>
      <c r="AJ19" s="8" t="inlineStr"/>
      <c r="AK19" s="8" t="n">
        <v>0</v>
      </c>
      <c r="AL19" s="8" t="inlineStr"/>
      <c r="AM19" s="8" t="n">
        <v>0</v>
      </c>
      <c r="AN19" s="8" t="n">
        <v>0</v>
      </c>
      <c r="AO19" s="8" t="n">
        <v>0</v>
      </c>
      <c r="AP19" s="8" t="n">
        <v>32100</v>
      </c>
      <c r="AQ19" s="8" t="n">
        <v>32100</v>
      </c>
      <c r="AR19" s="8" t="n">
        <v>8105250</v>
      </c>
      <c r="AS19" s="8" t="n">
        <v>1</v>
      </c>
    </row>
    <row r="20">
      <c r="A20" s="8" t="n">
        <v>15</v>
      </c>
      <c r="B20" s="8" t="inlineStr">
        <is>
          <t>A33.1143</t>
        </is>
      </c>
      <c r="C20" s="8" t="inlineStr">
        <is>
          <t>Băng cuốn bảo ôn</t>
        </is>
      </c>
      <c r="E20" s="8" t="inlineStr">
        <is>
          <t>cuộn</t>
        </is>
      </c>
      <c r="F20" s="8" t="n">
        <v>1129.222</v>
      </c>
      <c r="G20" s="8" t="inlineStr"/>
      <c r="H20" s="8" t="inlineStr"/>
      <c r="I20" s="8" t="inlineStr"/>
      <c r="J20" s="8" t="inlineStr">
        <is>
          <t>ô tô thùng 7T</t>
        </is>
      </c>
      <c r="K20" s="8" t="n">
        <v>1</v>
      </c>
      <c r="L20" s="8" t="n">
        <v>1</v>
      </c>
      <c r="M20" s="8" t="inlineStr"/>
      <c r="N20" s="8" t="inlineStr"/>
      <c r="O20" s="8" t="inlineStr"/>
      <c r="P20" s="8" t="n">
        <v>1</v>
      </c>
      <c r="Q20" s="8" t="inlineStr"/>
      <c r="R20" s="8" t="n">
        <v>1</v>
      </c>
      <c r="S20" s="8" t="n">
        <v>1</v>
      </c>
      <c r="T20" s="8" t="inlineStr"/>
      <c r="U20" s="8" t="inlineStr"/>
      <c r="V20" s="8" t="n">
        <v>1</v>
      </c>
      <c r="W20" s="8" t="n">
        <v>0</v>
      </c>
      <c r="X20" s="8" t="n">
        <v>0</v>
      </c>
      <c r="Y20" s="8" t="n">
        <v>0</v>
      </c>
      <c r="Z20" s="8" t="n">
        <v>1</v>
      </c>
      <c r="AA20" s="8" t="n">
        <v>0</v>
      </c>
      <c r="AB20" s="8" t="inlineStr"/>
      <c r="AC20" s="8" t="inlineStr"/>
      <c r="AD20" s="8" t="inlineStr"/>
      <c r="AE20" s="8" t="inlineStr"/>
      <c r="AF20" s="8" t="n">
        <v>0</v>
      </c>
      <c r="AG20" s="8" t="inlineStr"/>
      <c r="AH20" s="8" t="n">
        <v>0</v>
      </c>
      <c r="AI20" s="8" t="inlineStr"/>
      <c r="AJ20" s="8" t="inlineStr"/>
      <c r="AK20" s="8" t="n">
        <v>0</v>
      </c>
      <c r="AL20" s="8" t="inlineStr"/>
      <c r="AM20" s="8" t="n">
        <v>0</v>
      </c>
      <c r="AN20" s="8" t="n">
        <v>0</v>
      </c>
      <c r="AO20" s="8" t="n">
        <v>0</v>
      </c>
      <c r="AP20" s="8" t="n">
        <v>15000</v>
      </c>
      <c r="AQ20" s="8" t="n">
        <v>15000</v>
      </c>
      <c r="AR20" s="8" t="n">
        <v>16938330</v>
      </c>
      <c r="AS20" s="8" t="n">
        <v>1</v>
      </c>
    </row>
    <row r="21">
      <c r="A21" s="8" t="n">
        <v>16</v>
      </c>
      <c r="B21" s="8" t="inlineStr">
        <is>
          <t>A33.0345</t>
        </is>
      </c>
      <c r="C21" s="8" t="inlineStr">
        <is>
          <t>Cồn rửa</t>
        </is>
      </c>
      <c r="E21" s="8" t="inlineStr">
        <is>
          <t>kg</t>
        </is>
      </c>
      <c r="F21" s="8" t="n">
        <v>3.919</v>
      </c>
      <c r="G21" s="8" t="inlineStr"/>
      <c r="H21" s="8" t="inlineStr"/>
      <c r="I21" s="8" t="inlineStr"/>
      <c r="J21" s="8" t="inlineStr">
        <is>
          <t>ô tô thùng 7T</t>
        </is>
      </c>
      <c r="K21" s="8" t="n">
        <v>1</v>
      </c>
      <c r="L21" s="8" t="n">
        <v>1</v>
      </c>
      <c r="M21" s="8" t="inlineStr"/>
      <c r="N21" s="8" t="inlineStr"/>
      <c r="O21" s="8" t="inlineStr"/>
      <c r="P21" s="8" t="n">
        <v>1</v>
      </c>
      <c r="Q21" s="8" t="inlineStr"/>
      <c r="R21" s="8" t="n">
        <v>1</v>
      </c>
      <c r="S21" s="8" t="n">
        <v>1</v>
      </c>
      <c r="T21" s="8" t="inlineStr"/>
      <c r="U21" s="8" t="inlineStr"/>
      <c r="V21" s="8" t="n">
        <v>1</v>
      </c>
      <c r="W21" s="8" t="n">
        <v>0</v>
      </c>
      <c r="X21" s="8" t="n">
        <v>0</v>
      </c>
      <c r="Y21" s="8" t="n">
        <v>0</v>
      </c>
      <c r="Z21" s="8" t="n">
        <v>1</v>
      </c>
      <c r="AA21" s="8" t="n">
        <v>0</v>
      </c>
      <c r="AB21" s="8" t="inlineStr"/>
      <c r="AC21" s="8" t="inlineStr"/>
      <c r="AD21" s="8" t="inlineStr"/>
      <c r="AE21" s="8" t="inlineStr"/>
      <c r="AF21" s="8" t="n">
        <v>0</v>
      </c>
      <c r="AG21" s="8" t="inlineStr"/>
      <c r="AH21" s="8" t="n">
        <v>0</v>
      </c>
      <c r="AI21" s="8" t="inlineStr"/>
      <c r="AJ21" s="8" t="inlineStr"/>
      <c r="AK21" s="8" t="n">
        <v>0</v>
      </c>
      <c r="AL21" s="8" t="inlineStr"/>
      <c r="AM21" s="8" t="n">
        <v>0</v>
      </c>
      <c r="AN21" s="8" t="n">
        <v>0</v>
      </c>
      <c r="AO21" s="8" t="n">
        <v>0</v>
      </c>
      <c r="AP21" s="8" t="n">
        <v>12000</v>
      </c>
      <c r="AQ21" s="8" t="n">
        <v>12000</v>
      </c>
      <c r="AR21" s="8" t="n">
        <v>47028</v>
      </c>
      <c r="AS21" s="8" t="n">
        <v>1</v>
      </c>
    </row>
    <row r="22">
      <c r="A22" s="8" t="n">
        <v>17</v>
      </c>
      <c r="B22" s="8" t="inlineStr">
        <is>
          <t>A33.0002</t>
        </is>
      </c>
      <c r="C22" s="8" t="inlineStr">
        <is>
          <t>Dầu các loại</t>
        </is>
      </c>
      <c r="E22" s="8" t="inlineStr">
        <is>
          <t>kg</t>
        </is>
      </c>
      <c r="F22" s="8" t="n">
        <v>11.4532</v>
      </c>
      <c r="G22" s="8" t="inlineStr"/>
      <c r="H22" s="8" t="inlineStr"/>
      <c r="I22" s="8" t="inlineStr"/>
      <c r="J22" s="8" t="inlineStr">
        <is>
          <t>ô tô tự đổ 7T</t>
        </is>
      </c>
      <c r="K22" s="8" t="n">
        <v>1</v>
      </c>
      <c r="L22" s="8" t="n">
        <v>1</v>
      </c>
      <c r="M22" s="8" t="inlineStr"/>
      <c r="N22" s="8" t="inlineStr"/>
      <c r="O22" s="8" t="inlineStr"/>
      <c r="P22" s="8" t="n">
        <v>1</v>
      </c>
      <c r="Q22" s="8" t="inlineStr"/>
      <c r="R22" s="8" t="n">
        <v>1</v>
      </c>
      <c r="S22" s="8" t="n">
        <v>1</v>
      </c>
      <c r="T22" s="8" t="inlineStr"/>
      <c r="U22" s="8" t="inlineStr"/>
      <c r="V22" s="8" t="n">
        <v>1</v>
      </c>
      <c r="W22" s="8" t="n">
        <v>0</v>
      </c>
      <c r="X22" s="8" t="n">
        <v>0</v>
      </c>
      <c r="Y22" s="8" t="n">
        <v>0</v>
      </c>
      <c r="Z22" s="8" t="n">
        <v>1</v>
      </c>
      <c r="AA22" s="8" t="n">
        <v>0</v>
      </c>
      <c r="AB22" s="8" t="inlineStr"/>
      <c r="AC22" s="8" t="inlineStr"/>
      <c r="AD22" s="8" t="inlineStr"/>
      <c r="AE22" s="8" t="inlineStr"/>
      <c r="AF22" s="8" t="n">
        <v>0</v>
      </c>
      <c r="AG22" s="8" t="inlineStr"/>
      <c r="AH22" s="8" t="n">
        <v>0</v>
      </c>
      <c r="AI22" s="8" t="inlineStr"/>
      <c r="AJ22" s="8" t="inlineStr"/>
      <c r="AK22" s="8" t="n">
        <v>0</v>
      </c>
      <c r="AL22" s="8" t="inlineStr"/>
      <c r="AM22" s="8" t="n">
        <v>0</v>
      </c>
      <c r="AN22" s="8" t="n">
        <v>0</v>
      </c>
      <c r="AO22" s="8" t="n">
        <v>0</v>
      </c>
      <c r="AP22" s="8" t="n">
        <v>100000</v>
      </c>
      <c r="AQ22" s="8" t="n">
        <v>100000</v>
      </c>
      <c r="AR22" s="8" t="n">
        <v>1145320</v>
      </c>
      <c r="AS22" s="8" t="n">
        <v>1</v>
      </c>
    </row>
    <row r="23">
      <c r="A23" s="8" t="n">
        <v>18</v>
      </c>
      <c r="B23" s="8" t="inlineStr">
        <is>
          <t>A33.0074</t>
        </is>
      </c>
      <c r="C23" s="8" t="inlineStr">
        <is>
          <t>Dây điện_Cu/PVC_2x(1x0.75)mm2</t>
        </is>
      </c>
      <c r="E23" s="8" t="inlineStr">
        <is>
          <t>m</t>
        </is>
      </c>
      <c r="F23" s="8" t="n">
        <v>1313</v>
      </c>
      <c r="G23" s="8" t="inlineStr"/>
      <c r="H23" s="8" t="inlineStr"/>
      <c r="I23" s="8" t="inlineStr"/>
      <c r="J23" s="8" t="inlineStr">
        <is>
          <t>ô tô tự đổ 7T</t>
        </is>
      </c>
      <c r="K23" s="8" t="n">
        <v>1</v>
      </c>
      <c r="L23" s="8" t="n">
        <v>1</v>
      </c>
      <c r="M23" s="8" t="inlineStr"/>
      <c r="N23" s="8" t="inlineStr"/>
      <c r="O23" s="8" t="inlineStr"/>
      <c r="P23" s="8" t="n">
        <v>1</v>
      </c>
      <c r="Q23" s="8" t="inlineStr"/>
      <c r="R23" s="8" t="n">
        <v>1</v>
      </c>
      <c r="S23" s="8" t="n">
        <v>1</v>
      </c>
      <c r="T23" s="8" t="inlineStr"/>
      <c r="U23" s="8" t="inlineStr"/>
      <c r="V23" s="8" t="n">
        <v>1</v>
      </c>
      <c r="W23" s="8" t="n">
        <v>0</v>
      </c>
      <c r="X23" s="8" t="n">
        <v>0</v>
      </c>
      <c r="Y23" s="8" t="n">
        <v>0</v>
      </c>
      <c r="Z23" s="8" t="n">
        <v>1</v>
      </c>
      <c r="AA23" s="8" t="n">
        <v>0</v>
      </c>
      <c r="AB23" s="8" t="inlineStr"/>
      <c r="AC23" s="8" t="inlineStr"/>
      <c r="AD23" s="8" t="inlineStr"/>
      <c r="AE23" s="8" t="inlineStr"/>
      <c r="AF23" s="8" t="n">
        <v>0</v>
      </c>
      <c r="AG23" s="8" t="inlineStr"/>
      <c r="AH23" s="8" t="n">
        <v>0</v>
      </c>
      <c r="AI23" s="8" t="inlineStr"/>
      <c r="AJ23" s="8" t="inlineStr"/>
      <c r="AK23" s="8" t="n">
        <v>0</v>
      </c>
      <c r="AL23" s="8" t="inlineStr"/>
      <c r="AM23" s="8" t="n">
        <v>0</v>
      </c>
      <c r="AN23" s="8" t="n">
        <v>0</v>
      </c>
      <c r="AO23" s="8" t="n">
        <v>0</v>
      </c>
      <c r="AP23" s="8" t="n">
        <v>8658</v>
      </c>
      <c r="AQ23" s="8" t="n">
        <v>8658</v>
      </c>
      <c r="AR23" s="8" t="n">
        <v>11367954</v>
      </c>
      <c r="AS23" s="8" t="n">
        <v>1</v>
      </c>
    </row>
    <row r="24">
      <c r="A24" s="8" t="n">
        <v>19</v>
      </c>
      <c r="B24" s="8" t="inlineStr">
        <is>
          <t>A33.0075</t>
        </is>
      </c>
      <c r="C24" s="8" t="inlineStr">
        <is>
          <t>Dây điện_Cu/PVC_2x(1x1.5)mm2</t>
        </is>
      </c>
      <c r="E24" s="8" t="inlineStr">
        <is>
          <t>m</t>
        </is>
      </c>
      <c r="F24" s="8" t="n">
        <v>4706.6</v>
      </c>
      <c r="G24" s="8" t="inlineStr"/>
      <c r="H24" s="8" t="inlineStr"/>
      <c r="I24" s="8" t="inlineStr"/>
      <c r="J24" s="8" t="inlineStr">
        <is>
          <t>ô tô tự đổ 7T</t>
        </is>
      </c>
      <c r="K24" s="8" t="n">
        <v>1</v>
      </c>
      <c r="L24" s="8" t="n">
        <v>1</v>
      </c>
      <c r="M24" s="8" t="inlineStr"/>
      <c r="N24" s="8" t="inlineStr"/>
      <c r="O24" s="8" t="inlineStr"/>
      <c r="P24" s="8" t="n">
        <v>1</v>
      </c>
      <c r="Q24" s="8" t="inlineStr"/>
      <c r="R24" s="8" t="n">
        <v>1</v>
      </c>
      <c r="S24" s="8" t="n">
        <v>1</v>
      </c>
      <c r="T24" s="8" t="inlineStr"/>
      <c r="U24" s="8" t="inlineStr"/>
      <c r="V24" s="8" t="n">
        <v>1</v>
      </c>
      <c r="W24" s="8" t="n">
        <v>0</v>
      </c>
      <c r="X24" s="8" t="n">
        <v>0</v>
      </c>
      <c r="Y24" s="8" t="n">
        <v>0</v>
      </c>
      <c r="Z24" s="8" t="n">
        <v>1</v>
      </c>
      <c r="AA24" s="8" t="n">
        <v>0</v>
      </c>
      <c r="AB24" s="8" t="inlineStr"/>
      <c r="AC24" s="8" t="inlineStr"/>
      <c r="AD24" s="8" t="inlineStr"/>
      <c r="AE24" s="8" t="inlineStr"/>
      <c r="AF24" s="8" t="n">
        <v>0</v>
      </c>
      <c r="AG24" s="8" t="inlineStr"/>
      <c r="AH24" s="8" t="n">
        <v>0</v>
      </c>
      <c r="AI24" s="8" t="inlineStr"/>
      <c r="AJ24" s="8" t="inlineStr"/>
      <c r="AK24" s="8" t="n">
        <v>0</v>
      </c>
      <c r="AL24" s="8" t="inlineStr"/>
      <c r="AM24" s="8" t="n">
        <v>0</v>
      </c>
      <c r="AN24" s="8" t="n">
        <v>0</v>
      </c>
      <c r="AO24" s="8" t="n">
        <v>0</v>
      </c>
      <c r="AP24" s="8" t="n">
        <v>15055</v>
      </c>
      <c r="AQ24" s="8" t="n">
        <v>15055</v>
      </c>
      <c r="AR24" s="8" t="n">
        <v>70857863</v>
      </c>
      <c r="AS24" s="8" t="n">
        <v>1</v>
      </c>
    </row>
    <row r="25">
      <c r="A25" s="8" t="n">
        <v>20</v>
      </c>
      <c r="B25" s="8" t="inlineStr">
        <is>
          <t>A33.0075</t>
        </is>
      </c>
      <c r="C25" s="8" t="inlineStr">
        <is>
          <t>Dây điện_Cu/PVC_2x(1x2.5)mm2</t>
        </is>
      </c>
      <c r="E25" s="8" t="inlineStr">
        <is>
          <t>m</t>
        </is>
      </c>
      <c r="F25" s="8" t="n">
        <v>4706.6</v>
      </c>
      <c r="G25" s="8" t="inlineStr"/>
      <c r="H25" s="8" t="inlineStr"/>
      <c r="I25" s="8" t="inlineStr"/>
      <c r="J25" s="8" t="inlineStr">
        <is>
          <t>ô tô tự đổ 7T</t>
        </is>
      </c>
      <c r="K25" s="8" t="n">
        <v>1</v>
      </c>
      <c r="L25" s="8" t="n">
        <v>1</v>
      </c>
      <c r="M25" s="8" t="inlineStr"/>
      <c r="N25" s="8" t="inlineStr"/>
      <c r="O25" s="8" t="inlineStr"/>
      <c r="P25" s="8" t="n">
        <v>1</v>
      </c>
      <c r="Q25" s="8" t="inlineStr"/>
      <c r="R25" s="8" t="n">
        <v>1</v>
      </c>
      <c r="S25" s="8" t="n">
        <v>1</v>
      </c>
      <c r="T25" s="8" t="inlineStr"/>
      <c r="U25" s="8" t="inlineStr"/>
      <c r="V25" s="8" t="n">
        <v>1</v>
      </c>
      <c r="W25" s="8" t="n">
        <v>0</v>
      </c>
      <c r="X25" s="8" t="n">
        <v>0</v>
      </c>
      <c r="Y25" s="8" t="n">
        <v>0</v>
      </c>
      <c r="Z25" s="8" t="n">
        <v>1</v>
      </c>
      <c r="AA25" s="8" t="n">
        <v>0</v>
      </c>
      <c r="AB25" s="8" t="inlineStr"/>
      <c r="AC25" s="8" t="inlineStr"/>
      <c r="AD25" s="8" t="inlineStr"/>
      <c r="AE25" s="8" t="inlineStr"/>
      <c r="AF25" s="8" t="n">
        <v>0</v>
      </c>
      <c r="AG25" s="8" t="inlineStr"/>
      <c r="AH25" s="8" t="n">
        <v>0</v>
      </c>
      <c r="AI25" s="8" t="inlineStr"/>
      <c r="AJ25" s="8" t="inlineStr"/>
      <c r="AK25" s="8" t="n">
        <v>0</v>
      </c>
      <c r="AL25" s="8" t="inlineStr"/>
      <c r="AM25" s="8" t="n">
        <v>0</v>
      </c>
      <c r="AN25" s="8" t="n">
        <v>0</v>
      </c>
      <c r="AO25" s="8" t="n">
        <v>0</v>
      </c>
      <c r="AP25" s="8" t="n">
        <v>24591</v>
      </c>
      <c r="AQ25" s="8" t="n">
        <v>24591</v>
      </c>
      <c r="AR25" s="8" t="n">
        <v>115740001</v>
      </c>
      <c r="AS25" s="8" t="n">
        <v>1</v>
      </c>
    </row>
    <row r="26">
      <c r="A26" s="8" t="n">
        <v>21</v>
      </c>
      <c r="B26" s="8" t="inlineStr">
        <is>
          <t>A33.0075</t>
        </is>
      </c>
      <c r="C26" s="8" t="inlineStr">
        <is>
          <t>Dây điện_Cu/PVC_2x(1x4.0)mm2</t>
        </is>
      </c>
      <c r="E26" s="8" t="inlineStr">
        <is>
          <t>m</t>
        </is>
      </c>
      <c r="F26" s="8" t="n">
        <v>4040</v>
      </c>
      <c r="G26" s="8" t="inlineStr"/>
      <c r="H26" s="8" t="inlineStr"/>
      <c r="I26" s="8" t="inlineStr"/>
      <c r="J26" s="8" t="inlineStr">
        <is>
          <t>ô tô tự đổ 7T</t>
        </is>
      </c>
      <c r="K26" s="8" t="n">
        <v>1</v>
      </c>
      <c r="L26" s="8" t="n">
        <v>1</v>
      </c>
      <c r="M26" s="8" t="inlineStr"/>
      <c r="N26" s="8" t="inlineStr"/>
      <c r="O26" s="8" t="inlineStr"/>
      <c r="P26" s="8" t="n">
        <v>1</v>
      </c>
      <c r="Q26" s="8" t="inlineStr"/>
      <c r="R26" s="8" t="n">
        <v>1</v>
      </c>
      <c r="S26" s="8" t="n">
        <v>1</v>
      </c>
      <c r="T26" s="8" t="inlineStr"/>
      <c r="U26" s="8" t="inlineStr"/>
      <c r="V26" s="8" t="n">
        <v>1</v>
      </c>
      <c r="W26" s="8" t="n">
        <v>0</v>
      </c>
      <c r="X26" s="8" t="n">
        <v>0</v>
      </c>
      <c r="Y26" s="8" t="n">
        <v>0</v>
      </c>
      <c r="Z26" s="8" t="n">
        <v>1</v>
      </c>
      <c r="AA26" s="8" t="n">
        <v>0</v>
      </c>
      <c r="AB26" s="8" t="inlineStr"/>
      <c r="AC26" s="8" t="inlineStr"/>
      <c r="AD26" s="8" t="inlineStr"/>
      <c r="AE26" s="8" t="inlineStr"/>
      <c r="AF26" s="8" t="n">
        <v>0</v>
      </c>
      <c r="AG26" s="8" t="inlineStr"/>
      <c r="AH26" s="8" t="n">
        <v>0</v>
      </c>
      <c r="AI26" s="8" t="inlineStr"/>
      <c r="AJ26" s="8" t="inlineStr"/>
      <c r="AK26" s="8" t="n">
        <v>0</v>
      </c>
      <c r="AL26" s="8" t="inlineStr"/>
      <c r="AM26" s="8" t="n">
        <v>0</v>
      </c>
      <c r="AN26" s="8" t="n">
        <v>0</v>
      </c>
      <c r="AO26" s="8" t="n">
        <v>0</v>
      </c>
      <c r="AP26" s="8" t="n">
        <v>39292</v>
      </c>
      <c r="AQ26" s="8" t="n">
        <v>39292</v>
      </c>
      <c r="AR26" s="8" t="n">
        <v>158739680</v>
      </c>
      <c r="AS26" s="8" t="n">
        <v>1</v>
      </c>
    </row>
    <row r="27">
      <c r="A27" s="8" t="n">
        <v>22</v>
      </c>
      <c r="B27" s="8" t="inlineStr">
        <is>
          <t>A33.0107</t>
        </is>
      </c>
      <c r="C27" s="8" t="inlineStr">
        <is>
          <t>Đá mài, cắt</t>
        </is>
      </c>
      <c r="E27" s="8" t="inlineStr">
        <is>
          <t>viên</t>
        </is>
      </c>
      <c r="F27" s="8" t="n">
        <v>4.8772</v>
      </c>
      <c r="G27" s="8" t="inlineStr"/>
      <c r="H27" s="8" t="inlineStr"/>
      <c r="I27" s="8" t="inlineStr"/>
      <c r="J27" s="8" t="inlineStr">
        <is>
          <t>ô tô tự đổ 7T</t>
        </is>
      </c>
      <c r="K27" s="8" t="n">
        <v>1</v>
      </c>
      <c r="L27" s="8" t="n">
        <v>1</v>
      </c>
      <c r="M27" s="8" t="inlineStr"/>
      <c r="N27" s="8" t="inlineStr"/>
      <c r="O27" s="8" t="inlineStr"/>
      <c r="P27" s="8" t="n">
        <v>1</v>
      </c>
      <c r="Q27" s="8" t="inlineStr"/>
      <c r="R27" s="8" t="n">
        <v>1</v>
      </c>
      <c r="S27" s="8" t="n">
        <v>1</v>
      </c>
      <c r="T27" s="8" t="inlineStr"/>
      <c r="U27" s="8" t="inlineStr"/>
      <c r="V27" s="8" t="n">
        <v>1</v>
      </c>
      <c r="W27" s="8" t="n">
        <v>0</v>
      </c>
      <c r="X27" s="8" t="n">
        <v>0</v>
      </c>
      <c r="Y27" s="8" t="n">
        <v>0</v>
      </c>
      <c r="Z27" s="8" t="n">
        <v>1</v>
      </c>
      <c r="AA27" s="8" t="n">
        <v>0</v>
      </c>
      <c r="AB27" s="8" t="inlineStr"/>
      <c r="AC27" s="8" t="inlineStr"/>
      <c r="AD27" s="8" t="inlineStr"/>
      <c r="AE27" s="8" t="inlineStr"/>
      <c r="AF27" s="8" t="n">
        <v>0</v>
      </c>
      <c r="AG27" s="8" t="inlineStr"/>
      <c r="AH27" s="8" t="n">
        <v>0</v>
      </c>
      <c r="AI27" s="8" t="inlineStr"/>
      <c r="AJ27" s="8" t="inlineStr"/>
      <c r="AK27" s="8" t="n">
        <v>0</v>
      </c>
      <c r="AL27" s="8" t="inlineStr"/>
      <c r="AM27" s="8" t="n">
        <v>0</v>
      </c>
      <c r="AN27" s="8" t="n">
        <v>0</v>
      </c>
      <c r="AO27" s="8" t="n">
        <v>0</v>
      </c>
      <c r="AP27" s="8" t="n">
        <v>20000</v>
      </c>
      <c r="AQ27" s="8" t="n">
        <v>20000</v>
      </c>
      <c r="AR27" s="8" t="n">
        <v>97544</v>
      </c>
      <c r="AS27" s="8" t="n">
        <v>1</v>
      </c>
    </row>
    <row r="28">
      <c r="A28" s="8" t="n">
        <v>23</v>
      </c>
      <c r="B28" s="8" t="inlineStr">
        <is>
          <t>A33.0008</t>
        </is>
      </c>
      <c r="C28" s="8" t="inlineStr">
        <is>
          <t>Đồng lá</t>
        </is>
      </c>
      <c r="E28" s="8" t="inlineStr">
        <is>
          <t>kg</t>
        </is>
      </c>
      <c r="F28" s="8" t="n">
        <v>0.3014</v>
      </c>
      <c r="G28" s="8" t="inlineStr"/>
      <c r="H28" s="8" t="inlineStr"/>
      <c r="I28" s="8" t="inlineStr"/>
      <c r="J28" s="8" t="inlineStr">
        <is>
          <t>ô tô thùng 7T</t>
        </is>
      </c>
      <c r="K28" s="8" t="n">
        <v>1</v>
      </c>
      <c r="L28" s="8" t="n">
        <v>1</v>
      </c>
      <c r="M28" s="8" t="inlineStr"/>
      <c r="N28" s="8" t="inlineStr"/>
      <c r="O28" s="8" t="inlineStr"/>
      <c r="P28" s="8" t="n">
        <v>1</v>
      </c>
      <c r="Q28" s="8" t="inlineStr"/>
      <c r="R28" s="8" t="n">
        <v>1</v>
      </c>
      <c r="S28" s="8" t="n">
        <v>1</v>
      </c>
      <c r="T28" s="8" t="inlineStr"/>
      <c r="U28" s="8" t="inlineStr"/>
      <c r="V28" s="8" t="n">
        <v>1</v>
      </c>
      <c r="W28" s="8" t="n">
        <v>0</v>
      </c>
      <c r="X28" s="8" t="n">
        <v>0</v>
      </c>
      <c r="Y28" s="8" t="n">
        <v>0</v>
      </c>
      <c r="Z28" s="8" t="n">
        <v>1</v>
      </c>
      <c r="AA28" s="8" t="n">
        <v>0</v>
      </c>
      <c r="AB28" s="8" t="inlineStr"/>
      <c r="AC28" s="8" t="inlineStr"/>
      <c r="AD28" s="8" t="inlineStr"/>
      <c r="AE28" s="8" t="inlineStr"/>
      <c r="AF28" s="8" t="n">
        <v>0</v>
      </c>
      <c r="AG28" s="8" t="inlineStr"/>
      <c r="AH28" s="8" t="n">
        <v>0</v>
      </c>
      <c r="AI28" s="8" t="inlineStr"/>
      <c r="AJ28" s="8" t="inlineStr"/>
      <c r="AK28" s="8" t="n">
        <v>0</v>
      </c>
      <c r="AL28" s="8" t="inlineStr"/>
      <c r="AM28" s="8" t="n">
        <v>0</v>
      </c>
      <c r="AN28" s="8" t="n">
        <v>0</v>
      </c>
      <c r="AO28" s="8" t="n">
        <v>0</v>
      </c>
      <c r="AP28" s="8" t="n">
        <v>350000</v>
      </c>
      <c r="AQ28" s="8" t="n">
        <v>350000</v>
      </c>
      <c r="AR28" s="8" t="n">
        <v>105490</v>
      </c>
      <c r="AS28" s="8" t="n">
        <v>1</v>
      </c>
    </row>
    <row r="29">
      <c r="A29" s="8" t="n">
        <v>24</v>
      </c>
      <c r="B29" s="8" t="inlineStr">
        <is>
          <t>A33.0007</t>
        </is>
      </c>
      <c r="C29" s="8" t="inlineStr">
        <is>
          <t>Gỗ nhóm 4</t>
        </is>
      </c>
      <c r="E29" s="8" t="inlineStr">
        <is>
          <t>m3</t>
        </is>
      </c>
      <c r="F29" s="8" t="n">
        <v>0.07672000000000001</v>
      </c>
      <c r="G29" s="8" t="inlineStr">
        <is>
          <t>Gỗ các loại</t>
        </is>
      </c>
      <c r="H29" s="8" t="n">
        <v>0.91</v>
      </c>
      <c r="I29" s="8" t="inlineStr"/>
      <c r="J29" s="8" t="inlineStr">
        <is>
          <t>ô tô thùng 7T</t>
        </is>
      </c>
      <c r="K29" s="8" t="n">
        <v>1</v>
      </c>
      <c r="L29" s="8" t="n">
        <v>1</v>
      </c>
      <c r="M29" s="8" t="inlineStr"/>
      <c r="N29" s="8" t="inlineStr"/>
      <c r="O29" s="8" t="inlineStr"/>
      <c r="P29" s="8" t="n">
        <v>1</v>
      </c>
      <c r="Q29" s="8" t="inlineStr"/>
      <c r="R29" s="8" t="n">
        <v>1</v>
      </c>
      <c r="S29" s="8" t="n">
        <v>1</v>
      </c>
      <c r="T29" s="8" t="inlineStr"/>
      <c r="U29" s="8" t="inlineStr"/>
      <c r="V29" s="8" t="n">
        <v>1</v>
      </c>
      <c r="W29" s="8" t="n">
        <v>0</v>
      </c>
      <c r="X29" s="8" t="n">
        <v>0</v>
      </c>
      <c r="Y29" s="8" t="n">
        <v>0</v>
      </c>
      <c r="Z29" s="8" t="n">
        <v>1</v>
      </c>
      <c r="AA29" s="8" t="n">
        <v>0</v>
      </c>
      <c r="AB29" s="8" t="inlineStr"/>
      <c r="AC29" s="8" t="inlineStr"/>
      <c r="AD29" s="8" t="inlineStr"/>
      <c r="AE29" s="8" t="inlineStr"/>
      <c r="AF29" s="8" t="n">
        <v>0</v>
      </c>
      <c r="AG29" s="8" t="inlineStr"/>
      <c r="AH29" s="8" t="n">
        <v>0</v>
      </c>
      <c r="AI29" s="8" t="inlineStr"/>
      <c r="AJ29" s="8" t="inlineStr"/>
      <c r="AK29" s="8" t="n">
        <v>0</v>
      </c>
      <c r="AL29" s="8" t="inlineStr"/>
      <c r="AM29" s="8" t="n">
        <v>0</v>
      </c>
      <c r="AN29" s="8" t="n">
        <v>0</v>
      </c>
      <c r="AO29" s="8" t="n">
        <v>0</v>
      </c>
      <c r="AP29" s="8" t="n">
        <v>2000000</v>
      </c>
      <c r="AQ29" s="8" t="n">
        <v>2000000</v>
      </c>
      <c r="AR29" s="8" t="n">
        <v>153440</v>
      </c>
      <c r="AS29" s="8" t="n">
        <v>1</v>
      </c>
    </row>
    <row r="30">
      <c r="A30" s="8" t="n">
        <v>25</v>
      </c>
      <c r="B30" s="8" t="inlineStr">
        <is>
          <t>A33.0009</t>
        </is>
      </c>
      <c r="C30" s="8" t="inlineStr">
        <is>
          <t>Giá đỡ máy âm trần</t>
        </is>
      </c>
      <c r="E30" s="8" t="inlineStr">
        <is>
          <t>cái</t>
        </is>
      </c>
      <c r="F30" s="8" t="n">
        <v>16</v>
      </c>
      <c r="G30" s="8" t="inlineStr"/>
      <c r="H30" s="8" t="inlineStr"/>
      <c r="I30" s="8" t="inlineStr"/>
      <c r="J30" s="8" t="inlineStr">
        <is>
          <t>ô tô thùng 7T</t>
        </is>
      </c>
      <c r="K30" s="8" t="n">
        <v>1</v>
      </c>
      <c r="L30" s="8" t="n">
        <v>1</v>
      </c>
      <c r="M30" s="8" t="inlineStr"/>
      <c r="N30" s="8" t="inlineStr"/>
      <c r="O30" s="8" t="inlineStr"/>
      <c r="P30" s="8" t="n">
        <v>1</v>
      </c>
      <c r="Q30" s="8" t="inlineStr"/>
      <c r="R30" s="8" t="n">
        <v>1</v>
      </c>
      <c r="S30" s="8" t="n">
        <v>1</v>
      </c>
      <c r="T30" s="8" t="inlineStr"/>
      <c r="U30" s="8" t="inlineStr"/>
      <c r="V30" s="8" t="n">
        <v>1</v>
      </c>
      <c r="W30" s="8" t="n">
        <v>0</v>
      </c>
      <c r="X30" s="8" t="n">
        <v>0</v>
      </c>
      <c r="Y30" s="8" t="n">
        <v>0</v>
      </c>
      <c r="Z30" s="8" t="n">
        <v>1</v>
      </c>
      <c r="AA30" s="8" t="n">
        <v>0</v>
      </c>
      <c r="AB30" s="8" t="inlineStr"/>
      <c r="AC30" s="8" t="inlineStr"/>
      <c r="AD30" s="8" t="inlineStr"/>
      <c r="AE30" s="8" t="inlineStr"/>
      <c r="AF30" s="8" t="n">
        <v>0</v>
      </c>
      <c r="AG30" s="8" t="inlineStr"/>
      <c r="AH30" s="8" t="n">
        <v>0</v>
      </c>
      <c r="AI30" s="8" t="inlineStr"/>
      <c r="AJ30" s="8" t="inlineStr"/>
      <c r="AK30" s="8" t="n">
        <v>0</v>
      </c>
      <c r="AL30" s="8" t="inlineStr"/>
      <c r="AM30" s="8" t="n">
        <v>0</v>
      </c>
      <c r="AN30" s="8" t="n">
        <v>0</v>
      </c>
      <c r="AO30" s="8" t="n">
        <v>0</v>
      </c>
      <c r="AP30" s="8" t="n">
        <v>500000</v>
      </c>
      <c r="AQ30" s="8" t="n">
        <v>500000</v>
      </c>
      <c r="AR30" s="8" t="n">
        <v>8000000</v>
      </c>
      <c r="AS30" s="8" t="n">
        <v>1</v>
      </c>
    </row>
    <row r="31">
      <c r="A31" s="8" t="n">
        <v>26</v>
      </c>
      <c r="B31" s="8" t="inlineStr">
        <is>
          <t>A33.0009</t>
        </is>
      </c>
      <c r="C31" s="8" t="inlineStr">
        <is>
          <t>Giá đỡ máy cassettle</t>
        </is>
      </c>
      <c r="E31" s="8" t="inlineStr">
        <is>
          <t>cái</t>
        </is>
      </c>
      <c r="F31" s="8" t="n">
        <v>165</v>
      </c>
      <c r="G31" s="8" t="inlineStr"/>
      <c r="H31" s="8" t="inlineStr"/>
      <c r="I31" s="8" t="inlineStr"/>
      <c r="J31" s="8" t="inlineStr">
        <is>
          <t>ô tô thùng 7T</t>
        </is>
      </c>
      <c r="K31" s="8" t="n">
        <v>1</v>
      </c>
      <c r="L31" s="8" t="n">
        <v>1</v>
      </c>
      <c r="M31" s="8" t="inlineStr"/>
      <c r="N31" s="8" t="inlineStr"/>
      <c r="O31" s="8" t="inlineStr"/>
      <c r="P31" s="8" t="n">
        <v>1</v>
      </c>
      <c r="Q31" s="8" t="inlineStr"/>
      <c r="R31" s="8" t="n">
        <v>1</v>
      </c>
      <c r="S31" s="8" t="n">
        <v>1</v>
      </c>
      <c r="T31" s="8" t="inlineStr"/>
      <c r="U31" s="8" t="inlineStr"/>
      <c r="V31" s="8" t="n">
        <v>1</v>
      </c>
      <c r="W31" s="8" t="n">
        <v>0</v>
      </c>
      <c r="X31" s="8" t="n">
        <v>0</v>
      </c>
      <c r="Y31" s="8" t="n">
        <v>0</v>
      </c>
      <c r="Z31" s="8" t="n">
        <v>1</v>
      </c>
      <c r="AA31" s="8" t="n">
        <v>0</v>
      </c>
      <c r="AB31" s="8" t="inlineStr"/>
      <c r="AC31" s="8" t="inlineStr"/>
      <c r="AD31" s="8" t="inlineStr"/>
      <c r="AE31" s="8" t="inlineStr"/>
      <c r="AF31" s="8" t="n">
        <v>0</v>
      </c>
      <c r="AG31" s="8" t="inlineStr"/>
      <c r="AH31" s="8" t="n">
        <v>0</v>
      </c>
      <c r="AI31" s="8" t="inlineStr"/>
      <c r="AJ31" s="8" t="inlineStr"/>
      <c r="AK31" s="8" t="n">
        <v>0</v>
      </c>
      <c r="AL31" s="8" t="inlineStr"/>
      <c r="AM31" s="8" t="n">
        <v>0</v>
      </c>
      <c r="AN31" s="8" t="n">
        <v>0</v>
      </c>
      <c r="AO31" s="8" t="n">
        <v>0</v>
      </c>
      <c r="AP31" s="8" t="n">
        <v>500000</v>
      </c>
      <c r="AQ31" s="8" t="n">
        <v>500000</v>
      </c>
      <c r="AR31" s="8" t="n">
        <v>82500000</v>
      </c>
      <c r="AS31" s="8" t="n">
        <v>1</v>
      </c>
    </row>
    <row r="32">
      <c r="A32" s="8" t="n">
        <v>27</v>
      </c>
      <c r="B32" s="8" t="inlineStr">
        <is>
          <t>A33.0009</t>
        </is>
      </c>
      <c r="C32" s="8" t="inlineStr">
        <is>
          <t>Giá đỡ máy treo tường</t>
        </is>
      </c>
      <c r="E32" s="8" t="inlineStr">
        <is>
          <t>cái</t>
        </is>
      </c>
      <c r="F32" s="8" t="n">
        <v>5</v>
      </c>
      <c r="G32" s="8" t="inlineStr"/>
      <c r="H32" s="8" t="inlineStr"/>
      <c r="I32" s="8" t="inlineStr"/>
      <c r="J32" s="8" t="inlineStr">
        <is>
          <t>ô tô thùng 7T</t>
        </is>
      </c>
      <c r="K32" s="8" t="n">
        <v>1</v>
      </c>
      <c r="L32" s="8" t="n">
        <v>1</v>
      </c>
      <c r="M32" s="8" t="inlineStr"/>
      <c r="N32" s="8" t="inlineStr"/>
      <c r="O32" s="8" t="inlineStr"/>
      <c r="P32" s="8" t="n">
        <v>1</v>
      </c>
      <c r="Q32" s="8" t="inlineStr"/>
      <c r="R32" s="8" t="n">
        <v>1</v>
      </c>
      <c r="S32" s="8" t="n">
        <v>1</v>
      </c>
      <c r="T32" s="8" t="inlineStr"/>
      <c r="U32" s="8" t="inlineStr"/>
      <c r="V32" s="8" t="n">
        <v>1</v>
      </c>
      <c r="W32" s="8" t="n">
        <v>0</v>
      </c>
      <c r="X32" s="8" t="n">
        <v>0</v>
      </c>
      <c r="Y32" s="8" t="n">
        <v>0</v>
      </c>
      <c r="Z32" s="8" t="n">
        <v>1</v>
      </c>
      <c r="AA32" s="8" t="n">
        <v>0</v>
      </c>
      <c r="AB32" s="8" t="inlineStr"/>
      <c r="AC32" s="8" t="inlineStr"/>
      <c r="AD32" s="8" t="inlineStr"/>
      <c r="AE32" s="8" t="inlineStr"/>
      <c r="AF32" s="8" t="n">
        <v>0</v>
      </c>
      <c r="AG32" s="8" t="inlineStr"/>
      <c r="AH32" s="8" t="n">
        <v>0</v>
      </c>
      <c r="AI32" s="8" t="inlineStr"/>
      <c r="AJ32" s="8" t="inlineStr"/>
      <c r="AK32" s="8" t="n">
        <v>0</v>
      </c>
      <c r="AL32" s="8" t="inlineStr"/>
      <c r="AM32" s="8" t="n">
        <v>0</v>
      </c>
      <c r="AN32" s="8" t="n">
        <v>0</v>
      </c>
      <c r="AO32" s="8" t="n">
        <v>0</v>
      </c>
      <c r="AP32" s="8" t="n">
        <v>300000</v>
      </c>
      <c r="AQ32" s="8" t="n">
        <v>300000</v>
      </c>
      <c r="AR32" s="8" t="n">
        <v>1500000</v>
      </c>
      <c r="AS32" s="8" t="n">
        <v>1</v>
      </c>
    </row>
    <row r="33">
      <c r="A33" s="8" t="n">
        <v>28</v>
      </c>
      <c r="B33" s="8" t="inlineStr">
        <is>
          <t>A33.0005</t>
        </is>
      </c>
      <c r="C33" s="8" t="inlineStr">
        <is>
          <t>Khí gas</t>
        </is>
      </c>
      <c r="E33" s="8" t="inlineStr">
        <is>
          <t>kg</t>
        </is>
      </c>
      <c r="F33" s="8" t="n">
        <v>1.8742</v>
      </c>
      <c r="G33" s="8" t="inlineStr"/>
      <c r="H33" s="8" t="inlineStr"/>
      <c r="I33" s="8" t="inlineStr"/>
      <c r="J33" s="8" t="inlineStr">
        <is>
          <t>ô tô thùng 7T</t>
        </is>
      </c>
      <c r="K33" s="8" t="n">
        <v>1</v>
      </c>
      <c r="L33" s="8" t="n">
        <v>1</v>
      </c>
      <c r="M33" s="8" t="inlineStr"/>
      <c r="N33" s="8" t="inlineStr"/>
      <c r="O33" s="8" t="inlineStr"/>
      <c r="P33" s="8" t="n">
        <v>1</v>
      </c>
      <c r="Q33" s="8" t="inlineStr"/>
      <c r="R33" s="8" t="n">
        <v>1</v>
      </c>
      <c r="S33" s="8" t="n">
        <v>1</v>
      </c>
      <c r="T33" s="8" t="inlineStr"/>
      <c r="U33" s="8" t="inlineStr"/>
      <c r="V33" s="8" t="n">
        <v>1</v>
      </c>
      <c r="W33" s="8" t="n">
        <v>0</v>
      </c>
      <c r="X33" s="8" t="n">
        <v>0</v>
      </c>
      <c r="Y33" s="8" t="n">
        <v>0</v>
      </c>
      <c r="Z33" s="8" t="n">
        <v>1</v>
      </c>
      <c r="AA33" s="8" t="n">
        <v>0</v>
      </c>
      <c r="AB33" s="8" t="inlineStr"/>
      <c r="AC33" s="8" t="inlineStr"/>
      <c r="AD33" s="8" t="inlineStr"/>
      <c r="AE33" s="8" t="inlineStr"/>
      <c r="AF33" s="8" t="n">
        <v>0</v>
      </c>
      <c r="AG33" s="8" t="inlineStr"/>
      <c r="AH33" s="8" t="n">
        <v>0</v>
      </c>
      <c r="AI33" s="8" t="inlineStr"/>
      <c r="AJ33" s="8" t="inlineStr"/>
      <c r="AK33" s="8" t="n">
        <v>0</v>
      </c>
      <c r="AL33" s="8" t="inlineStr"/>
      <c r="AM33" s="8" t="n">
        <v>0</v>
      </c>
      <c r="AN33" s="8" t="n">
        <v>0</v>
      </c>
      <c r="AO33" s="8" t="n">
        <v>0</v>
      </c>
      <c r="AP33" s="8" t="n">
        <v>37803</v>
      </c>
      <c r="AQ33" s="8" t="n">
        <v>37803</v>
      </c>
      <c r="AR33" s="8" t="n">
        <v>70850</v>
      </c>
      <c r="AS33" s="8" t="n">
        <v>1</v>
      </c>
    </row>
    <row r="34">
      <c r="A34" s="8" t="n">
        <v>29</v>
      </c>
      <c r="B34" s="8" t="inlineStr">
        <is>
          <t>A33.0001</t>
        </is>
      </c>
      <c r="C34" s="8" t="inlineStr">
        <is>
          <t>Mỡ các loại</t>
        </is>
      </c>
      <c r="E34" s="8" t="inlineStr">
        <is>
          <t>kg</t>
        </is>
      </c>
      <c r="F34" s="8" t="n">
        <v>9.918800000000001</v>
      </c>
      <c r="G34" s="8" t="inlineStr"/>
      <c r="H34" s="8" t="inlineStr"/>
      <c r="I34" s="8" t="inlineStr"/>
      <c r="J34" s="8" t="inlineStr">
        <is>
          <t>ô tô thùng 7T</t>
        </is>
      </c>
      <c r="K34" s="8" t="n">
        <v>1</v>
      </c>
      <c r="L34" s="8" t="n">
        <v>1</v>
      </c>
      <c r="M34" s="8" t="inlineStr"/>
      <c r="N34" s="8" t="inlineStr"/>
      <c r="O34" s="8" t="inlineStr"/>
      <c r="P34" s="8" t="n">
        <v>1</v>
      </c>
      <c r="Q34" s="8" t="inlineStr"/>
      <c r="R34" s="8" t="n">
        <v>1</v>
      </c>
      <c r="S34" s="8" t="n">
        <v>1</v>
      </c>
      <c r="T34" s="8" t="inlineStr"/>
      <c r="U34" s="8" t="inlineStr"/>
      <c r="V34" s="8" t="n">
        <v>1</v>
      </c>
      <c r="W34" s="8" t="n">
        <v>0</v>
      </c>
      <c r="X34" s="8" t="n">
        <v>0</v>
      </c>
      <c r="Y34" s="8" t="n">
        <v>0</v>
      </c>
      <c r="Z34" s="8" t="n">
        <v>1</v>
      </c>
      <c r="AA34" s="8" t="n">
        <v>0</v>
      </c>
      <c r="AB34" s="8" t="inlineStr"/>
      <c r="AC34" s="8" t="inlineStr"/>
      <c r="AD34" s="8" t="inlineStr"/>
      <c r="AE34" s="8" t="inlineStr"/>
      <c r="AF34" s="8" t="n">
        <v>0</v>
      </c>
      <c r="AG34" s="8" t="inlineStr"/>
      <c r="AH34" s="8" t="n">
        <v>0</v>
      </c>
      <c r="AI34" s="8" t="inlineStr"/>
      <c r="AJ34" s="8" t="inlineStr"/>
      <c r="AK34" s="8" t="n">
        <v>0</v>
      </c>
      <c r="AL34" s="8" t="inlineStr"/>
      <c r="AM34" s="8" t="n">
        <v>0</v>
      </c>
      <c r="AN34" s="8" t="n">
        <v>0</v>
      </c>
      <c r="AO34" s="8" t="n">
        <v>0</v>
      </c>
      <c r="AP34" s="8" t="n">
        <v>90000</v>
      </c>
      <c r="AQ34" s="8" t="n">
        <v>90000</v>
      </c>
      <c r="AR34" s="8" t="n">
        <v>892692</v>
      </c>
      <c r="AS34" s="8" t="n">
        <v>1</v>
      </c>
    </row>
    <row r="35">
      <c r="A35" s="8" t="n">
        <v>30</v>
      </c>
      <c r="B35" s="8" t="inlineStr">
        <is>
          <t>A33.0346</t>
        </is>
      </c>
      <c r="C35" s="8" t="inlineStr">
        <is>
          <t>Nhựa dán</t>
        </is>
      </c>
      <c r="E35" s="8" t="inlineStr">
        <is>
          <t>kg</t>
        </is>
      </c>
      <c r="F35" s="8" t="n">
        <v>0.9330000000000001</v>
      </c>
      <c r="G35" s="8" t="inlineStr"/>
      <c r="H35" s="8" t="inlineStr"/>
      <c r="I35" s="8" t="inlineStr"/>
      <c r="J35" s="8" t="inlineStr">
        <is>
          <t>ô tô thùng 7T</t>
        </is>
      </c>
      <c r="K35" s="8" t="n">
        <v>1</v>
      </c>
      <c r="L35" s="8" t="n">
        <v>1</v>
      </c>
      <c r="M35" s="8" t="inlineStr"/>
      <c r="N35" s="8" t="inlineStr"/>
      <c r="O35" s="8" t="inlineStr"/>
      <c r="P35" s="8" t="n">
        <v>1</v>
      </c>
      <c r="Q35" s="8" t="inlineStr"/>
      <c r="R35" s="8" t="n">
        <v>1</v>
      </c>
      <c r="S35" s="8" t="n">
        <v>1</v>
      </c>
      <c r="T35" s="8" t="inlineStr"/>
      <c r="U35" s="8" t="inlineStr"/>
      <c r="V35" s="8" t="n">
        <v>1</v>
      </c>
      <c r="W35" s="8" t="n">
        <v>0</v>
      </c>
      <c r="X35" s="8" t="n">
        <v>0</v>
      </c>
      <c r="Y35" s="8" t="n">
        <v>0</v>
      </c>
      <c r="Z35" s="8" t="n">
        <v>1</v>
      </c>
      <c r="AA35" s="8" t="n">
        <v>0</v>
      </c>
      <c r="AB35" s="8" t="inlineStr"/>
      <c r="AC35" s="8" t="inlineStr"/>
      <c r="AD35" s="8" t="inlineStr"/>
      <c r="AE35" s="8" t="inlineStr"/>
      <c r="AF35" s="8" t="n">
        <v>0</v>
      </c>
      <c r="AG35" s="8" t="inlineStr"/>
      <c r="AH35" s="8" t="n">
        <v>0</v>
      </c>
      <c r="AI35" s="8" t="inlineStr"/>
      <c r="AJ35" s="8" t="inlineStr"/>
      <c r="AK35" s="8" t="n">
        <v>0</v>
      </c>
      <c r="AL35" s="8" t="inlineStr"/>
      <c r="AM35" s="8" t="n">
        <v>0</v>
      </c>
      <c r="AN35" s="8" t="n">
        <v>0</v>
      </c>
      <c r="AO35" s="8" t="n">
        <v>0</v>
      </c>
      <c r="AP35" s="8" t="n">
        <v>86000</v>
      </c>
      <c r="AQ35" s="8" t="n">
        <v>86000</v>
      </c>
      <c r="AR35" s="8" t="n">
        <v>80238</v>
      </c>
      <c r="AS35" s="8" t="n">
        <v>1</v>
      </c>
    </row>
    <row r="36">
      <c r="A36" s="8" t="n">
        <v>31</v>
      </c>
      <c r="B36" s="8" t="inlineStr">
        <is>
          <t>A33.0006</t>
        </is>
      </c>
      <c r="C36" s="8" t="inlineStr">
        <is>
          <t>Ô xy</t>
        </is>
      </c>
      <c r="E36" s="8" t="inlineStr">
        <is>
          <t>chai</t>
        </is>
      </c>
      <c r="F36" s="8" t="n">
        <v>0.9371</v>
      </c>
      <c r="G36" s="8" t="inlineStr"/>
      <c r="H36" s="8" t="inlineStr"/>
      <c r="I36" s="8" t="inlineStr"/>
      <c r="J36" s="8" t="inlineStr">
        <is>
          <t>ô tô thùng 7T</t>
        </is>
      </c>
      <c r="K36" s="8" t="n">
        <v>1</v>
      </c>
      <c r="L36" s="8" t="n">
        <v>1</v>
      </c>
      <c r="M36" s="8" t="inlineStr"/>
      <c r="N36" s="8" t="inlineStr"/>
      <c r="O36" s="8" t="inlineStr"/>
      <c r="P36" s="8" t="n">
        <v>1</v>
      </c>
      <c r="Q36" s="8" t="inlineStr"/>
      <c r="R36" s="8" t="n">
        <v>1</v>
      </c>
      <c r="S36" s="8" t="n">
        <v>1</v>
      </c>
      <c r="T36" s="8" t="inlineStr"/>
      <c r="U36" s="8" t="inlineStr"/>
      <c r="V36" s="8" t="n">
        <v>1</v>
      </c>
      <c r="W36" s="8" t="n">
        <v>0</v>
      </c>
      <c r="X36" s="8" t="n">
        <v>0</v>
      </c>
      <c r="Y36" s="8" t="n">
        <v>0</v>
      </c>
      <c r="Z36" s="8" t="n">
        <v>1</v>
      </c>
      <c r="AA36" s="8" t="n">
        <v>0</v>
      </c>
      <c r="AB36" s="8" t="inlineStr"/>
      <c r="AC36" s="8" t="inlineStr"/>
      <c r="AD36" s="8" t="inlineStr"/>
      <c r="AE36" s="8" t="inlineStr"/>
      <c r="AF36" s="8" t="n">
        <v>0</v>
      </c>
      <c r="AG36" s="8" t="inlineStr"/>
      <c r="AH36" s="8" t="n">
        <v>0</v>
      </c>
      <c r="AI36" s="8" t="inlineStr"/>
      <c r="AJ36" s="8" t="inlineStr"/>
      <c r="AK36" s="8" t="n">
        <v>0</v>
      </c>
      <c r="AL36" s="8" t="inlineStr"/>
      <c r="AM36" s="8" t="n">
        <v>0</v>
      </c>
      <c r="AN36" s="8" t="n">
        <v>0</v>
      </c>
      <c r="AO36" s="8" t="n">
        <v>0</v>
      </c>
      <c r="AP36" s="8" t="n">
        <v>30000</v>
      </c>
      <c r="AQ36" s="8" t="n">
        <v>30000</v>
      </c>
      <c r="AR36" s="8" t="n">
        <v>28113</v>
      </c>
      <c r="AS36" s="8" t="n">
        <v>1</v>
      </c>
    </row>
    <row r="37">
      <c r="A37" s="8" t="n">
        <v>32</v>
      </c>
      <c r="B37" s="8" t="inlineStr">
        <is>
          <t>A33.0460</t>
        </is>
      </c>
      <c r="C37" s="8" t="inlineStr">
        <is>
          <t>Ống đồng_D12.7_0.81mm</t>
        </is>
      </c>
      <c r="E37" s="8" t="inlineStr">
        <is>
          <t>m</t>
        </is>
      </c>
      <c r="F37" s="8" t="n">
        <v>50.25</v>
      </c>
      <c r="G37" s="8" t="inlineStr"/>
      <c r="H37" s="8" t="inlineStr"/>
      <c r="I37" s="8" t="inlineStr"/>
      <c r="J37" s="8" t="inlineStr">
        <is>
          <t>ô tô thùng 7T</t>
        </is>
      </c>
      <c r="K37" s="8" t="n">
        <v>1</v>
      </c>
      <c r="L37" s="8" t="n">
        <v>1</v>
      </c>
      <c r="M37" s="8" t="inlineStr"/>
      <c r="N37" s="8" t="inlineStr"/>
      <c r="O37" s="8" t="inlineStr"/>
      <c r="P37" s="8" t="n">
        <v>1</v>
      </c>
      <c r="Q37" s="8" t="inlineStr"/>
      <c r="R37" s="8" t="n">
        <v>1</v>
      </c>
      <c r="S37" s="8" t="n">
        <v>1</v>
      </c>
      <c r="T37" s="8" t="inlineStr"/>
      <c r="U37" s="8" t="inlineStr"/>
      <c r="V37" s="8" t="n">
        <v>1</v>
      </c>
      <c r="W37" s="8" t="n">
        <v>0</v>
      </c>
      <c r="X37" s="8" t="n">
        <v>0</v>
      </c>
      <c r="Y37" s="8" t="n">
        <v>0</v>
      </c>
      <c r="Z37" s="8" t="n">
        <v>1</v>
      </c>
      <c r="AA37" s="8" t="n">
        <v>0</v>
      </c>
      <c r="AB37" s="8" t="inlineStr"/>
      <c r="AC37" s="8" t="inlineStr"/>
      <c r="AD37" s="8" t="inlineStr"/>
      <c r="AE37" s="8" t="inlineStr"/>
      <c r="AF37" s="8" t="n">
        <v>0</v>
      </c>
      <c r="AG37" s="8" t="inlineStr"/>
      <c r="AH37" s="8" t="n">
        <v>0</v>
      </c>
      <c r="AI37" s="8" t="inlineStr"/>
      <c r="AJ37" s="8" t="inlineStr"/>
      <c r="AK37" s="8" t="n">
        <v>0</v>
      </c>
      <c r="AL37" s="8" t="inlineStr"/>
      <c r="AM37" s="8" t="n">
        <v>0</v>
      </c>
      <c r="AN37" s="8" t="n">
        <v>0</v>
      </c>
      <c r="AO37" s="8" t="n">
        <v>0</v>
      </c>
      <c r="AP37" s="8" t="n">
        <v>108000</v>
      </c>
      <c r="AQ37" s="8" t="n">
        <v>108000</v>
      </c>
      <c r="AR37" s="8" t="n">
        <v>5427000</v>
      </c>
      <c r="AS37" s="8" t="n">
        <v>1</v>
      </c>
    </row>
    <row r="38">
      <c r="A38" s="8" t="n">
        <v>33</v>
      </c>
      <c r="B38" s="8" t="inlineStr">
        <is>
          <t>A33.0461</t>
        </is>
      </c>
      <c r="C38" s="8" t="inlineStr">
        <is>
          <t>Ống đồng_D15.9_0.99mm</t>
        </is>
      </c>
      <c r="E38" s="8" t="inlineStr">
        <is>
          <t>m</t>
        </is>
      </c>
      <c r="F38" s="8" t="n">
        <v>2341.65</v>
      </c>
      <c r="G38" s="8" t="inlineStr"/>
      <c r="H38" s="8" t="inlineStr"/>
      <c r="I38" s="8" t="inlineStr"/>
      <c r="J38" s="8" t="inlineStr">
        <is>
          <t>ô tô thùng 7T</t>
        </is>
      </c>
      <c r="K38" s="8" t="n">
        <v>1</v>
      </c>
      <c r="L38" s="8" t="n">
        <v>1</v>
      </c>
      <c r="M38" s="8" t="inlineStr"/>
      <c r="N38" s="8" t="inlineStr"/>
      <c r="O38" s="8" t="inlineStr"/>
      <c r="P38" s="8" t="n">
        <v>1</v>
      </c>
      <c r="Q38" s="8" t="inlineStr"/>
      <c r="R38" s="8" t="n">
        <v>1</v>
      </c>
      <c r="S38" s="8" t="n">
        <v>1</v>
      </c>
      <c r="T38" s="8" t="inlineStr"/>
      <c r="U38" s="8" t="inlineStr"/>
      <c r="V38" s="8" t="n">
        <v>1</v>
      </c>
      <c r="W38" s="8" t="n">
        <v>0</v>
      </c>
      <c r="X38" s="8" t="n">
        <v>0</v>
      </c>
      <c r="Y38" s="8" t="n">
        <v>0</v>
      </c>
      <c r="Z38" s="8" t="n">
        <v>1</v>
      </c>
      <c r="AA38" s="8" t="n">
        <v>0</v>
      </c>
      <c r="AB38" s="8" t="inlineStr"/>
      <c r="AC38" s="8" t="inlineStr"/>
      <c r="AD38" s="8" t="inlineStr"/>
      <c r="AE38" s="8" t="inlineStr"/>
      <c r="AF38" s="8" t="n">
        <v>0</v>
      </c>
      <c r="AG38" s="8" t="inlineStr"/>
      <c r="AH38" s="8" t="n">
        <v>0</v>
      </c>
      <c r="AI38" s="8" t="inlineStr"/>
      <c r="AJ38" s="8" t="inlineStr"/>
      <c r="AK38" s="8" t="n">
        <v>0</v>
      </c>
      <c r="AL38" s="8" t="inlineStr"/>
      <c r="AM38" s="8" t="n">
        <v>0</v>
      </c>
      <c r="AN38" s="8" t="n">
        <v>0</v>
      </c>
      <c r="AO38" s="8" t="n">
        <v>0</v>
      </c>
      <c r="AP38" s="8" t="n">
        <v>166900</v>
      </c>
      <c r="AQ38" s="8" t="n">
        <v>166900</v>
      </c>
      <c r="AR38" s="8" t="n">
        <v>390821385</v>
      </c>
      <c r="AS38" s="8" t="n">
        <v>1</v>
      </c>
    </row>
    <row r="39">
      <c r="A39" s="8" t="n">
        <v>34</v>
      </c>
      <c r="B39" s="8" t="inlineStr">
        <is>
          <t>A33.0462</t>
        </is>
      </c>
      <c r="C39" s="8" t="inlineStr">
        <is>
          <t>Ống đồng_D19.1_0.99mm</t>
        </is>
      </c>
      <c r="E39" s="8" t="inlineStr">
        <is>
          <t>m</t>
        </is>
      </c>
      <c r="F39" s="8" t="n">
        <v>402</v>
      </c>
      <c r="G39" s="8" t="inlineStr"/>
      <c r="H39" s="8" t="inlineStr"/>
      <c r="I39" s="8" t="inlineStr"/>
      <c r="J39" s="8" t="inlineStr">
        <is>
          <t>ô tô thùng 7T</t>
        </is>
      </c>
      <c r="K39" s="8" t="n">
        <v>1</v>
      </c>
      <c r="L39" s="8" t="n">
        <v>1</v>
      </c>
      <c r="M39" s="8" t="inlineStr"/>
      <c r="N39" s="8" t="inlineStr"/>
      <c r="O39" s="8" t="inlineStr"/>
      <c r="P39" s="8" t="n">
        <v>1</v>
      </c>
      <c r="Q39" s="8" t="inlineStr"/>
      <c r="R39" s="8" t="n">
        <v>1</v>
      </c>
      <c r="S39" s="8" t="n">
        <v>1</v>
      </c>
      <c r="T39" s="8" t="inlineStr"/>
      <c r="U39" s="8" t="inlineStr"/>
      <c r="V39" s="8" t="n">
        <v>1</v>
      </c>
      <c r="W39" s="8" t="n">
        <v>0</v>
      </c>
      <c r="X39" s="8" t="n">
        <v>0</v>
      </c>
      <c r="Y39" s="8" t="n">
        <v>0</v>
      </c>
      <c r="Z39" s="8" t="n">
        <v>1</v>
      </c>
      <c r="AA39" s="8" t="n">
        <v>0</v>
      </c>
      <c r="AB39" s="8" t="inlineStr"/>
      <c r="AC39" s="8" t="inlineStr"/>
      <c r="AD39" s="8" t="inlineStr"/>
      <c r="AE39" s="8" t="inlineStr"/>
      <c r="AF39" s="8" t="n">
        <v>0</v>
      </c>
      <c r="AG39" s="8" t="inlineStr"/>
      <c r="AH39" s="8" t="n">
        <v>0</v>
      </c>
      <c r="AI39" s="8" t="inlineStr"/>
      <c r="AJ39" s="8" t="inlineStr"/>
      <c r="AK39" s="8" t="n">
        <v>0</v>
      </c>
      <c r="AL39" s="8" t="inlineStr"/>
      <c r="AM39" s="8" t="n">
        <v>0</v>
      </c>
      <c r="AN39" s="8" t="n">
        <v>0</v>
      </c>
      <c r="AO39" s="8" t="n">
        <v>0</v>
      </c>
      <c r="AP39" s="8" t="n">
        <v>202300</v>
      </c>
      <c r="AQ39" s="8" t="n">
        <v>202300</v>
      </c>
      <c r="AR39" s="8" t="n">
        <v>81324600</v>
      </c>
      <c r="AS39" s="8" t="n">
        <v>1</v>
      </c>
    </row>
    <row r="40">
      <c r="A40" s="8" t="n">
        <v>35</v>
      </c>
      <c r="B40" s="8" t="inlineStr">
        <is>
          <t>A33.0463</t>
        </is>
      </c>
      <c r="C40" s="8" t="inlineStr">
        <is>
          <t>Ống đồng_D22.2_1.14mm</t>
        </is>
      </c>
      <c r="E40" s="8" t="inlineStr">
        <is>
          <t>m</t>
        </is>
      </c>
      <c r="F40" s="8" t="n">
        <v>80.40000000000001</v>
      </c>
      <c r="G40" s="8" t="inlineStr"/>
      <c r="H40" s="8" t="inlineStr"/>
      <c r="I40" s="8" t="inlineStr"/>
      <c r="J40" s="8" t="inlineStr">
        <is>
          <t>ô tô thùng 7T</t>
        </is>
      </c>
      <c r="K40" s="8" t="n">
        <v>1</v>
      </c>
      <c r="L40" s="8" t="n">
        <v>1</v>
      </c>
      <c r="M40" s="8" t="inlineStr"/>
      <c r="N40" s="8" t="inlineStr"/>
      <c r="O40" s="8" t="inlineStr"/>
      <c r="P40" s="8" t="n">
        <v>1</v>
      </c>
      <c r="Q40" s="8" t="inlineStr"/>
      <c r="R40" s="8" t="n">
        <v>1</v>
      </c>
      <c r="S40" s="8" t="n">
        <v>1</v>
      </c>
      <c r="T40" s="8" t="inlineStr"/>
      <c r="U40" s="8" t="inlineStr"/>
      <c r="V40" s="8" t="n">
        <v>1</v>
      </c>
      <c r="W40" s="8" t="n">
        <v>0</v>
      </c>
      <c r="X40" s="8" t="n">
        <v>0</v>
      </c>
      <c r="Y40" s="8" t="n">
        <v>0</v>
      </c>
      <c r="Z40" s="8" t="n">
        <v>1</v>
      </c>
      <c r="AA40" s="8" t="n">
        <v>0</v>
      </c>
      <c r="AB40" s="8" t="inlineStr"/>
      <c r="AC40" s="8" t="inlineStr"/>
      <c r="AD40" s="8" t="inlineStr"/>
      <c r="AE40" s="8" t="inlineStr"/>
      <c r="AF40" s="8" t="n">
        <v>0</v>
      </c>
      <c r="AG40" s="8" t="inlineStr"/>
      <c r="AH40" s="8" t="n">
        <v>0</v>
      </c>
      <c r="AI40" s="8" t="inlineStr"/>
      <c r="AJ40" s="8" t="inlineStr"/>
      <c r="AK40" s="8" t="n">
        <v>0</v>
      </c>
      <c r="AL40" s="8" t="inlineStr"/>
      <c r="AM40" s="8" t="n">
        <v>0</v>
      </c>
      <c r="AN40" s="8" t="n">
        <v>0</v>
      </c>
      <c r="AO40" s="8" t="n">
        <v>0</v>
      </c>
      <c r="AP40" s="8" t="n">
        <v>272200</v>
      </c>
      <c r="AQ40" s="8" t="n">
        <v>272200</v>
      </c>
      <c r="AR40" s="8" t="n">
        <v>21884880</v>
      </c>
      <c r="AS40" s="8" t="n">
        <v>1</v>
      </c>
    </row>
    <row r="41">
      <c r="A41" s="8" t="n">
        <v>36</v>
      </c>
      <c r="B41" s="8" t="inlineStr">
        <is>
          <t>A33.0465</t>
        </is>
      </c>
      <c r="C41" s="8" t="inlineStr">
        <is>
          <t>Ống đồng_D28.6_1.27mm</t>
        </is>
      </c>
      <c r="E41" s="8" t="inlineStr">
        <is>
          <t>m</t>
        </is>
      </c>
      <c r="F41" s="8" t="n">
        <v>160.8</v>
      </c>
      <c r="G41" s="8" t="inlineStr"/>
      <c r="H41" s="8" t="inlineStr"/>
      <c r="I41" s="8" t="inlineStr"/>
      <c r="J41" s="8" t="inlineStr">
        <is>
          <t>ô tô thùng 7T</t>
        </is>
      </c>
      <c r="K41" s="8" t="n">
        <v>1</v>
      </c>
      <c r="L41" s="8" t="n">
        <v>1</v>
      </c>
      <c r="M41" s="8" t="inlineStr"/>
      <c r="N41" s="8" t="inlineStr"/>
      <c r="O41" s="8" t="inlineStr"/>
      <c r="P41" s="8" t="n">
        <v>1</v>
      </c>
      <c r="Q41" s="8" t="inlineStr"/>
      <c r="R41" s="8" t="n">
        <v>1</v>
      </c>
      <c r="S41" s="8" t="n">
        <v>1</v>
      </c>
      <c r="T41" s="8" t="inlineStr"/>
      <c r="U41" s="8" t="inlineStr"/>
      <c r="V41" s="8" t="n">
        <v>1</v>
      </c>
      <c r="W41" s="8" t="n">
        <v>0</v>
      </c>
      <c r="X41" s="8" t="n">
        <v>0</v>
      </c>
      <c r="Y41" s="8" t="n">
        <v>0</v>
      </c>
      <c r="Z41" s="8" t="n">
        <v>1</v>
      </c>
      <c r="AA41" s="8" t="n">
        <v>0</v>
      </c>
      <c r="AB41" s="8" t="inlineStr"/>
      <c r="AC41" s="8" t="inlineStr"/>
      <c r="AD41" s="8" t="inlineStr"/>
      <c r="AE41" s="8" t="inlineStr"/>
      <c r="AF41" s="8" t="n">
        <v>0</v>
      </c>
      <c r="AG41" s="8" t="inlineStr"/>
      <c r="AH41" s="8" t="n">
        <v>0</v>
      </c>
      <c r="AI41" s="8" t="inlineStr"/>
      <c r="AJ41" s="8" t="inlineStr"/>
      <c r="AK41" s="8" t="n">
        <v>0</v>
      </c>
      <c r="AL41" s="8" t="inlineStr"/>
      <c r="AM41" s="8" t="n">
        <v>0</v>
      </c>
      <c r="AN41" s="8" t="n">
        <v>0</v>
      </c>
      <c r="AO41" s="8" t="n">
        <v>0</v>
      </c>
      <c r="AP41" s="8" t="n">
        <v>392700</v>
      </c>
      <c r="AQ41" s="8" t="n">
        <v>392700</v>
      </c>
      <c r="AR41" s="8" t="n">
        <v>63146160</v>
      </c>
      <c r="AS41" s="8" t="n">
        <v>1</v>
      </c>
    </row>
    <row r="42">
      <c r="A42" s="8" t="n">
        <v>37</v>
      </c>
      <c r="B42" s="8" t="inlineStr">
        <is>
          <t>A33.0467</t>
        </is>
      </c>
      <c r="C42" s="8" t="inlineStr">
        <is>
          <t>Ống đồng_D34.9_1.40mm</t>
        </is>
      </c>
      <c r="E42" s="8" t="inlineStr">
        <is>
          <t>m</t>
        </is>
      </c>
      <c r="F42" s="8" t="n">
        <v>160.8</v>
      </c>
      <c r="G42" s="8" t="inlineStr"/>
      <c r="H42" s="8" t="inlineStr"/>
      <c r="I42" s="8" t="inlineStr"/>
      <c r="J42" s="8" t="inlineStr">
        <is>
          <t>ô tô thùng 7T</t>
        </is>
      </c>
      <c r="K42" s="8" t="n">
        <v>1</v>
      </c>
      <c r="L42" s="8" t="n">
        <v>1</v>
      </c>
      <c r="M42" s="8" t="inlineStr"/>
      <c r="N42" s="8" t="inlineStr"/>
      <c r="O42" s="8" t="inlineStr"/>
      <c r="P42" s="8" t="n">
        <v>1</v>
      </c>
      <c r="Q42" s="8" t="inlineStr"/>
      <c r="R42" s="8" t="n">
        <v>1</v>
      </c>
      <c r="S42" s="8" t="n">
        <v>1</v>
      </c>
      <c r="T42" s="8" t="inlineStr"/>
      <c r="U42" s="8" t="inlineStr"/>
      <c r="V42" s="8" t="n">
        <v>1</v>
      </c>
      <c r="W42" s="8" t="n">
        <v>0</v>
      </c>
      <c r="X42" s="8" t="n">
        <v>0</v>
      </c>
      <c r="Y42" s="8" t="n">
        <v>0</v>
      </c>
      <c r="Z42" s="8" t="n">
        <v>1</v>
      </c>
      <c r="AA42" s="8" t="n">
        <v>0</v>
      </c>
      <c r="AB42" s="8" t="inlineStr"/>
      <c r="AC42" s="8" t="inlineStr"/>
      <c r="AD42" s="8" t="inlineStr"/>
      <c r="AE42" s="8" t="inlineStr"/>
      <c r="AF42" s="8" t="n">
        <v>0</v>
      </c>
      <c r="AG42" s="8" t="inlineStr"/>
      <c r="AH42" s="8" t="n">
        <v>0</v>
      </c>
      <c r="AI42" s="8" t="inlineStr"/>
      <c r="AJ42" s="8" t="inlineStr"/>
      <c r="AK42" s="8" t="n">
        <v>0</v>
      </c>
      <c r="AL42" s="8" t="inlineStr"/>
      <c r="AM42" s="8" t="n">
        <v>0</v>
      </c>
      <c r="AN42" s="8" t="n">
        <v>0</v>
      </c>
      <c r="AO42" s="8" t="n">
        <v>0</v>
      </c>
      <c r="AP42" s="8" t="n">
        <v>531600</v>
      </c>
      <c r="AQ42" s="8" t="n">
        <v>531600</v>
      </c>
      <c r="AR42" s="8" t="n">
        <v>85481280</v>
      </c>
      <c r="AS42" s="8" t="n">
        <v>1</v>
      </c>
    </row>
    <row r="43">
      <c r="A43" s="8" t="n">
        <v>38</v>
      </c>
      <c r="B43" s="8" t="inlineStr">
        <is>
          <t>A33.0471</t>
        </is>
      </c>
      <c r="C43" s="8" t="inlineStr">
        <is>
          <t>Ống đồng_D41.3_1.53mm</t>
        </is>
      </c>
      <c r="E43" s="8" t="inlineStr">
        <is>
          <t>m</t>
        </is>
      </c>
      <c r="F43" s="8" t="n">
        <v>241.2</v>
      </c>
      <c r="G43" s="8" t="inlineStr"/>
      <c r="H43" s="8" t="inlineStr"/>
      <c r="I43" s="8" t="inlineStr"/>
      <c r="J43" s="8" t="inlineStr">
        <is>
          <t>ô tô thùng 7T</t>
        </is>
      </c>
      <c r="K43" s="8" t="n">
        <v>1</v>
      </c>
      <c r="L43" s="8" t="n">
        <v>1</v>
      </c>
      <c r="M43" s="8" t="inlineStr"/>
      <c r="N43" s="8" t="inlineStr"/>
      <c r="O43" s="8" t="inlineStr"/>
      <c r="P43" s="8" t="n">
        <v>1</v>
      </c>
      <c r="Q43" s="8" t="inlineStr"/>
      <c r="R43" s="8" t="n">
        <v>1</v>
      </c>
      <c r="S43" s="8" t="n">
        <v>1</v>
      </c>
      <c r="T43" s="8" t="inlineStr"/>
      <c r="U43" s="8" t="inlineStr"/>
      <c r="V43" s="8" t="n">
        <v>1</v>
      </c>
      <c r="W43" s="8" t="n">
        <v>0</v>
      </c>
      <c r="X43" s="8" t="n">
        <v>0</v>
      </c>
      <c r="Y43" s="8" t="n">
        <v>0</v>
      </c>
      <c r="Z43" s="8" t="n">
        <v>1</v>
      </c>
      <c r="AA43" s="8" t="n">
        <v>0</v>
      </c>
      <c r="AB43" s="8" t="inlineStr"/>
      <c r="AC43" s="8" t="inlineStr"/>
      <c r="AD43" s="8" t="inlineStr"/>
      <c r="AE43" s="8" t="inlineStr"/>
      <c r="AF43" s="8" t="n">
        <v>0</v>
      </c>
      <c r="AG43" s="8" t="inlineStr"/>
      <c r="AH43" s="8" t="n">
        <v>0</v>
      </c>
      <c r="AI43" s="8" t="inlineStr"/>
      <c r="AJ43" s="8" t="inlineStr"/>
      <c r="AK43" s="8" t="n">
        <v>0</v>
      </c>
      <c r="AL43" s="8" t="inlineStr"/>
      <c r="AM43" s="8" t="n">
        <v>0</v>
      </c>
      <c r="AN43" s="8" t="n">
        <v>0</v>
      </c>
      <c r="AO43" s="8" t="n">
        <v>0</v>
      </c>
      <c r="AP43" s="8" t="n">
        <v>684300</v>
      </c>
      <c r="AQ43" s="8" t="n">
        <v>684300</v>
      </c>
      <c r="AR43" s="8" t="n">
        <v>165053160</v>
      </c>
      <c r="AS43" s="8" t="n">
        <v>1</v>
      </c>
    </row>
    <row r="44">
      <c r="A44" s="8" t="n">
        <v>39</v>
      </c>
      <c r="B44" s="8" t="inlineStr">
        <is>
          <t>A33.0458</t>
        </is>
      </c>
      <c r="C44" s="8" t="inlineStr">
        <is>
          <t>Ống đồng_D6.4_0.81mm</t>
        </is>
      </c>
      <c r="E44" s="8" t="inlineStr">
        <is>
          <t>m</t>
        </is>
      </c>
      <c r="F44" s="8" t="n">
        <v>80.40000000000001</v>
      </c>
      <c r="G44" s="8" t="inlineStr"/>
      <c r="H44" s="8" t="inlineStr"/>
      <c r="I44" s="8" t="inlineStr"/>
      <c r="J44" s="8" t="inlineStr">
        <is>
          <t>ô tô thùng 7T</t>
        </is>
      </c>
      <c r="K44" s="8" t="n">
        <v>1</v>
      </c>
      <c r="L44" s="8" t="n">
        <v>1</v>
      </c>
      <c r="M44" s="8" t="inlineStr"/>
      <c r="N44" s="8" t="inlineStr"/>
      <c r="O44" s="8" t="inlineStr"/>
      <c r="P44" s="8" t="n">
        <v>1</v>
      </c>
      <c r="Q44" s="8" t="inlineStr"/>
      <c r="R44" s="8" t="n">
        <v>1</v>
      </c>
      <c r="S44" s="8" t="n">
        <v>1</v>
      </c>
      <c r="T44" s="8" t="inlineStr"/>
      <c r="U44" s="8" t="inlineStr"/>
      <c r="V44" s="8" t="n">
        <v>1</v>
      </c>
      <c r="W44" s="8" t="n">
        <v>0</v>
      </c>
      <c r="X44" s="8" t="n">
        <v>0</v>
      </c>
      <c r="Y44" s="8" t="n">
        <v>0</v>
      </c>
      <c r="Z44" s="8" t="n">
        <v>1</v>
      </c>
      <c r="AA44" s="8" t="n">
        <v>0</v>
      </c>
      <c r="AB44" s="8" t="inlineStr"/>
      <c r="AC44" s="8" t="inlineStr"/>
      <c r="AD44" s="8" t="inlineStr"/>
      <c r="AE44" s="8" t="inlineStr"/>
      <c r="AF44" s="8" t="n">
        <v>0</v>
      </c>
      <c r="AG44" s="8" t="inlineStr"/>
      <c r="AH44" s="8" t="n">
        <v>0</v>
      </c>
      <c r="AI44" s="8" t="inlineStr"/>
      <c r="AJ44" s="8" t="inlineStr"/>
      <c r="AK44" s="8" t="n">
        <v>0</v>
      </c>
      <c r="AL44" s="8" t="inlineStr"/>
      <c r="AM44" s="8" t="n">
        <v>0</v>
      </c>
      <c r="AN44" s="8" t="n">
        <v>0</v>
      </c>
      <c r="AO44" s="8" t="n">
        <v>0</v>
      </c>
      <c r="AP44" s="8" t="n">
        <v>50400</v>
      </c>
      <c r="AQ44" s="8" t="n">
        <v>50400</v>
      </c>
      <c r="AR44" s="8" t="n">
        <v>4052160</v>
      </c>
      <c r="AS44" s="8" t="n">
        <v>1</v>
      </c>
    </row>
    <row r="45">
      <c r="A45" s="8" t="n">
        <v>40</v>
      </c>
      <c r="B45" s="8" t="inlineStr">
        <is>
          <t>A33.0459</t>
        </is>
      </c>
      <c r="C45" s="8" t="inlineStr">
        <is>
          <t>Ống đồng_D9.5_0.81mm</t>
        </is>
      </c>
      <c r="E45" s="8" t="inlineStr">
        <is>
          <t>m</t>
        </is>
      </c>
      <c r="F45" s="8" t="n">
        <v>2351.7</v>
      </c>
      <c r="G45" s="8" t="inlineStr"/>
      <c r="H45" s="8" t="inlineStr"/>
      <c r="I45" s="8" t="inlineStr"/>
      <c r="J45" s="8" t="inlineStr">
        <is>
          <t>ô tô thùng 7T</t>
        </is>
      </c>
      <c r="K45" s="8" t="n">
        <v>1</v>
      </c>
      <c r="L45" s="8" t="n">
        <v>1</v>
      </c>
      <c r="M45" s="8" t="inlineStr"/>
      <c r="N45" s="8" t="inlineStr"/>
      <c r="O45" s="8" t="inlineStr"/>
      <c r="P45" s="8" t="n">
        <v>1</v>
      </c>
      <c r="Q45" s="8" t="inlineStr"/>
      <c r="R45" s="8" t="n">
        <v>1</v>
      </c>
      <c r="S45" s="8" t="n">
        <v>1</v>
      </c>
      <c r="T45" s="8" t="inlineStr"/>
      <c r="U45" s="8" t="inlineStr"/>
      <c r="V45" s="8" t="n">
        <v>1</v>
      </c>
      <c r="W45" s="8" t="n">
        <v>0</v>
      </c>
      <c r="X45" s="8" t="n">
        <v>0</v>
      </c>
      <c r="Y45" s="8" t="n">
        <v>0</v>
      </c>
      <c r="Z45" s="8" t="n">
        <v>1</v>
      </c>
      <c r="AA45" s="8" t="n">
        <v>0</v>
      </c>
      <c r="AB45" s="8" t="inlineStr"/>
      <c r="AC45" s="8" t="inlineStr"/>
      <c r="AD45" s="8" t="inlineStr"/>
      <c r="AE45" s="8" t="inlineStr"/>
      <c r="AF45" s="8" t="n">
        <v>0</v>
      </c>
      <c r="AG45" s="8" t="inlineStr"/>
      <c r="AH45" s="8" t="n">
        <v>0</v>
      </c>
      <c r="AI45" s="8" t="inlineStr"/>
      <c r="AJ45" s="8" t="inlineStr"/>
      <c r="AK45" s="8" t="n">
        <v>0</v>
      </c>
      <c r="AL45" s="8" t="inlineStr"/>
      <c r="AM45" s="8" t="n">
        <v>0</v>
      </c>
      <c r="AN45" s="8" t="n">
        <v>0</v>
      </c>
      <c r="AO45" s="8" t="n">
        <v>0</v>
      </c>
      <c r="AP45" s="8" t="n">
        <v>79200</v>
      </c>
      <c r="AQ45" s="8" t="n">
        <v>79200</v>
      </c>
      <c r="AR45" s="8" t="n">
        <v>186254640</v>
      </c>
      <c r="AS45" s="8" t="n">
        <v>1</v>
      </c>
    </row>
    <row r="46">
      <c r="A46" s="8" t="n">
        <v>41</v>
      </c>
      <c r="B46" s="8" t="inlineStr">
        <is>
          <t>A33.0332</t>
        </is>
      </c>
      <c r="C46" s="8" t="inlineStr">
        <is>
          <t>Ống uPVC_D21</t>
        </is>
      </c>
      <c r="E46" s="8" t="inlineStr">
        <is>
          <t>m</t>
        </is>
      </c>
      <c r="F46" s="8" t="n">
        <v>60.59999999999999</v>
      </c>
      <c r="G46" s="8" t="inlineStr"/>
      <c r="H46" s="8" t="inlineStr"/>
      <c r="I46" s="8" t="inlineStr"/>
      <c r="J46" s="8" t="inlineStr">
        <is>
          <t>ô tô thùng 7T</t>
        </is>
      </c>
      <c r="K46" s="8" t="n">
        <v>1</v>
      </c>
      <c r="L46" s="8" t="n">
        <v>1</v>
      </c>
      <c r="M46" s="8" t="inlineStr"/>
      <c r="N46" s="8" t="inlineStr"/>
      <c r="O46" s="8" t="inlineStr"/>
      <c r="P46" s="8" t="n">
        <v>1</v>
      </c>
      <c r="Q46" s="8" t="inlineStr"/>
      <c r="R46" s="8" t="n">
        <v>1</v>
      </c>
      <c r="S46" s="8" t="n">
        <v>1</v>
      </c>
      <c r="T46" s="8" t="inlineStr"/>
      <c r="U46" s="8" t="inlineStr"/>
      <c r="V46" s="8" t="n">
        <v>1</v>
      </c>
      <c r="W46" s="8" t="n">
        <v>0</v>
      </c>
      <c r="X46" s="8" t="n">
        <v>0</v>
      </c>
      <c r="Y46" s="8" t="n">
        <v>0</v>
      </c>
      <c r="Z46" s="8" t="n">
        <v>1</v>
      </c>
      <c r="AA46" s="8" t="n">
        <v>0</v>
      </c>
      <c r="AB46" s="8" t="inlineStr"/>
      <c r="AC46" s="8" t="inlineStr"/>
      <c r="AD46" s="8" t="inlineStr"/>
      <c r="AE46" s="8" t="inlineStr"/>
      <c r="AF46" s="8" t="n">
        <v>0</v>
      </c>
      <c r="AG46" s="8" t="inlineStr"/>
      <c r="AH46" s="8" t="n">
        <v>0</v>
      </c>
      <c r="AI46" s="8" t="inlineStr"/>
      <c r="AJ46" s="8" t="inlineStr"/>
      <c r="AK46" s="8" t="n">
        <v>0</v>
      </c>
      <c r="AL46" s="8" t="inlineStr"/>
      <c r="AM46" s="8" t="n">
        <v>0</v>
      </c>
      <c r="AN46" s="8" t="n">
        <v>0</v>
      </c>
      <c r="AO46" s="8" t="n">
        <v>0</v>
      </c>
      <c r="AP46" s="8" t="n">
        <v>8400</v>
      </c>
      <c r="AQ46" s="8" t="n">
        <v>8400</v>
      </c>
      <c r="AR46" s="8" t="n">
        <v>509040</v>
      </c>
      <c r="AS46" s="8" t="n">
        <v>1</v>
      </c>
    </row>
    <row r="47">
      <c r="A47" s="8" t="n">
        <v>42</v>
      </c>
      <c r="B47" s="8" t="inlineStr">
        <is>
          <t>A33.0333</t>
        </is>
      </c>
      <c r="C47" s="8" t="inlineStr">
        <is>
          <t>Ống uPVC_D27</t>
        </is>
      </c>
      <c r="E47" s="8" t="inlineStr">
        <is>
          <t>m</t>
        </is>
      </c>
      <c r="F47" s="8" t="n">
        <v>1777.6</v>
      </c>
      <c r="G47" s="8" t="inlineStr"/>
      <c r="H47" s="8" t="inlineStr"/>
      <c r="I47" s="8" t="inlineStr"/>
      <c r="J47" s="8" t="inlineStr">
        <is>
          <t>ô tô thùng 7T</t>
        </is>
      </c>
      <c r="K47" s="8" t="n">
        <v>1</v>
      </c>
      <c r="L47" s="8" t="n">
        <v>1</v>
      </c>
      <c r="M47" s="8" t="inlineStr"/>
      <c r="N47" s="8" t="inlineStr"/>
      <c r="O47" s="8" t="inlineStr"/>
      <c r="P47" s="8" t="n">
        <v>1</v>
      </c>
      <c r="Q47" s="8" t="inlineStr"/>
      <c r="R47" s="8" t="n">
        <v>1</v>
      </c>
      <c r="S47" s="8" t="n">
        <v>1</v>
      </c>
      <c r="T47" s="8" t="inlineStr"/>
      <c r="U47" s="8" t="inlineStr"/>
      <c r="V47" s="8" t="n">
        <v>1</v>
      </c>
      <c r="W47" s="8" t="n">
        <v>0</v>
      </c>
      <c r="X47" s="8" t="n">
        <v>0</v>
      </c>
      <c r="Y47" s="8" t="n">
        <v>0</v>
      </c>
      <c r="Z47" s="8" t="n">
        <v>1</v>
      </c>
      <c r="AA47" s="8" t="n">
        <v>0</v>
      </c>
      <c r="AB47" s="8" t="inlineStr"/>
      <c r="AC47" s="8" t="inlineStr"/>
      <c r="AD47" s="8" t="inlineStr"/>
      <c r="AE47" s="8" t="inlineStr"/>
      <c r="AF47" s="8" t="n">
        <v>0</v>
      </c>
      <c r="AG47" s="8" t="inlineStr"/>
      <c r="AH47" s="8" t="n">
        <v>0</v>
      </c>
      <c r="AI47" s="8" t="inlineStr"/>
      <c r="AJ47" s="8" t="inlineStr"/>
      <c r="AK47" s="8" t="n">
        <v>0</v>
      </c>
      <c r="AL47" s="8" t="inlineStr"/>
      <c r="AM47" s="8" t="n">
        <v>0</v>
      </c>
      <c r="AN47" s="8" t="n">
        <v>0</v>
      </c>
      <c r="AO47" s="8" t="n">
        <v>0</v>
      </c>
      <c r="AP47" s="8" t="n">
        <v>11500</v>
      </c>
      <c r="AQ47" s="8" t="n">
        <v>11500</v>
      </c>
      <c r="AR47" s="8" t="n">
        <v>20442400</v>
      </c>
      <c r="AS47" s="8" t="n">
        <v>1</v>
      </c>
    </row>
    <row r="48">
      <c r="A48" s="8" t="n">
        <v>43</v>
      </c>
      <c r="B48" s="8" t="inlineStr">
        <is>
          <t>A33.0334</t>
        </is>
      </c>
      <c r="C48" s="8" t="inlineStr">
        <is>
          <t>Ống uPVC_D34</t>
        </is>
      </c>
      <c r="E48" s="8" t="inlineStr">
        <is>
          <t>m</t>
        </is>
      </c>
      <c r="F48" s="8" t="n">
        <v>303</v>
      </c>
      <c r="G48" s="8" t="inlineStr"/>
      <c r="H48" s="8" t="inlineStr"/>
      <c r="I48" s="8" t="inlineStr"/>
      <c r="J48" s="8" t="inlineStr">
        <is>
          <t>ô tô thùng 7T</t>
        </is>
      </c>
      <c r="K48" s="8" t="n">
        <v>1</v>
      </c>
      <c r="L48" s="8" t="n">
        <v>1</v>
      </c>
      <c r="M48" s="8" t="inlineStr"/>
      <c r="N48" s="8" t="inlineStr"/>
      <c r="O48" s="8" t="inlineStr"/>
      <c r="P48" s="8" t="n">
        <v>1</v>
      </c>
      <c r="Q48" s="8" t="inlineStr"/>
      <c r="R48" s="8" t="n">
        <v>1</v>
      </c>
      <c r="S48" s="8" t="n">
        <v>1</v>
      </c>
      <c r="T48" s="8" t="inlineStr"/>
      <c r="U48" s="8" t="inlineStr"/>
      <c r="V48" s="8" t="n">
        <v>1</v>
      </c>
      <c r="W48" s="8" t="n">
        <v>0</v>
      </c>
      <c r="X48" s="8" t="n">
        <v>0</v>
      </c>
      <c r="Y48" s="8" t="n">
        <v>0</v>
      </c>
      <c r="Z48" s="8" t="n">
        <v>1</v>
      </c>
      <c r="AA48" s="8" t="n">
        <v>0</v>
      </c>
      <c r="AB48" s="8" t="inlineStr"/>
      <c r="AC48" s="8" t="inlineStr"/>
      <c r="AD48" s="8" t="inlineStr"/>
      <c r="AE48" s="8" t="inlineStr"/>
      <c r="AF48" s="8" t="n">
        <v>0</v>
      </c>
      <c r="AG48" s="8" t="inlineStr"/>
      <c r="AH48" s="8" t="n">
        <v>0</v>
      </c>
      <c r="AI48" s="8" t="inlineStr"/>
      <c r="AJ48" s="8" t="inlineStr"/>
      <c r="AK48" s="8" t="n">
        <v>0</v>
      </c>
      <c r="AL48" s="8" t="inlineStr"/>
      <c r="AM48" s="8" t="n">
        <v>0</v>
      </c>
      <c r="AN48" s="8" t="n">
        <v>0</v>
      </c>
      <c r="AO48" s="8" t="n">
        <v>0</v>
      </c>
      <c r="AP48" s="8" t="n">
        <v>14500</v>
      </c>
      <c r="AQ48" s="8" t="n">
        <v>14500</v>
      </c>
      <c r="AR48" s="8" t="n">
        <v>4393500</v>
      </c>
      <c r="AS48" s="8" t="n">
        <v>1</v>
      </c>
    </row>
    <row r="49">
      <c r="A49" s="8" t="n">
        <v>44</v>
      </c>
      <c r="B49" s="8" t="inlineStr">
        <is>
          <t>A33.0335</t>
        </is>
      </c>
      <c r="C49" s="8" t="inlineStr">
        <is>
          <t>Ống uPVC_D42</t>
        </is>
      </c>
      <c r="E49" s="8" t="inlineStr">
        <is>
          <t>m</t>
        </is>
      </c>
      <c r="F49" s="8" t="n">
        <v>303</v>
      </c>
      <c r="G49" s="8" t="inlineStr"/>
      <c r="H49" s="8" t="inlineStr"/>
      <c r="I49" s="8" t="inlineStr"/>
      <c r="J49" s="8" t="inlineStr">
        <is>
          <t>ô tô thùng 7T</t>
        </is>
      </c>
      <c r="K49" s="8" t="n">
        <v>1</v>
      </c>
      <c r="L49" s="8" t="n">
        <v>1</v>
      </c>
      <c r="M49" s="8" t="inlineStr"/>
      <c r="N49" s="8" t="inlineStr"/>
      <c r="O49" s="8" t="inlineStr"/>
      <c r="P49" s="8" t="n">
        <v>1</v>
      </c>
      <c r="Q49" s="8" t="inlineStr"/>
      <c r="R49" s="8" t="n">
        <v>1</v>
      </c>
      <c r="S49" s="8" t="n">
        <v>1</v>
      </c>
      <c r="T49" s="8" t="inlineStr"/>
      <c r="U49" s="8" t="inlineStr"/>
      <c r="V49" s="8" t="n">
        <v>1</v>
      </c>
      <c r="W49" s="8" t="n">
        <v>0</v>
      </c>
      <c r="X49" s="8" t="n">
        <v>0</v>
      </c>
      <c r="Y49" s="8" t="n">
        <v>0</v>
      </c>
      <c r="Z49" s="8" t="n">
        <v>1</v>
      </c>
      <c r="AA49" s="8" t="n">
        <v>0</v>
      </c>
      <c r="AB49" s="8" t="inlineStr"/>
      <c r="AC49" s="8" t="inlineStr"/>
      <c r="AD49" s="8" t="inlineStr"/>
      <c r="AE49" s="8" t="inlineStr"/>
      <c r="AF49" s="8" t="n">
        <v>0</v>
      </c>
      <c r="AG49" s="8" t="inlineStr"/>
      <c r="AH49" s="8" t="n">
        <v>0</v>
      </c>
      <c r="AI49" s="8" t="inlineStr"/>
      <c r="AJ49" s="8" t="inlineStr"/>
      <c r="AK49" s="8" t="n">
        <v>0</v>
      </c>
      <c r="AL49" s="8" t="inlineStr"/>
      <c r="AM49" s="8" t="n">
        <v>0</v>
      </c>
      <c r="AN49" s="8" t="n">
        <v>0</v>
      </c>
      <c r="AO49" s="8" t="n">
        <v>0</v>
      </c>
      <c r="AP49" s="8" t="n">
        <v>22600</v>
      </c>
      <c r="AQ49" s="8" t="n">
        <v>22600</v>
      </c>
      <c r="AR49" s="8" t="n">
        <v>6847800</v>
      </c>
      <c r="AS49" s="8" t="n">
        <v>1</v>
      </c>
    </row>
    <row r="50">
      <c r="A50" s="8" t="n">
        <v>45</v>
      </c>
      <c r="B50" s="8" t="inlineStr">
        <is>
          <t>A33.0336</t>
        </is>
      </c>
      <c r="C50" s="8" t="inlineStr">
        <is>
          <t>Ống uPVC_D48</t>
        </is>
      </c>
      <c r="E50" s="8" t="inlineStr">
        <is>
          <t>m</t>
        </is>
      </c>
      <c r="F50" s="8" t="n">
        <v>252.5</v>
      </c>
      <c r="G50" s="8" t="inlineStr"/>
      <c r="H50" s="8" t="inlineStr"/>
      <c r="I50" s="8" t="inlineStr"/>
      <c r="J50" s="8" t="inlineStr">
        <is>
          <t>ô tô thùng 7T</t>
        </is>
      </c>
      <c r="K50" s="8" t="n">
        <v>1</v>
      </c>
      <c r="L50" s="8" t="n">
        <v>1</v>
      </c>
      <c r="M50" s="8" t="inlineStr"/>
      <c r="N50" s="8" t="inlineStr"/>
      <c r="O50" s="8" t="inlineStr"/>
      <c r="P50" s="8" t="n">
        <v>1</v>
      </c>
      <c r="Q50" s="8" t="inlineStr"/>
      <c r="R50" s="8" t="n">
        <v>1</v>
      </c>
      <c r="S50" s="8" t="n">
        <v>1</v>
      </c>
      <c r="T50" s="8" t="inlineStr"/>
      <c r="U50" s="8" t="inlineStr"/>
      <c r="V50" s="8" t="n">
        <v>1</v>
      </c>
      <c r="W50" s="8" t="n">
        <v>0</v>
      </c>
      <c r="X50" s="8" t="n">
        <v>0</v>
      </c>
      <c r="Y50" s="8" t="n">
        <v>0</v>
      </c>
      <c r="Z50" s="8" t="n">
        <v>1</v>
      </c>
      <c r="AA50" s="8" t="n">
        <v>0</v>
      </c>
      <c r="AB50" s="8" t="inlineStr"/>
      <c r="AC50" s="8" t="inlineStr"/>
      <c r="AD50" s="8" t="inlineStr"/>
      <c r="AE50" s="8" t="inlineStr"/>
      <c r="AF50" s="8" t="n">
        <v>0</v>
      </c>
      <c r="AG50" s="8" t="inlineStr"/>
      <c r="AH50" s="8" t="n">
        <v>0</v>
      </c>
      <c r="AI50" s="8" t="inlineStr"/>
      <c r="AJ50" s="8" t="inlineStr"/>
      <c r="AK50" s="8" t="n">
        <v>0</v>
      </c>
      <c r="AL50" s="8" t="inlineStr"/>
      <c r="AM50" s="8" t="n">
        <v>0</v>
      </c>
      <c r="AN50" s="8" t="n">
        <v>0</v>
      </c>
      <c r="AO50" s="8" t="n">
        <v>0</v>
      </c>
      <c r="AP50" s="8" t="n">
        <v>27300</v>
      </c>
      <c r="AQ50" s="8" t="n">
        <v>27300</v>
      </c>
      <c r="AR50" s="8" t="n">
        <v>6893250</v>
      </c>
      <c r="AS50" s="8" t="n">
        <v>1</v>
      </c>
    </row>
    <row r="51">
      <c r="A51" s="8" t="n">
        <v>46</v>
      </c>
      <c r="B51" s="8" t="inlineStr">
        <is>
          <t>A33.0108</t>
        </is>
      </c>
      <c r="C51" s="8" t="inlineStr">
        <is>
          <t>Que hàn các loại</t>
        </is>
      </c>
      <c r="E51" s="8" t="inlineStr">
        <is>
          <t>kg</t>
        </is>
      </c>
      <c r="F51" s="8" t="n">
        <v>1.1508</v>
      </c>
      <c r="G51" s="8" t="inlineStr">
        <is>
          <t>Thép các loại</t>
        </is>
      </c>
      <c r="H51" s="8" t="n">
        <v>0.001</v>
      </c>
      <c r="I51" s="8" t="inlineStr"/>
      <c r="J51" s="8" t="inlineStr">
        <is>
          <t>ô tô thùng 7T</t>
        </is>
      </c>
      <c r="K51" s="8" t="n">
        <v>1</v>
      </c>
      <c r="L51" s="8" t="n">
        <v>1</v>
      </c>
      <c r="M51" s="8" t="inlineStr"/>
      <c r="N51" s="8" t="inlineStr"/>
      <c r="O51" s="8" t="inlineStr"/>
      <c r="P51" s="8" t="n">
        <v>1</v>
      </c>
      <c r="Q51" s="8" t="inlineStr"/>
      <c r="R51" s="8" t="n">
        <v>1</v>
      </c>
      <c r="S51" s="8" t="n">
        <v>1</v>
      </c>
      <c r="T51" s="8" t="inlineStr"/>
      <c r="U51" s="8" t="inlineStr"/>
      <c r="V51" s="8" t="n">
        <v>1</v>
      </c>
      <c r="W51" s="8" t="n">
        <v>0</v>
      </c>
      <c r="X51" s="8" t="n">
        <v>0</v>
      </c>
      <c r="Y51" s="8" t="n">
        <v>0</v>
      </c>
      <c r="Z51" s="8" t="n">
        <v>1</v>
      </c>
      <c r="AA51" s="8" t="n">
        <v>0</v>
      </c>
      <c r="AB51" s="8" t="inlineStr"/>
      <c r="AC51" s="8" t="inlineStr"/>
      <c r="AD51" s="8" t="inlineStr"/>
      <c r="AE51" s="8" t="inlineStr"/>
      <c r="AF51" s="8" t="n">
        <v>0</v>
      </c>
      <c r="AG51" s="8" t="inlineStr"/>
      <c r="AH51" s="8" t="n">
        <v>0</v>
      </c>
      <c r="AI51" s="8" t="inlineStr"/>
      <c r="AJ51" s="8" t="inlineStr"/>
      <c r="AK51" s="8" t="n">
        <v>0</v>
      </c>
      <c r="AL51" s="8" t="inlineStr"/>
      <c r="AM51" s="8" t="n">
        <v>0</v>
      </c>
      <c r="AN51" s="8" t="n">
        <v>0</v>
      </c>
      <c r="AO51" s="8" t="n">
        <v>0</v>
      </c>
      <c r="AP51" s="8" t="n">
        <v>19800</v>
      </c>
      <c r="AQ51" s="8" t="n">
        <v>19800</v>
      </c>
      <c r="AR51" s="8" t="n">
        <v>22786</v>
      </c>
      <c r="AS51" s="8" t="n">
        <v>1</v>
      </c>
    </row>
    <row r="52">
      <c r="A52" s="8" t="n">
        <v>47</v>
      </c>
      <c r="B52" s="8" t="inlineStr">
        <is>
          <t>A33.0113</t>
        </is>
      </c>
      <c r="C52" s="8" t="inlineStr">
        <is>
          <t>Que hàn đồng</t>
        </is>
      </c>
      <c r="E52" s="8" t="inlineStr">
        <is>
          <t>kg</t>
        </is>
      </c>
      <c r="F52" s="8" t="n">
        <v>7.188400000000001</v>
      </c>
      <c r="G52" s="8" t="inlineStr">
        <is>
          <t>Thép các loại</t>
        </is>
      </c>
      <c r="H52" s="8" t="n">
        <v>0.001</v>
      </c>
      <c r="I52" s="8" t="inlineStr"/>
      <c r="J52" s="8" t="inlineStr">
        <is>
          <t>ô tô thùng 7T</t>
        </is>
      </c>
      <c r="K52" s="8" t="n">
        <v>1</v>
      </c>
      <c r="L52" s="8" t="n">
        <v>1</v>
      </c>
      <c r="M52" s="8" t="inlineStr"/>
      <c r="N52" s="8" t="inlineStr"/>
      <c r="O52" s="8" t="inlineStr"/>
      <c r="P52" s="8" t="n">
        <v>1</v>
      </c>
      <c r="Q52" s="8" t="inlineStr"/>
      <c r="R52" s="8" t="n">
        <v>1</v>
      </c>
      <c r="S52" s="8" t="n">
        <v>1</v>
      </c>
      <c r="T52" s="8" t="inlineStr"/>
      <c r="U52" s="8" t="inlineStr"/>
      <c r="V52" s="8" t="n">
        <v>1</v>
      </c>
      <c r="W52" s="8" t="n">
        <v>0</v>
      </c>
      <c r="X52" s="8" t="n">
        <v>0</v>
      </c>
      <c r="Y52" s="8" t="n">
        <v>0</v>
      </c>
      <c r="Z52" s="8" t="n">
        <v>1</v>
      </c>
      <c r="AA52" s="8" t="n">
        <v>0</v>
      </c>
      <c r="AB52" s="8" t="inlineStr"/>
      <c r="AC52" s="8" t="inlineStr"/>
      <c r="AD52" s="8" t="inlineStr"/>
      <c r="AE52" s="8" t="inlineStr"/>
      <c r="AF52" s="8" t="n">
        <v>0</v>
      </c>
      <c r="AG52" s="8" t="inlineStr"/>
      <c r="AH52" s="8" t="n">
        <v>0</v>
      </c>
      <c r="AI52" s="8" t="inlineStr"/>
      <c r="AJ52" s="8" t="inlineStr"/>
      <c r="AK52" s="8" t="n">
        <v>0</v>
      </c>
      <c r="AL52" s="8" t="inlineStr"/>
      <c r="AM52" s="8" t="n">
        <v>0</v>
      </c>
      <c r="AN52" s="8" t="n">
        <v>0</v>
      </c>
      <c r="AO52" s="8" t="n">
        <v>0</v>
      </c>
      <c r="AP52" s="8" t="n">
        <v>250000</v>
      </c>
      <c r="AQ52" s="8" t="n">
        <v>250000</v>
      </c>
      <c r="AR52" s="8" t="n">
        <v>1797100</v>
      </c>
      <c r="AS52" s="8" t="n">
        <v>1</v>
      </c>
    </row>
    <row r="53">
      <c r="A53" s="8" t="n">
        <v>48</v>
      </c>
      <c r="B53" s="8" t="inlineStr">
        <is>
          <t>A33.0003</t>
        </is>
      </c>
      <c r="C53" s="8" t="inlineStr">
        <is>
          <t>Thép tấm</t>
        </is>
      </c>
      <c r="E53" s="8" t="inlineStr">
        <is>
          <t>kg</t>
        </is>
      </c>
      <c r="F53" s="8" t="n">
        <v>15.2344</v>
      </c>
      <c r="G53" s="8" t="inlineStr">
        <is>
          <t>Thép các loại</t>
        </is>
      </c>
      <c r="H53" s="8" t="n">
        <v>0.001</v>
      </c>
      <c r="I53" s="8" t="inlineStr"/>
      <c r="J53" s="8" t="inlineStr">
        <is>
          <t>ô tô thùng 7T</t>
        </is>
      </c>
      <c r="K53" s="8" t="n">
        <v>1</v>
      </c>
      <c r="L53" s="8" t="n">
        <v>1</v>
      </c>
      <c r="M53" s="8" t="inlineStr"/>
      <c r="N53" s="8" t="inlineStr"/>
      <c r="O53" s="8" t="inlineStr"/>
      <c r="P53" s="8" t="n">
        <v>1</v>
      </c>
      <c r="Q53" s="8" t="inlineStr"/>
      <c r="R53" s="8" t="n">
        <v>1</v>
      </c>
      <c r="S53" s="8" t="n">
        <v>1</v>
      </c>
      <c r="T53" s="8" t="inlineStr"/>
      <c r="U53" s="8" t="inlineStr"/>
      <c r="V53" s="8" t="n">
        <v>1</v>
      </c>
      <c r="W53" s="8" t="n">
        <v>0</v>
      </c>
      <c r="X53" s="8" t="n">
        <v>0</v>
      </c>
      <c r="Y53" s="8" t="n">
        <v>0</v>
      </c>
      <c r="Z53" s="8" t="n">
        <v>1</v>
      </c>
      <c r="AA53" s="8" t="n">
        <v>0</v>
      </c>
      <c r="AB53" s="8" t="inlineStr"/>
      <c r="AC53" s="8" t="inlineStr"/>
      <c r="AD53" s="8" t="inlineStr"/>
      <c r="AE53" s="8" t="inlineStr"/>
      <c r="AF53" s="8" t="n">
        <v>0</v>
      </c>
      <c r="AG53" s="8" t="inlineStr"/>
      <c r="AH53" s="8" t="n">
        <v>0</v>
      </c>
      <c r="AI53" s="8" t="inlineStr"/>
      <c r="AJ53" s="8" t="inlineStr"/>
      <c r="AK53" s="8" t="n">
        <v>0</v>
      </c>
      <c r="AL53" s="8" t="inlineStr"/>
      <c r="AM53" s="8" t="n">
        <v>0</v>
      </c>
      <c r="AN53" s="8" t="n">
        <v>0</v>
      </c>
      <c r="AO53" s="8" t="n">
        <v>0</v>
      </c>
      <c r="AP53" s="8" t="n">
        <v>14950</v>
      </c>
      <c r="AQ53" s="8" t="n">
        <v>14950</v>
      </c>
      <c r="AR53" s="8" t="n">
        <v>227754</v>
      </c>
      <c r="AS53" s="8" t="n">
        <v>1</v>
      </c>
    </row>
    <row r="54">
      <c r="A54" s="8" t="n">
        <v>49</v>
      </c>
      <c r="B54" s="8" t="inlineStr">
        <is>
          <t>A33.0469</t>
        </is>
      </c>
      <c r="C54" s="8" t="inlineStr">
        <is>
          <t>Thuốc hàn</t>
        </is>
      </c>
      <c r="E54" s="8" t="inlineStr">
        <is>
          <t>kg</t>
        </is>
      </c>
      <c r="F54" s="8" t="n">
        <v>0.7999000000000001</v>
      </c>
      <c r="G54" s="8" t="inlineStr"/>
      <c r="H54" s="8" t="inlineStr"/>
      <c r="I54" s="8" t="inlineStr"/>
      <c r="J54" s="8" t="inlineStr">
        <is>
          <t>ô tô thùng 7T</t>
        </is>
      </c>
      <c r="K54" s="8" t="n">
        <v>1</v>
      </c>
      <c r="L54" s="8" t="n">
        <v>1</v>
      </c>
      <c r="M54" s="8" t="inlineStr"/>
      <c r="N54" s="8" t="inlineStr"/>
      <c r="O54" s="8" t="inlineStr"/>
      <c r="P54" s="8" t="n">
        <v>1</v>
      </c>
      <c r="Q54" s="8" t="inlineStr"/>
      <c r="R54" s="8" t="n">
        <v>1</v>
      </c>
      <c r="S54" s="8" t="n">
        <v>1</v>
      </c>
      <c r="T54" s="8" t="inlineStr"/>
      <c r="U54" s="8" t="inlineStr"/>
      <c r="V54" s="8" t="n">
        <v>1</v>
      </c>
      <c r="W54" s="8" t="n">
        <v>0</v>
      </c>
      <c r="X54" s="8" t="n">
        <v>0</v>
      </c>
      <c r="Y54" s="8" t="n">
        <v>0</v>
      </c>
      <c r="Z54" s="8" t="n">
        <v>1</v>
      </c>
      <c r="AA54" s="8" t="n">
        <v>0</v>
      </c>
      <c r="AB54" s="8" t="inlineStr"/>
      <c r="AC54" s="8" t="inlineStr"/>
      <c r="AD54" s="8" t="inlineStr"/>
      <c r="AE54" s="8" t="inlineStr"/>
      <c r="AF54" s="8" t="n">
        <v>0</v>
      </c>
      <c r="AG54" s="8" t="inlineStr"/>
      <c r="AH54" s="8" t="n">
        <v>0</v>
      </c>
      <c r="AI54" s="8" t="inlineStr"/>
      <c r="AJ54" s="8" t="inlineStr"/>
      <c r="AK54" s="8" t="n">
        <v>0</v>
      </c>
      <c r="AL54" s="8" t="inlineStr"/>
      <c r="AM54" s="8" t="n">
        <v>0</v>
      </c>
      <c r="AN54" s="8" t="n">
        <v>0</v>
      </c>
      <c r="AO54" s="8" t="n">
        <v>0</v>
      </c>
      <c r="AP54" s="8" t="n">
        <v>27000</v>
      </c>
      <c r="AQ54" s="8" t="n">
        <v>27000</v>
      </c>
      <c r="AR54" s="8" t="n">
        <v>21597</v>
      </c>
      <c r="AS54" s="8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C54"/>
  <sheetViews>
    <sheetView workbookViewId="0">
      <selection activeCell="A1" sqref="A1"/>
    </sheetView>
  </sheetViews>
  <sheetFormatPr baseColWidth="8" defaultRowHeight="15"/>
  <cols>
    <col width="50" customWidth="1" min="1" max="1"/>
    <col width="13" customWidth="1" min="2" max="2"/>
    <col width="38" customWidth="1" min="3" max="3"/>
    <col width="38" customWidth="1" min="4" max="4"/>
    <col width="12" customWidth="1" min="5" max="5"/>
    <col width="22" customWidth="1" min="6" max="6"/>
    <col width="16" customWidth="1" min="7" max="7"/>
    <col width="25" customWidth="1" min="8" max="8"/>
    <col width="12" customWidth="1" min="9" max="9"/>
    <col width="23" customWidth="1" min="10" max="10"/>
    <col width="14" customWidth="1" min="11" max="11"/>
    <col width="20" customWidth="1" min="12" max="12"/>
    <col width="30" customWidth="1" min="13" max="13"/>
    <col width="12" customWidth="1" min="14" max="14"/>
    <col width="12" customWidth="1" min="15" max="15"/>
    <col width="30" customWidth="1" min="16" max="16"/>
    <col width="12" customWidth="1" min="17" max="17"/>
    <col width="12" customWidth="1" min="18" max="18"/>
    <col width="15" customWidth="1" min="19" max="19"/>
    <col width="28" customWidth="1" min="20" max="20"/>
    <col width="16" customWidth="1" min="21" max="21"/>
    <col width="24" customWidth="1" min="22" max="22"/>
    <col width="21" customWidth="1" min="23" max="23"/>
    <col width="18" customWidth="1" min="24" max="24"/>
    <col width="28" customWidth="1" min="25" max="25"/>
    <col width="34" customWidth="1" min="26" max="26"/>
    <col width="33" customWidth="1" min="27" max="27"/>
    <col width="29" customWidth="1" min="28" max="28"/>
    <col width="17" customWidth="1" min="29" max="29"/>
  </cols>
  <sheetData>
    <row r="1">
      <c r="A1" s="8" t="inlineStr">
        <is>
          <t>BẢNG CƯỚC VẬN CHUYỂN BỘ HẠNG MỤC CÔNG TRÌNH</t>
        </is>
      </c>
      <c r="B1" s="8" t="inlineStr"/>
      <c r="C1" s="8" t="inlineStr"/>
      <c r="E1" s="8" t="inlineStr"/>
      <c r="F1" s="8" t="inlineStr"/>
      <c r="G1" s="8" t="inlineStr"/>
      <c r="H1" s="8" t="inlineStr"/>
      <c r="I1" s="8" t="inlineStr"/>
      <c r="J1" s="8" t="inlineStr"/>
      <c r="K1" s="8" t="inlineStr"/>
      <c r="L1" s="8" t="inlineStr"/>
      <c r="M1" s="8" t="inlineStr"/>
      <c r="N1" s="8" t="inlineStr"/>
      <c r="O1" s="8" t="inlineStr"/>
      <c r="P1" s="8" t="inlineStr"/>
      <c r="Q1" s="8" t="inlineStr"/>
      <c r="R1" s="8" t="inlineStr"/>
      <c r="S1" s="8" t="inlineStr"/>
      <c r="T1" s="8" t="inlineStr"/>
      <c r="U1" s="8" t="inlineStr"/>
      <c r="V1" s="8" t="inlineStr"/>
      <c r="W1" s="8" t="inlineStr"/>
      <c r="X1" s="8" t="inlineStr"/>
      <c r="Y1" s="8" t="inlineStr"/>
      <c r="Z1" s="8" t="inlineStr"/>
      <c r="AA1" s="8" t="inlineStr"/>
      <c r="AB1" s="8" t="inlineStr"/>
      <c r="AC1" s="8" t="inlineStr"/>
    </row>
    <row r="2">
      <c r="A2" s="8" t="inlineStr">
        <is>
          <t>DỰ ÁN: XÂY DỰNG NHÀ Ở CHO LỰC LƯỢNG VŨ TRANG CÔNG AN NHÂN DÂN TẠI Ô ĐẤT NO1 THUỘC LÔ ĐẤT D12 KHU ĐÔ THỊ MỚI CẦU GIẤY,
 PHƯỜNG CẦU GIẤY, THÀNH PHỐ HÀ NỘI</t>
        </is>
      </c>
      <c r="B2" s="8" t="inlineStr"/>
      <c r="C2" s="8" t="inlineStr"/>
      <c r="E2" s="8" t="inlineStr"/>
      <c r="F2" s="8" t="inlineStr"/>
      <c r="G2" s="8" t="inlineStr"/>
      <c r="H2" s="8" t="inlineStr"/>
      <c r="I2" s="8" t="inlineStr"/>
      <c r="J2" s="8" t="inlineStr"/>
      <c r="K2" s="8" t="inlineStr"/>
      <c r="L2" s="8" t="inlineStr"/>
      <c r="M2" s="8" t="inlineStr"/>
      <c r="N2" s="8" t="inlineStr"/>
      <c r="O2" s="8" t="inlineStr"/>
      <c r="P2" s="8" t="inlineStr"/>
      <c r="Q2" s="8" t="inlineStr"/>
      <c r="R2" s="8" t="inlineStr"/>
      <c r="S2" s="8" t="inlineStr"/>
      <c r="T2" s="8" t="inlineStr"/>
      <c r="U2" s="8" t="inlineStr"/>
      <c r="V2" s="8" t="inlineStr"/>
      <c r="W2" s="8" t="inlineStr"/>
      <c r="X2" s="8" t="inlineStr"/>
      <c r="Y2" s="8" t="inlineStr"/>
      <c r="Z2" s="8" t="inlineStr"/>
      <c r="AA2" s="8" t="inlineStr"/>
      <c r="AB2" s="8" t="inlineStr"/>
      <c r="AC2" s="8" t="inlineStr"/>
    </row>
    <row r="3">
      <c r="A3" s="8" t="inlineStr"/>
      <c r="B3" s="8" t="inlineStr"/>
      <c r="C3" s="8" t="inlineStr"/>
      <c r="E3" s="8" t="inlineStr"/>
      <c r="F3" s="8" t="inlineStr"/>
      <c r="G3" s="8" t="inlineStr"/>
      <c r="H3" s="8" t="inlineStr"/>
      <c r="I3" s="8" t="inlineStr"/>
      <c r="J3" s="8" t="inlineStr"/>
      <c r="K3" s="8" t="inlineStr"/>
      <c r="L3" s="8" t="inlineStr"/>
      <c r="M3" s="8" t="inlineStr"/>
      <c r="N3" s="8" t="inlineStr"/>
      <c r="O3" s="8" t="inlineStr"/>
      <c r="P3" s="8" t="inlineStr"/>
      <c r="Q3" s="8" t="inlineStr"/>
      <c r="R3" s="8" t="inlineStr"/>
      <c r="S3" s="8" t="inlineStr"/>
      <c r="T3" s="8" t="inlineStr"/>
      <c r="U3" s="8" t="inlineStr"/>
      <c r="V3" s="8" t="inlineStr"/>
      <c r="W3" s="8" t="inlineStr"/>
      <c r="X3" s="8" t="inlineStr"/>
      <c r="Y3" s="8" t="inlineStr"/>
      <c r="Z3" s="8" t="inlineStr"/>
      <c r="AA3" s="8" t="inlineStr"/>
      <c r="AB3" s="8" t="inlineStr"/>
      <c r="AC3" s="8" t="inlineStr"/>
    </row>
    <row r="4">
      <c r="A4" s="8" t="inlineStr">
        <is>
          <t>STT</t>
        </is>
      </c>
      <c r="B4" s="8" t="inlineStr">
        <is>
          <t>Mã số</t>
        </is>
      </c>
      <c r="C4" s="8" t="inlineStr">
        <is>
          <t>Tên vật liệu
/
Diễn giải
cung đường</t>
        </is>
      </c>
      <c r="D4" s="10" t="inlineStr">
        <is>
          <t>LINK TRA CỨU TT 38/2026/TT-BXD</t>
        </is>
      </c>
      <c r="E4" s="8" t="inlineStr">
        <is>
          <t>Đơn
vị</t>
        </is>
      </c>
      <c r="F4" s="8" t="inlineStr">
        <is>
          <t>Khối
lượng</t>
        </is>
      </c>
      <c r="G4" s="8" t="inlineStr">
        <is>
          <t>Nhóm vật liệu</t>
        </is>
      </c>
      <c r="H4" s="8" t="inlineStr">
        <is>
          <t>Phương
tiện
vận
chuyển</t>
        </is>
      </c>
      <c r="I4" s="8" t="inlineStr">
        <is>
          <t>Có
bốc
dỡ</t>
        </is>
      </c>
      <c r="J4" s="8" t="inlineStr">
        <is>
          <t>Cự ly
vận
chuyển
(m)</t>
        </is>
      </c>
      <c r="K4" s="8" t="inlineStr">
        <is>
          <t>Hệ
số
cự
ly</t>
        </is>
      </c>
      <c r="L4" s="8" t="inlineStr">
        <is>
          <t>Cự ly
quy
đổi
(m)</t>
        </is>
      </c>
      <c r="M4" s="8" t="inlineStr">
        <is>
          <t>Số công bốc dỡ / V.C
(công)</t>
        </is>
      </c>
      <c r="N4" s="8" t="inlineStr"/>
      <c r="O4" s="8" t="inlineStr"/>
      <c r="P4" s="8" t="inlineStr">
        <is>
          <t>Đơn giá bốc dỡ / V.C
(đồng)</t>
        </is>
      </c>
      <c r="Q4" s="8" t="inlineStr"/>
      <c r="R4" s="8" t="inlineStr"/>
      <c r="S4" s="8" t="inlineStr">
        <is>
          <t>Hệ
số
độ
dốc</t>
        </is>
      </c>
      <c r="T4" s="8" t="inlineStr">
        <is>
          <t>Giá
cước
1 cung
đường
(đ)</t>
        </is>
      </c>
      <c r="U4" s="8" t="inlineStr">
        <is>
          <t>Hệ
số
khu
vực</t>
        </is>
      </c>
      <c r="V4" s="8" t="inlineStr">
        <is>
          <t>Hệ
số
điều
chỉnh
cước</t>
        </is>
      </c>
      <c r="W4" s="8" t="inlineStr">
        <is>
          <t>Trọng
lượng
đơn
vị</t>
        </is>
      </c>
      <c r="X4" s="8" t="inlineStr">
        <is>
          <t>Giá
cước bộ
(đ)</t>
        </is>
      </c>
      <c r="Y4" s="8" t="inlineStr">
        <is>
          <t>Thành tiền
vận
chuyển
(đ)</t>
        </is>
      </c>
      <c r="Z4" s="8" t="inlineStr">
        <is>
          <t>Giá vật
liệu gốc
trước thuế
(đ)</t>
        </is>
      </c>
      <c r="AA4" s="8" t="inlineStr">
        <is>
          <t>Giá hiện
trường
trước
thuế
(đ)</t>
        </is>
      </c>
      <c r="AB4" s="8" t="inlineStr">
        <is>
          <t>Thành tiền
hiện trường
(đ)</t>
        </is>
      </c>
      <c r="AC4" s="8" t="inlineStr">
        <is>
          <t>Đơn giá
NC
(đ)</t>
        </is>
      </c>
    </row>
    <row r="5">
      <c r="A5" s="8" t="inlineStr"/>
      <c r="B5" s="8" t="inlineStr"/>
      <c r="C5" s="8" t="inlineStr"/>
      <c r="E5" s="8" t="inlineStr"/>
      <c r="F5" s="8" t="inlineStr"/>
      <c r="G5" s="8" t="inlineStr"/>
      <c r="H5" s="8" t="inlineStr"/>
      <c r="I5" s="8" t="inlineStr"/>
      <c r="J5" s="8" t="inlineStr"/>
      <c r="K5" s="8" t="inlineStr"/>
      <c r="L5" s="8" t="inlineStr"/>
      <c r="M5" s="8" t="inlineStr">
        <is>
          <t>Bốc dỡ</t>
        </is>
      </c>
      <c r="N5" s="8" t="inlineStr">
        <is>
          <t>10m đầu</t>
        </is>
      </c>
      <c r="O5" s="8" t="inlineStr">
        <is>
          <t>10m tiếp</t>
        </is>
      </c>
      <c r="P5" s="8" t="inlineStr">
        <is>
          <t>Bốc dỡ</t>
        </is>
      </c>
      <c r="Q5" s="8" t="inlineStr">
        <is>
          <t>10m đầu</t>
        </is>
      </c>
      <c r="R5" s="8" t="inlineStr">
        <is>
          <t>10m tiếp</t>
        </is>
      </c>
      <c r="S5" s="8" t="inlineStr"/>
      <c r="T5" s="8" t="inlineStr"/>
      <c r="U5" s="8" t="inlineStr"/>
      <c r="V5" s="8" t="inlineStr"/>
      <c r="W5" s="8" t="inlineStr"/>
      <c r="X5" s="8" t="inlineStr"/>
      <c r="Y5" s="8" t="inlineStr"/>
      <c r="Z5" s="8" t="inlineStr"/>
      <c r="AA5" s="8" t="inlineStr"/>
      <c r="AB5" s="8" t="inlineStr"/>
      <c r="AC5" s="8" t="n">
        <v>100000</v>
      </c>
    </row>
    <row r="6">
      <c r="A6" s="8" t="n">
        <v>1</v>
      </c>
      <c r="B6" s="8" t="inlineStr">
        <is>
          <t>A33.085203</t>
        </is>
      </c>
      <c r="C6" s="8" t="inlineStr">
        <is>
          <t>Bảo ôn ống đồng D12.7 dày 19mm</t>
        </is>
      </c>
      <c r="E6" s="8" t="inlineStr">
        <is>
          <t>m</t>
        </is>
      </c>
      <c r="F6" s="8" t="n">
        <v>50.25</v>
      </c>
      <c r="G6" s="8" t="inlineStr"/>
      <c r="H6" s="8" t="inlineStr"/>
      <c r="I6" s="8" t="b">
        <v>0</v>
      </c>
      <c r="J6" s="8" t="inlineStr"/>
      <c r="K6" s="8" t="n">
        <v>1</v>
      </c>
      <c r="L6" s="8" t="inlineStr"/>
      <c r="M6" s="8" t="inlineStr"/>
      <c r="N6" s="8" t="inlineStr"/>
      <c r="O6" s="8" t="inlineStr"/>
      <c r="P6" s="8" t="inlineStr"/>
      <c r="Q6" s="8" t="inlineStr"/>
      <c r="R6" s="8" t="inlineStr"/>
      <c r="S6" s="8" t="n">
        <v>1</v>
      </c>
      <c r="T6" s="8" t="inlineStr"/>
      <c r="U6" s="8" t="n">
        <v>1</v>
      </c>
      <c r="V6" s="8" t="n">
        <v>1</v>
      </c>
      <c r="W6" s="8" t="n">
        <v>1</v>
      </c>
      <c r="X6" s="8" t="n">
        <v>0</v>
      </c>
      <c r="Y6" s="8" t="inlineStr"/>
      <c r="Z6" s="8" t="n">
        <v>21000</v>
      </c>
      <c r="AA6" s="8" t="n">
        <v>21000</v>
      </c>
      <c r="AB6" s="8" t="n">
        <v>1055250</v>
      </c>
      <c r="AC6" s="8" t="inlineStr"/>
    </row>
    <row r="7">
      <c r="A7" s="8" t="n">
        <v>2</v>
      </c>
      <c r="B7" s="8" t="inlineStr">
        <is>
          <t>A33.085204</t>
        </is>
      </c>
      <c r="C7" s="8" t="inlineStr">
        <is>
          <t>Bảo ôn ống đồng D15.9 dày 19mm</t>
        </is>
      </c>
      <c r="E7" s="8" t="inlineStr">
        <is>
          <t>m</t>
        </is>
      </c>
      <c r="F7" s="8" t="n">
        <v>2341.65</v>
      </c>
      <c r="G7" s="8" t="inlineStr"/>
      <c r="H7" s="8" t="inlineStr"/>
      <c r="I7" s="8" t="b">
        <v>0</v>
      </c>
      <c r="J7" s="8" t="inlineStr"/>
      <c r="K7" s="8" t="n">
        <v>1</v>
      </c>
      <c r="L7" s="8" t="inlineStr"/>
      <c r="M7" s="8" t="inlineStr"/>
      <c r="N7" s="8" t="inlineStr"/>
      <c r="O7" s="8" t="inlineStr"/>
      <c r="P7" s="8" t="inlineStr"/>
      <c r="Q7" s="8" t="inlineStr"/>
      <c r="R7" s="8" t="inlineStr"/>
      <c r="S7" s="8" t="n">
        <v>1</v>
      </c>
      <c r="T7" s="8" t="inlineStr"/>
      <c r="U7" s="8" t="n">
        <v>1</v>
      </c>
      <c r="V7" s="8" t="n">
        <v>1</v>
      </c>
      <c r="W7" s="8" t="n">
        <v>1</v>
      </c>
      <c r="X7" s="8" t="n">
        <v>0</v>
      </c>
      <c r="Y7" s="8" t="inlineStr"/>
      <c r="Z7" s="8" t="n">
        <v>22900</v>
      </c>
      <c r="AA7" s="8" t="n">
        <v>22900</v>
      </c>
      <c r="AB7" s="8" t="n">
        <v>53623785</v>
      </c>
      <c r="AC7" s="8" t="inlineStr"/>
    </row>
    <row r="8">
      <c r="A8" s="8" t="n">
        <v>3</v>
      </c>
      <c r="B8" s="8" t="inlineStr">
        <is>
          <t>A33.085205</t>
        </is>
      </c>
      <c r="C8" s="8" t="inlineStr">
        <is>
          <t>Bảo ôn ống đồng D19.1 dày 19mm</t>
        </is>
      </c>
      <c r="E8" s="8" t="inlineStr">
        <is>
          <t>m</t>
        </is>
      </c>
      <c r="F8" s="8" t="n">
        <v>402</v>
      </c>
      <c r="G8" s="8" t="inlineStr"/>
      <c r="H8" s="8" t="inlineStr"/>
      <c r="I8" s="8" t="b">
        <v>0</v>
      </c>
      <c r="J8" s="8" t="inlineStr"/>
      <c r="K8" s="8" t="n">
        <v>1</v>
      </c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n">
        <v>1</v>
      </c>
      <c r="T8" s="8" t="inlineStr"/>
      <c r="U8" s="8" t="n">
        <v>1</v>
      </c>
      <c r="V8" s="8" t="n">
        <v>1</v>
      </c>
      <c r="W8" s="8" t="n">
        <v>1</v>
      </c>
      <c r="X8" s="8" t="n">
        <v>0</v>
      </c>
      <c r="Y8" s="8" t="inlineStr"/>
      <c r="Z8" s="8" t="n">
        <v>25300</v>
      </c>
      <c r="AA8" s="8" t="n">
        <v>25300</v>
      </c>
      <c r="AB8" s="8" t="n">
        <v>10170600</v>
      </c>
      <c r="AC8" s="8" t="inlineStr"/>
    </row>
    <row r="9">
      <c r="A9" s="8" t="n">
        <v>4</v>
      </c>
      <c r="B9" s="8" t="inlineStr">
        <is>
          <t>A33.085206</t>
        </is>
      </c>
      <c r="C9" s="8" t="inlineStr">
        <is>
          <t>Bảo ôn ống đồng D22.2 dày 19mm</t>
        </is>
      </c>
      <c r="E9" s="8" t="inlineStr">
        <is>
          <t>m</t>
        </is>
      </c>
      <c r="F9" s="8" t="n">
        <v>80.40000000000001</v>
      </c>
      <c r="G9" s="8" t="inlineStr"/>
      <c r="H9" s="8" t="inlineStr"/>
      <c r="I9" s="8" t="b">
        <v>0</v>
      </c>
      <c r="J9" s="8" t="inlineStr"/>
      <c r="K9" s="8" t="n">
        <v>1</v>
      </c>
      <c r="L9" s="8" t="inlineStr"/>
      <c r="M9" s="8" t="inlineStr"/>
      <c r="N9" s="8" t="inlineStr"/>
      <c r="O9" s="8" t="inlineStr"/>
      <c r="P9" s="8" t="inlineStr"/>
      <c r="Q9" s="8" t="inlineStr"/>
      <c r="R9" s="8" t="inlineStr"/>
      <c r="S9" s="8" t="n">
        <v>1</v>
      </c>
      <c r="T9" s="8" t="inlineStr"/>
      <c r="U9" s="8" t="n">
        <v>1</v>
      </c>
      <c r="V9" s="8" t="n">
        <v>1</v>
      </c>
      <c r="W9" s="8" t="n">
        <v>1</v>
      </c>
      <c r="X9" s="8" t="n">
        <v>0</v>
      </c>
      <c r="Y9" s="8" t="inlineStr"/>
      <c r="Z9" s="8" t="n">
        <v>27200</v>
      </c>
      <c r="AA9" s="8" t="n">
        <v>27200</v>
      </c>
      <c r="AB9" s="8" t="n">
        <v>2186880</v>
      </c>
      <c r="AC9" s="8" t="inlineStr"/>
    </row>
    <row r="10">
      <c r="A10" s="8" t="n">
        <v>5</v>
      </c>
      <c r="B10" s="8" t="inlineStr">
        <is>
          <t>A33.085208</t>
        </is>
      </c>
      <c r="C10" s="8" t="inlineStr">
        <is>
          <t>Bảo ôn ống đồng D28.6 dày 19mm</t>
        </is>
      </c>
      <c r="E10" s="8" t="inlineStr">
        <is>
          <t>m</t>
        </is>
      </c>
      <c r="F10" s="8" t="n">
        <v>160.8</v>
      </c>
      <c r="G10" s="8" t="inlineStr"/>
      <c r="H10" s="8" t="inlineStr"/>
      <c r="I10" s="8" t="b">
        <v>0</v>
      </c>
      <c r="J10" s="8" t="inlineStr"/>
      <c r="K10" s="8" t="n">
        <v>1</v>
      </c>
      <c r="L10" s="8" t="inlineStr"/>
      <c r="M10" s="8" t="inlineStr"/>
      <c r="N10" s="8" t="inlineStr"/>
      <c r="O10" s="8" t="inlineStr"/>
      <c r="P10" s="8" t="inlineStr"/>
      <c r="Q10" s="8" t="inlineStr"/>
      <c r="R10" s="8" t="inlineStr"/>
      <c r="S10" s="8" t="n">
        <v>1</v>
      </c>
      <c r="T10" s="8" t="inlineStr"/>
      <c r="U10" s="8" t="n">
        <v>1</v>
      </c>
      <c r="V10" s="8" t="n">
        <v>1</v>
      </c>
      <c r="W10" s="8" t="n">
        <v>1</v>
      </c>
      <c r="X10" s="8" t="n">
        <v>0</v>
      </c>
      <c r="Y10" s="8" t="inlineStr"/>
      <c r="Z10" s="8" t="n">
        <v>33000</v>
      </c>
      <c r="AA10" s="8" t="n">
        <v>33000</v>
      </c>
      <c r="AB10" s="8" t="n">
        <v>5306400</v>
      </c>
      <c r="AC10" s="8" t="inlineStr"/>
    </row>
    <row r="11">
      <c r="A11" s="8" t="n">
        <v>6</v>
      </c>
      <c r="B11" s="8" t="inlineStr">
        <is>
          <t>A33.085210</t>
        </is>
      </c>
      <c r="C11" s="8" t="inlineStr">
        <is>
          <t>Bảo ôn ống đồng D34.9 dày 19mm</t>
        </is>
      </c>
      <c r="E11" s="8" t="inlineStr">
        <is>
          <t>m</t>
        </is>
      </c>
      <c r="F11" s="8" t="n">
        <v>160.8</v>
      </c>
      <c r="G11" s="8" t="inlineStr"/>
      <c r="H11" s="8" t="inlineStr"/>
      <c r="I11" s="8" t="b">
        <v>0</v>
      </c>
      <c r="J11" s="8" t="inlineStr"/>
      <c r="K11" s="8" t="n">
        <v>1</v>
      </c>
      <c r="L11" s="8" t="inlineStr"/>
      <c r="M11" s="8" t="inlineStr"/>
      <c r="N11" s="8" t="inlineStr"/>
      <c r="O11" s="8" t="inlineStr"/>
      <c r="P11" s="8" t="inlineStr"/>
      <c r="Q11" s="8" t="inlineStr"/>
      <c r="R11" s="8" t="inlineStr"/>
      <c r="S11" s="8" t="n">
        <v>1</v>
      </c>
      <c r="T11" s="8" t="inlineStr"/>
      <c r="U11" s="8" t="n">
        <v>1</v>
      </c>
      <c r="V11" s="8" t="n">
        <v>1</v>
      </c>
      <c r="W11" s="8" t="n">
        <v>1</v>
      </c>
      <c r="X11" s="8" t="n">
        <v>0</v>
      </c>
      <c r="Y11" s="8" t="inlineStr"/>
      <c r="Z11" s="8" t="n">
        <v>41800</v>
      </c>
      <c r="AA11" s="8" t="n">
        <v>41800</v>
      </c>
      <c r="AB11" s="8" t="n">
        <v>6721440</v>
      </c>
      <c r="AC11" s="8" t="inlineStr"/>
    </row>
    <row r="12">
      <c r="A12" s="8" t="n">
        <v>7</v>
      </c>
      <c r="B12" s="8" t="inlineStr">
        <is>
          <t>A33.085212</t>
        </is>
      </c>
      <c r="C12" s="8" t="inlineStr">
        <is>
          <t>Bảo ôn ống đồng D41.3 dày 19mm</t>
        </is>
      </c>
      <c r="E12" s="8" t="inlineStr">
        <is>
          <t>m</t>
        </is>
      </c>
      <c r="F12" s="8" t="n">
        <v>241.2</v>
      </c>
      <c r="G12" s="8" t="inlineStr"/>
      <c r="H12" s="8" t="inlineStr"/>
      <c r="I12" s="8" t="b">
        <v>0</v>
      </c>
      <c r="J12" s="8" t="inlineStr"/>
      <c r="K12" s="8" t="n">
        <v>1</v>
      </c>
      <c r="L12" s="8" t="inlineStr"/>
      <c r="M12" s="8" t="inlineStr"/>
      <c r="N12" s="8" t="inlineStr"/>
      <c r="O12" s="8" t="inlineStr"/>
      <c r="P12" s="8" t="inlineStr"/>
      <c r="Q12" s="8" t="inlineStr"/>
      <c r="R12" s="8" t="inlineStr"/>
      <c r="S12" s="8" t="n">
        <v>1</v>
      </c>
      <c r="T12" s="8" t="inlineStr"/>
      <c r="U12" s="8" t="n">
        <v>1</v>
      </c>
      <c r="V12" s="8" t="n">
        <v>1</v>
      </c>
      <c r="W12" s="8" t="n">
        <v>1</v>
      </c>
      <c r="X12" s="8" t="n">
        <v>0</v>
      </c>
      <c r="Y12" s="8" t="inlineStr"/>
      <c r="Z12" s="8" t="n">
        <v>48100</v>
      </c>
      <c r="AA12" s="8" t="n">
        <v>48100</v>
      </c>
      <c r="AB12" s="8" t="n">
        <v>11601720</v>
      </c>
      <c r="AC12" s="8" t="inlineStr"/>
    </row>
    <row r="13">
      <c r="A13" s="8" t="n">
        <v>8</v>
      </c>
      <c r="B13" s="8" t="inlineStr">
        <is>
          <t>A33.085201</t>
        </is>
      </c>
      <c r="C13" s="8" t="inlineStr">
        <is>
          <t>Bảo ôn ống đồng D6.4 dày 19mm</t>
        </is>
      </c>
      <c r="E13" s="8" t="inlineStr">
        <is>
          <t>m</t>
        </is>
      </c>
      <c r="F13" s="8" t="n">
        <v>80.40000000000001</v>
      </c>
      <c r="G13" s="8" t="inlineStr"/>
      <c r="H13" s="8" t="inlineStr"/>
      <c r="I13" s="8" t="b">
        <v>0</v>
      </c>
      <c r="J13" s="8" t="inlineStr"/>
      <c r="K13" s="8" t="n">
        <v>1</v>
      </c>
      <c r="L13" s="8" t="inlineStr"/>
      <c r="M13" s="8" t="inlineStr"/>
      <c r="N13" s="8" t="inlineStr"/>
      <c r="O13" s="8" t="inlineStr"/>
      <c r="P13" s="8" t="inlineStr"/>
      <c r="Q13" s="8" t="inlineStr"/>
      <c r="R13" s="8" t="inlineStr"/>
      <c r="S13" s="8" t="n">
        <v>1</v>
      </c>
      <c r="T13" s="8" t="inlineStr"/>
      <c r="U13" s="8" t="n">
        <v>1</v>
      </c>
      <c r="V13" s="8" t="n">
        <v>1</v>
      </c>
      <c r="W13" s="8" t="n">
        <v>1</v>
      </c>
      <c r="X13" s="8" t="n">
        <v>0</v>
      </c>
      <c r="Y13" s="8" t="inlineStr"/>
      <c r="Z13" s="8" t="n">
        <v>17600</v>
      </c>
      <c r="AA13" s="8" t="n">
        <v>17600</v>
      </c>
      <c r="AB13" s="8" t="n">
        <v>1415040</v>
      </c>
      <c r="AC13" s="8" t="inlineStr"/>
    </row>
    <row r="14">
      <c r="A14" s="8" t="n">
        <v>9</v>
      </c>
      <c r="B14" s="8" t="inlineStr">
        <is>
          <t>A33.085202</t>
        </is>
      </c>
      <c r="C14" s="8" t="inlineStr">
        <is>
          <t>Bảo ôn ống đồng D9.5 dày 19mm</t>
        </is>
      </c>
      <c r="E14" s="8" t="inlineStr">
        <is>
          <t>m</t>
        </is>
      </c>
      <c r="F14" s="8" t="n">
        <v>2351.7</v>
      </c>
      <c r="G14" s="8" t="inlineStr"/>
      <c r="H14" s="8" t="inlineStr"/>
      <c r="I14" s="8" t="b">
        <v>0</v>
      </c>
      <c r="J14" s="8" t="inlineStr"/>
      <c r="K14" s="8" t="n">
        <v>1</v>
      </c>
      <c r="L14" s="8" t="inlineStr"/>
      <c r="M14" s="8" t="inlineStr"/>
      <c r="N14" s="8" t="inlineStr"/>
      <c r="O14" s="8" t="inlineStr"/>
      <c r="P14" s="8" t="inlineStr"/>
      <c r="Q14" s="8" t="inlineStr"/>
      <c r="R14" s="8" t="inlineStr"/>
      <c r="S14" s="8" t="n">
        <v>1</v>
      </c>
      <c r="T14" s="8" t="inlineStr"/>
      <c r="U14" s="8" t="n">
        <v>1</v>
      </c>
      <c r="V14" s="8" t="n">
        <v>1</v>
      </c>
      <c r="W14" s="8" t="n">
        <v>1</v>
      </c>
      <c r="X14" s="8" t="n">
        <v>0</v>
      </c>
      <c r="Y14" s="8" t="inlineStr"/>
      <c r="Z14" s="8" t="n">
        <v>18500</v>
      </c>
      <c r="AA14" s="8" t="n">
        <v>18500</v>
      </c>
      <c r="AB14" s="8" t="n">
        <v>43506450</v>
      </c>
      <c r="AC14" s="8" t="inlineStr"/>
    </row>
    <row r="15">
      <c r="A15" s="8" t="n">
        <v>10</v>
      </c>
      <c r="B15" s="8" t="inlineStr">
        <is>
          <t>A33.1140</t>
        </is>
      </c>
      <c r="C15" s="8" t="inlineStr">
        <is>
          <t>Bảo ôn ống uPVC D21 dày 13mm</t>
        </is>
      </c>
      <c r="E15" s="8" t="inlineStr">
        <is>
          <t>m</t>
        </is>
      </c>
      <c r="F15" s="8" t="n">
        <v>60.59999999999999</v>
      </c>
      <c r="G15" s="8" t="inlineStr"/>
      <c r="H15" s="8" t="inlineStr"/>
      <c r="I15" s="8" t="b">
        <v>0</v>
      </c>
      <c r="J15" s="8" t="inlineStr"/>
      <c r="K15" s="8" t="n">
        <v>1</v>
      </c>
      <c r="L15" s="8" t="inlineStr"/>
      <c r="M15" s="8" t="inlineStr"/>
      <c r="N15" s="8" t="inlineStr"/>
      <c r="O15" s="8" t="inlineStr"/>
      <c r="P15" s="8" t="inlineStr"/>
      <c r="Q15" s="8" t="inlineStr"/>
      <c r="R15" s="8" t="inlineStr"/>
      <c r="S15" s="8" t="n">
        <v>1</v>
      </c>
      <c r="T15" s="8" t="inlineStr"/>
      <c r="U15" s="8" t="n">
        <v>1</v>
      </c>
      <c r="V15" s="8" t="n">
        <v>1</v>
      </c>
      <c r="W15" s="8" t="n">
        <v>1</v>
      </c>
      <c r="X15" s="8" t="n">
        <v>0</v>
      </c>
      <c r="Y15" s="8" t="inlineStr"/>
      <c r="Z15" s="8" t="n">
        <v>16100</v>
      </c>
      <c r="AA15" s="8" t="n">
        <v>16100</v>
      </c>
      <c r="AB15" s="8" t="n">
        <v>975660</v>
      </c>
      <c r="AC15" s="8" t="inlineStr"/>
    </row>
    <row r="16">
      <c r="A16" s="8" t="n">
        <v>11</v>
      </c>
      <c r="B16" s="8" t="inlineStr">
        <is>
          <t>A33.1140</t>
        </is>
      </c>
      <c r="C16" s="8" t="inlineStr">
        <is>
          <t>Bảo ôn ống uPVC D27 dày 13mm</t>
        </is>
      </c>
      <c r="E16" s="8" t="inlineStr">
        <is>
          <t>m</t>
        </is>
      </c>
      <c r="F16" s="8" t="n">
        <v>1777.6</v>
      </c>
      <c r="G16" s="8" t="inlineStr"/>
      <c r="H16" s="8" t="inlineStr"/>
      <c r="I16" s="8" t="b">
        <v>0</v>
      </c>
      <c r="J16" s="8" t="inlineStr"/>
      <c r="K16" s="8" t="n">
        <v>1</v>
      </c>
      <c r="L16" s="8" t="inlineStr"/>
      <c r="M16" s="8" t="inlineStr"/>
      <c r="N16" s="8" t="inlineStr"/>
      <c r="O16" s="8" t="inlineStr"/>
      <c r="P16" s="8" t="inlineStr"/>
      <c r="Q16" s="8" t="inlineStr"/>
      <c r="R16" s="8" t="inlineStr"/>
      <c r="S16" s="8" t="n">
        <v>1</v>
      </c>
      <c r="T16" s="8" t="inlineStr"/>
      <c r="U16" s="8" t="n">
        <v>1</v>
      </c>
      <c r="V16" s="8" t="n">
        <v>1</v>
      </c>
      <c r="W16" s="8" t="n">
        <v>1</v>
      </c>
      <c r="X16" s="8" t="n">
        <v>0</v>
      </c>
      <c r="Y16" s="8" t="inlineStr"/>
      <c r="Z16" s="8" t="n">
        <v>19500</v>
      </c>
      <c r="AA16" s="8" t="n">
        <v>19500</v>
      </c>
      <c r="AB16" s="8" t="n">
        <v>34663200</v>
      </c>
      <c r="AC16" s="8" t="inlineStr"/>
    </row>
    <row r="17">
      <c r="A17" s="8" t="n">
        <v>12</v>
      </c>
      <c r="B17" s="8" t="inlineStr">
        <is>
          <t>A33.1140</t>
        </is>
      </c>
      <c r="C17" s="8" t="inlineStr">
        <is>
          <t>Bảo ôn ống uPVC D34 dày 13mm</t>
        </is>
      </c>
      <c r="E17" s="8" t="inlineStr">
        <is>
          <t>m</t>
        </is>
      </c>
      <c r="F17" s="8" t="n">
        <v>303</v>
      </c>
      <c r="G17" s="8" t="inlineStr"/>
      <c r="H17" s="8" t="inlineStr"/>
      <c r="I17" s="8" t="b">
        <v>0</v>
      </c>
      <c r="J17" s="8" t="inlineStr"/>
      <c r="K17" s="8" t="n">
        <v>1</v>
      </c>
      <c r="L17" s="8" t="inlineStr"/>
      <c r="M17" s="8" t="inlineStr"/>
      <c r="N17" s="8" t="inlineStr"/>
      <c r="O17" s="8" t="inlineStr"/>
      <c r="P17" s="8" t="inlineStr"/>
      <c r="Q17" s="8" t="inlineStr"/>
      <c r="R17" s="8" t="inlineStr"/>
      <c r="S17" s="8" t="n">
        <v>1</v>
      </c>
      <c r="T17" s="8" t="inlineStr"/>
      <c r="U17" s="8" t="n">
        <v>1</v>
      </c>
      <c r="V17" s="8" t="n">
        <v>1</v>
      </c>
      <c r="W17" s="8" t="n">
        <v>1</v>
      </c>
      <c r="X17" s="8" t="n">
        <v>0</v>
      </c>
      <c r="Y17" s="8" t="inlineStr"/>
      <c r="Z17" s="8" t="n">
        <v>22900</v>
      </c>
      <c r="AA17" s="8" t="n">
        <v>22900</v>
      </c>
      <c r="AB17" s="8" t="n">
        <v>6938700</v>
      </c>
      <c r="AC17" s="8" t="inlineStr"/>
    </row>
    <row r="18">
      <c r="A18" s="8" t="n">
        <v>13</v>
      </c>
      <c r="B18" s="8" t="inlineStr">
        <is>
          <t>A33.1140</t>
        </is>
      </c>
      <c r="C18" s="8" t="inlineStr">
        <is>
          <t>Bảo ôn ống uPVC D42 dày 13mm</t>
        </is>
      </c>
      <c r="E18" s="8" t="inlineStr">
        <is>
          <t>m</t>
        </is>
      </c>
      <c r="F18" s="8" t="n">
        <v>303</v>
      </c>
      <c r="G18" s="8" t="inlineStr"/>
      <c r="H18" s="8" t="inlineStr"/>
      <c r="I18" s="8" t="b">
        <v>0</v>
      </c>
      <c r="J18" s="8" t="inlineStr"/>
      <c r="K18" s="8" t="n">
        <v>1</v>
      </c>
      <c r="L18" s="8" t="inlineStr"/>
      <c r="M18" s="8" t="inlineStr"/>
      <c r="N18" s="8" t="inlineStr"/>
      <c r="O18" s="8" t="inlineStr"/>
      <c r="P18" s="8" t="inlineStr"/>
      <c r="Q18" s="8" t="inlineStr"/>
      <c r="R18" s="8" t="inlineStr"/>
      <c r="S18" s="8" t="n">
        <v>1</v>
      </c>
      <c r="T18" s="8" t="inlineStr"/>
      <c r="U18" s="8" t="n">
        <v>1</v>
      </c>
      <c r="V18" s="8" t="n">
        <v>1</v>
      </c>
      <c r="W18" s="8" t="n">
        <v>1</v>
      </c>
      <c r="X18" s="8" t="n">
        <v>0</v>
      </c>
      <c r="Y18" s="8" t="inlineStr"/>
      <c r="Z18" s="8" t="n">
        <v>29200</v>
      </c>
      <c r="AA18" s="8" t="n">
        <v>29200</v>
      </c>
      <c r="AB18" s="8" t="n">
        <v>8847600</v>
      </c>
      <c r="AC18" s="8" t="inlineStr"/>
    </row>
    <row r="19">
      <c r="A19" s="8" t="n">
        <v>14</v>
      </c>
      <c r="B19" s="8" t="inlineStr">
        <is>
          <t>A33.1140</t>
        </is>
      </c>
      <c r="C19" s="8" t="inlineStr">
        <is>
          <t>Bảo ôn ống uPVC D48 dày 13mm</t>
        </is>
      </c>
      <c r="E19" s="8" t="inlineStr">
        <is>
          <t>m</t>
        </is>
      </c>
      <c r="F19" s="8" t="n">
        <v>252.5</v>
      </c>
      <c r="G19" s="8" t="inlineStr"/>
      <c r="H19" s="8" t="inlineStr"/>
      <c r="I19" s="8" t="b">
        <v>0</v>
      </c>
      <c r="J19" s="8" t="inlineStr"/>
      <c r="K19" s="8" t="n">
        <v>1</v>
      </c>
      <c r="L19" s="8" t="inlineStr"/>
      <c r="M19" s="8" t="inlineStr"/>
      <c r="N19" s="8" t="inlineStr"/>
      <c r="O19" s="8" t="inlineStr"/>
      <c r="P19" s="8" t="inlineStr"/>
      <c r="Q19" s="8" t="inlineStr"/>
      <c r="R19" s="8" t="inlineStr"/>
      <c r="S19" s="8" t="n">
        <v>1</v>
      </c>
      <c r="T19" s="8" t="inlineStr"/>
      <c r="U19" s="8" t="n">
        <v>1</v>
      </c>
      <c r="V19" s="8" t="n">
        <v>1</v>
      </c>
      <c r="W19" s="8" t="n">
        <v>1</v>
      </c>
      <c r="X19" s="8" t="n">
        <v>0</v>
      </c>
      <c r="Y19" s="8" t="inlineStr"/>
      <c r="Z19" s="8" t="n">
        <v>32100</v>
      </c>
      <c r="AA19" s="8" t="n">
        <v>32100</v>
      </c>
      <c r="AB19" s="8" t="n">
        <v>8105250</v>
      </c>
      <c r="AC19" s="8" t="inlineStr"/>
    </row>
    <row r="20">
      <c r="A20" s="8" t="n">
        <v>15</v>
      </c>
      <c r="B20" s="8" t="inlineStr">
        <is>
          <t>A33.1143</t>
        </is>
      </c>
      <c r="C20" s="8" t="inlineStr">
        <is>
          <t>Băng cuốn bảo ôn</t>
        </is>
      </c>
      <c r="E20" s="8" t="inlineStr">
        <is>
          <t>cuộn</t>
        </is>
      </c>
      <c r="F20" s="8" t="n">
        <v>1129.222</v>
      </c>
      <c r="G20" s="8" t="inlineStr"/>
      <c r="H20" s="8" t="inlineStr"/>
      <c r="I20" s="8" t="b">
        <v>0</v>
      </c>
      <c r="J20" s="8" t="inlineStr"/>
      <c r="K20" s="8" t="n">
        <v>1</v>
      </c>
      <c r="L20" s="8" t="inlineStr"/>
      <c r="M20" s="8" t="inlineStr"/>
      <c r="N20" s="8" t="inlineStr"/>
      <c r="O20" s="8" t="inlineStr"/>
      <c r="P20" s="8" t="inlineStr"/>
      <c r="Q20" s="8" t="inlineStr"/>
      <c r="R20" s="8" t="inlineStr"/>
      <c r="S20" s="8" t="n">
        <v>1</v>
      </c>
      <c r="T20" s="8" t="inlineStr"/>
      <c r="U20" s="8" t="n">
        <v>1</v>
      </c>
      <c r="V20" s="8" t="n">
        <v>1</v>
      </c>
      <c r="W20" s="8" t="n">
        <v>1</v>
      </c>
      <c r="X20" s="8" t="n">
        <v>0</v>
      </c>
      <c r="Y20" s="8" t="inlineStr"/>
      <c r="Z20" s="8" t="n">
        <v>15000</v>
      </c>
      <c r="AA20" s="8" t="n">
        <v>15000</v>
      </c>
      <c r="AB20" s="8" t="n">
        <v>16938330</v>
      </c>
      <c r="AC20" s="8" t="inlineStr"/>
    </row>
    <row r="21">
      <c r="A21" s="8" t="n">
        <v>16</v>
      </c>
      <c r="B21" s="8" t="inlineStr">
        <is>
          <t>A33.0345</t>
        </is>
      </c>
      <c r="C21" s="8" t="inlineStr">
        <is>
          <t>Cồn rửa</t>
        </is>
      </c>
      <c r="E21" s="8" t="inlineStr">
        <is>
          <t>kg</t>
        </is>
      </c>
      <c r="F21" s="8" t="n">
        <v>3.919</v>
      </c>
      <c r="G21" s="8" t="inlineStr"/>
      <c r="H21" s="8" t="inlineStr"/>
      <c r="I21" s="8" t="b">
        <v>0</v>
      </c>
      <c r="J21" s="8" t="inlineStr"/>
      <c r="K21" s="8" t="n">
        <v>1</v>
      </c>
      <c r="L21" s="8" t="inlineStr"/>
      <c r="M21" s="8" t="inlineStr"/>
      <c r="N21" s="8" t="inlineStr"/>
      <c r="O21" s="8" t="inlineStr"/>
      <c r="P21" s="8" t="inlineStr"/>
      <c r="Q21" s="8" t="inlineStr"/>
      <c r="R21" s="8" t="inlineStr"/>
      <c r="S21" s="8" t="n">
        <v>1</v>
      </c>
      <c r="T21" s="8" t="inlineStr"/>
      <c r="U21" s="8" t="n">
        <v>1</v>
      </c>
      <c r="V21" s="8" t="n">
        <v>1</v>
      </c>
      <c r="W21" s="8" t="n">
        <v>1</v>
      </c>
      <c r="X21" s="8" t="n">
        <v>0</v>
      </c>
      <c r="Y21" s="8" t="inlineStr"/>
      <c r="Z21" s="8" t="n">
        <v>12000</v>
      </c>
      <c r="AA21" s="8" t="n">
        <v>12000</v>
      </c>
      <c r="AB21" s="8" t="n">
        <v>47028</v>
      </c>
      <c r="AC21" s="8" t="inlineStr"/>
    </row>
    <row r="22">
      <c r="A22" s="8" t="n">
        <v>17</v>
      </c>
      <c r="B22" s="8" t="inlineStr">
        <is>
          <t>A33.0002</t>
        </is>
      </c>
      <c r="C22" s="8" t="inlineStr">
        <is>
          <t>Dầu các loại</t>
        </is>
      </c>
      <c r="E22" s="8" t="inlineStr">
        <is>
          <t>kg</t>
        </is>
      </c>
      <c r="F22" s="8" t="n">
        <v>11.4532</v>
      </c>
      <c r="G22" s="8" t="inlineStr"/>
      <c r="H22" s="8" t="inlineStr"/>
      <c r="I22" s="8" t="b">
        <v>0</v>
      </c>
      <c r="J22" s="8" t="inlineStr"/>
      <c r="K22" s="8" t="n">
        <v>1</v>
      </c>
      <c r="L22" s="8" t="inlineStr"/>
      <c r="M22" s="8" t="inlineStr"/>
      <c r="N22" s="8" t="inlineStr"/>
      <c r="O22" s="8" t="inlineStr"/>
      <c r="P22" s="8" t="inlineStr"/>
      <c r="Q22" s="8" t="inlineStr"/>
      <c r="R22" s="8" t="inlineStr"/>
      <c r="S22" s="8" t="n">
        <v>1</v>
      </c>
      <c r="T22" s="8" t="inlineStr"/>
      <c r="U22" s="8" t="n">
        <v>1</v>
      </c>
      <c r="V22" s="8" t="n">
        <v>1</v>
      </c>
      <c r="W22" s="8" t="n">
        <v>1</v>
      </c>
      <c r="X22" s="8" t="n">
        <v>0</v>
      </c>
      <c r="Y22" s="8" t="inlineStr"/>
      <c r="Z22" s="8" t="n">
        <v>100000</v>
      </c>
      <c r="AA22" s="8" t="n">
        <v>100000</v>
      </c>
      <c r="AB22" s="8" t="n">
        <v>1145320</v>
      </c>
      <c r="AC22" s="8" t="inlineStr"/>
    </row>
    <row r="23">
      <c r="A23" s="8" t="n">
        <v>18</v>
      </c>
      <c r="B23" s="8" t="inlineStr">
        <is>
          <t>A33.0074</t>
        </is>
      </c>
      <c r="C23" s="8" t="inlineStr">
        <is>
          <t>Dây điện_Cu/PVC_2x(1x0.75)mm2</t>
        </is>
      </c>
      <c r="E23" s="8" t="inlineStr">
        <is>
          <t>m</t>
        </is>
      </c>
      <c r="F23" s="8" t="n">
        <v>1313</v>
      </c>
      <c r="G23" s="8" t="inlineStr"/>
      <c r="H23" s="8" t="inlineStr"/>
      <c r="I23" s="8" t="b">
        <v>0</v>
      </c>
      <c r="J23" s="8" t="inlineStr"/>
      <c r="K23" s="8" t="n">
        <v>1</v>
      </c>
      <c r="L23" s="8" t="inlineStr"/>
      <c r="M23" s="8" t="inlineStr"/>
      <c r="N23" s="8" t="inlineStr"/>
      <c r="O23" s="8" t="inlineStr"/>
      <c r="P23" s="8" t="inlineStr"/>
      <c r="Q23" s="8" t="inlineStr"/>
      <c r="R23" s="8" t="inlineStr"/>
      <c r="S23" s="8" t="n">
        <v>1</v>
      </c>
      <c r="T23" s="8" t="inlineStr"/>
      <c r="U23" s="8" t="n">
        <v>1</v>
      </c>
      <c r="V23" s="8" t="n">
        <v>1</v>
      </c>
      <c r="W23" s="8" t="n">
        <v>1</v>
      </c>
      <c r="X23" s="8" t="n">
        <v>0</v>
      </c>
      <c r="Y23" s="8" t="inlineStr"/>
      <c r="Z23" s="8" t="n">
        <v>8658</v>
      </c>
      <c r="AA23" s="8" t="n">
        <v>8658</v>
      </c>
      <c r="AB23" s="8" t="n">
        <v>11367954</v>
      </c>
      <c r="AC23" s="8" t="inlineStr"/>
    </row>
    <row r="24">
      <c r="A24" s="8" t="n">
        <v>19</v>
      </c>
      <c r="B24" s="8" t="inlineStr">
        <is>
          <t>A33.0075</t>
        </is>
      </c>
      <c r="C24" s="8" t="inlineStr">
        <is>
          <t>Dây điện_Cu/PVC_2x(1x1.5)mm2</t>
        </is>
      </c>
      <c r="E24" s="8" t="inlineStr">
        <is>
          <t>m</t>
        </is>
      </c>
      <c r="F24" s="8" t="n">
        <v>4706.6</v>
      </c>
      <c r="G24" s="8" t="inlineStr"/>
      <c r="H24" s="8" t="inlineStr"/>
      <c r="I24" s="8" t="b">
        <v>0</v>
      </c>
      <c r="J24" s="8" t="inlineStr"/>
      <c r="K24" s="8" t="n">
        <v>1</v>
      </c>
      <c r="L24" s="8" t="inlineStr"/>
      <c r="M24" s="8" t="inlineStr"/>
      <c r="N24" s="8" t="inlineStr"/>
      <c r="O24" s="8" t="inlineStr"/>
      <c r="P24" s="8" t="inlineStr"/>
      <c r="Q24" s="8" t="inlineStr"/>
      <c r="R24" s="8" t="inlineStr"/>
      <c r="S24" s="8" t="n">
        <v>1</v>
      </c>
      <c r="T24" s="8" t="inlineStr"/>
      <c r="U24" s="8" t="n">
        <v>1</v>
      </c>
      <c r="V24" s="8" t="n">
        <v>1</v>
      </c>
      <c r="W24" s="8" t="n">
        <v>1</v>
      </c>
      <c r="X24" s="8" t="n">
        <v>0</v>
      </c>
      <c r="Y24" s="8" t="inlineStr"/>
      <c r="Z24" s="8" t="n">
        <v>15055</v>
      </c>
      <c r="AA24" s="8" t="n">
        <v>15055</v>
      </c>
      <c r="AB24" s="8" t="n">
        <v>70857863</v>
      </c>
      <c r="AC24" s="8" t="inlineStr"/>
    </row>
    <row r="25">
      <c r="A25" s="8" t="n">
        <v>20</v>
      </c>
      <c r="B25" s="8" t="inlineStr">
        <is>
          <t>A33.0075</t>
        </is>
      </c>
      <c r="C25" s="8" t="inlineStr">
        <is>
          <t>Dây điện_Cu/PVC_2x(1x2.5)mm2</t>
        </is>
      </c>
      <c r="E25" s="8" t="inlineStr">
        <is>
          <t>m</t>
        </is>
      </c>
      <c r="F25" s="8" t="n">
        <v>4706.6</v>
      </c>
      <c r="G25" s="8" t="inlineStr"/>
      <c r="H25" s="8" t="inlineStr"/>
      <c r="I25" s="8" t="b">
        <v>0</v>
      </c>
      <c r="J25" s="8" t="inlineStr"/>
      <c r="K25" s="8" t="n">
        <v>1</v>
      </c>
      <c r="L25" s="8" t="inlineStr"/>
      <c r="M25" s="8" t="inlineStr"/>
      <c r="N25" s="8" t="inlineStr"/>
      <c r="O25" s="8" t="inlineStr"/>
      <c r="P25" s="8" t="inlineStr"/>
      <c r="Q25" s="8" t="inlineStr"/>
      <c r="R25" s="8" t="inlineStr"/>
      <c r="S25" s="8" t="n">
        <v>1</v>
      </c>
      <c r="T25" s="8" t="inlineStr"/>
      <c r="U25" s="8" t="n">
        <v>1</v>
      </c>
      <c r="V25" s="8" t="n">
        <v>1</v>
      </c>
      <c r="W25" s="8" t="n">
        <v>1</v>
      </c>
      <c r="X25" s="8" t="n">
        <v>0</v>
      </c>
      <c r="Y25" s="8" t="inlineStr"/>
      <c r="Z25" s="8" t="n">
        <v>24591</v>
      </c>
      <c r="AA25" s="8" t="n">
        <v>24591</v>
      </c>
      <c r="AB25" s="8" t="n">
        <v>115740001</v>
      </c>
      <c r="AC25" s="8" t="inlineStr"/>
    </row>
    <row r="26">
      <c r="A26" s="8" t="n">
        <v>21</v>
      </c>
      <c r="B26" s="8" t="inlineStr">
        <is>
          <t>A33.0075</t>
        </is>
      </c>
      <c r="C26" s="8" t="inlineStr">
        <is>
          <t>Dây điện_Cu/PVC_2x(1x4.0)mm2</t>
        </is>
      </c>
      <c r="E26" s="8" t="inlineStr">
        <is>
          <t>m</t>
        </is>
      </c>
      <c r="F26" s="8" t="n">
        <v>4040</v>
      </c>
      <c r="G26" s="8" t="inlineStr"/>
      <c r="H26" s="8" t="inlineStr"/>
      <c r="I26" s="8" t="b">
        <v>0</v>
      </c>
      <c r="J26" s="8" t="inlineStr"/>
      <c r="K26" s="8" t="n">
        <v>1</v>
      </c>
      <c r="L26" s="8" t="inlineStr"/>
      <c r="M26" s="8" t="inlineStr"/>
      <c r="N26" s="8" t="inlineStr"/>
      <c r="O26" s="8" t="inlineStr"/>
      <c r="P26" s="8" t="inlineStr"/>
      <c r="Q26" s="8" t="inlineStr"/>
      <c r="R26" s="8" t="inlineStr"/>
      <c r="S26" s="8" t="n">
        <v>1</v>
      </c>
      <c r="T26" s="8" t="inlineStr"/>
      <c r="U26" s="8" t="n">
        <v>1</v>
      </c>
      <c r="V26" s="8" t="n">
        <v>1</v>
      </c>
      <c r="W26" s="8" t="n">
        <v>1</v>
      </c>
      <c r="X26" s="8" t="n">
        <v>0</v>
      </c>
      <c r="Y26" s="8" t="inlineStr"/>
      <c r="Z26" s="8" t="n">
        <v>39292</v>
      </c>
      <c r="AA26" s="8" t="n">
        <v>39292</v>
      </c>
      <c r="AB26" s="8" t="n">
        <v>158739680</v>
      </c>
      <c r="AC26" s="8" t="inlineStr"/>
    </row>
    <row r="27">
      <c r="A27" s="8" t="n">
        <v>22</v>
      </c>
      <c r="B27" s="8" t="inlineStr">
        <is>
          <t>A33.0107</t>
        </is>
      </c>
      <c r="C27" s="8" t="inlineStr">
        <is>
          <t>Đá mài, cắt</t>
        </is>
      </c>
      <c r="E27" s="8" t="inlineStr">
        <is>
          <t>viên</t>
        </is>
      </c>
      <c r="F27" s="8" t="n">
        <v>4.8772</v>
      </c>
      <c r="G27" s="8" t="inlineStr"/>
      <c r="H27" s="8" t="inlineStr"/>
      <c r="I27" s="8" t="b">
        <v>0</v>
      </c>
      <c r="J27" s="8" t="inlineStr"/>
      <c r="K27" s="8" t="n">
        <v>1</v>
      </c>
      <c r="L27" s="8" t="inlineStr"/>
      <c r="M27" s="8" t="inlineStr"/>
      <c r="N27" s="8" t="inlineStr"/>
      <c r="O27" s="8" t="inlineStr"/>
      <c r="P27" s="8" t="inlineStr"/>
      <c r="Q27" s="8" t="inlineStr"/>
      <c r="R27" s="8" t="inlineStr"/>
      <c r="S27" s="8" t="n">
        <v>1</v>
      </c>
      <c r="T27" s="8" t="inlineStr"/>
      <c r="U27" s="8" t="n">
        <v>1</v>
      </c>
      <c r="V27" s="8" t="n">
        <v>1</v>
      </c>
      <c r="W27" s="8" t="n">
        <v>1</v>
      </c>
      <c r="X27" s="8" t="n">
        <v>0</v>
      </c>
      <c r="Y27" s="8" t="inlineStr"/>
      <c r="Z27" s="8" t="n">
        <v>20000</v>
      </c>
      <c r="AA27" s="8" t="n">
        <v>20000</v>
      </c>
      <c r="AB27" s="8" t="n">
        <v>97544</v>
      </c>
      <c r="AC27" s="8" t="inlineStr"/>
    </row>
    <row r="28">
      <c r="A28" s="8" t="n">
        <v>23</v>
      </c>
      <c r="B28" s="8" t="inlineStr">
        <is>
          <t>A33.0008</t>
        </is>
      </c>
      <c r="C28" s="8" t="inlineStr">
        <is>
          <t>Đồng lá</t>
        </is>
      </c>
      <c r="E28" s="8" t="inlineStr">
        <is>
          <t>kg</t>
        </is>
      </c>
      <c r="F28" s="8" t="n">
        <v>0.3014</v>
      </c>
      <c r="G28" s="8" t="inlineStr"/>
      <c r="H28" s="8" t="inlineStr"/>
      <c r="I28" s="8" t="b">
        <v>0</v>
      </c>
      <c r="J28" s="8" t="inlineStr"/>
      <c r="K28" s="8" t="n">
        <v>1</v>
      </c>
      <c r="L28" s="8" t="inlineStr"/>
      <c r="M28" s="8" t="inlineStr"/>
      <c r="N28" s="8" t="inlineStr"/>
      <c r="O28" s="8" t="inlineStr"/>
      <c r="P28" s="8" t="inlineStr"/>
      <c r="Q28" s="8" t="inlineStr"/>
      <c r="R28" s="8" t="inlineStr"/>
      <c r="S28" s="8" t="n">
        <v>1</v>
      </c>
      <c r="T28" s="8" t="inlineStr"/>
      <c r="U28" s="8" t="n">
        <v>1</v>
      </c>
      <c r="V28" s="8" t="n">
        <v>1</v>
      </c>
      <c r="W28" s="8" t="n">
        <v>1</v>
      </c>
      <c r="X28" s="8" t="n">
        <v>0</v>
      </c>
      <c r="Y28" s="8" t="inlineStr"/>
      <c r="Z28" s="8" t="n">
        <v>350000</v>
      </c>
      <c r="AA28" s="8" t="n">
        <v>350000</v>
      </c>
      <c r="AB28" s="8" t="n">
        <v>105490</v>
      </c>
      <c r="AC28" s="8" t="inlineStr"/>
    </row>
    <row r="29">
      <c r="A29" s="8" t="n">
        <v>24</v>
      </c>
      <c r="B29" s="8" t="inlineStr">
        <is>
          <t>A33.0007</t>
        </is>
      </c>
      <c r="C29" s="8" t="inlineStr">
        <is>
          <t>Gỗ nhóm 4</t>
        </is>
      </c>
      <c r="E29" s="8" t="inlineStr">
        <is>
          <t>m3</t>
        </is>
      </c>
      <c r="F29" s="8" t="n">
        <v>0.07672000000000001</v>
      </c>
      <c r="G29" s="8" t="inlineStr">
        <is>
          <t>Gỗ các loại</t>
        </is>
      </c>
      <c r="H29" s="8" t="inlineStr"/>
      <c r="I29" s="8" t="b">
        <v>0</v>
      </c>
      <c r="J29" s="8" t="inlineStr"/>
      <c r="K29" s="8" t="n">
        <v>1</v>
      </c>
      <c r="L29" s="8" t="inlineStr"/>
      <c r="M29" s="8" t="inlineStr"/>
      <c r="N29" s="8" t="inlineStr"/>
      <c r="O29" s="8" t="inlineStr"/>
      <c r="P29" s="8" t="inlineStr"/>
      <c r="Q29" s="8" t="inlineStr"/>
      <c r="R29" s="8" t="inlineStr"/>
      <c r="S29" s="8" t="n">
        <v>1</v>
      </c>
      <c r="T29" s="8" t="inlineStr"/>
      <c r="U29" s="8" t="n">
        <v>1</v>
      </c>
      <c r="V29" s="8" t="n">
        <v>1</v>
      </c>
      <c r="W29" s="8" t="n">
        <v>1</v>
      </c>
      <c r="X29" s="8" t="n">
        <v>0</v>
      </c>
      <c r="Y29" s="8" t="inlineStr"/>
      <c r="Z29" s="8" t="n">
        <v>2000000</v>
      </c>
      <c r="AA29" s="8" t="n">
        <v>2000000</v>
      </c>
      <c r="AB29" s="8" t="n">
        <v>153440</v>
      </c>
      <c r="AC29" s="8" t="inlineStr"/>
    </row>
    <row r="30">
      <c r="A30" s="8" t="n">
        <v>25</v>
      </c>
      <c r="B30" s="8" t="inlineStr">
        <is>
          <t>A33.0009</t>
        </is>
      </c>
      <c r="C30" s="8" t="inlineStr">
        <is>
          <t>Giá đỡ máy âm trần</t>
        </is>
      </c>
      <c r="E30" s="8" t="inlineStr">
        <is>
          <t>cái</t>
        </is>
      </c>
      <c r="F30" s="8" t="n">
        <v>16</v>
      </c>
      <c r="G30" s="8" t="inlineStr"/>
      <c r="H30" s="8" t="inlineStr"/>
      <c r="I30" s="8" t="b">
        <v>0</v>
      </c>
      <c r="J30" s="8" t="inlineStr"/>
      <c r="K30" s="8" t="n">
        <v>1</v>
      </c>
      <c r="L30" s="8" t="inlineStr"/>
      <c r="M30" s="8" t="inlineStr"/>
      <c r="N30" s="8" t="inlineStr"/>
      <c r="O30" s="8" t="inlineStr"/>
      <c r="P30" s="8" t="inlineStr"/>
      <c r="Q30" s="8" t="inlineStr"/>
      <c r="R30" s="8" t="inlineStr"/>
      <c r="S30" s="8" t="n">
        <v>1</v>
      </c>
      <c r="T30" s="8" t="inlineStr"/>
      <c r="U30" s="8" t="n">
        <v>1</v>
      </c>
      <c r="V30" s="8" t="n">
        <v>1</v>
      </c>
      <c r="W30" s="8" t="n">
        <v>1</v>
      </c>
      <c r="X30" s="8" t="n">
        <v>0</v>
      </c>
      <c r="Y30" s="8" t="inlineStr"/>
      <c r="Z30" s="8" t="n">
        <v>500000</v>
      </c>
      <c r="AA30" s="8" t="n">
        <v>500000</v>
      </c>
      <c r="AB30" s="8" t="n">
        <v>8000000</v>
      </c>
      <c r="AC30" s="8" t="inlineStr"/>
    </row>
    <row r="31">
      <c r="A31" s="8" t="n">
        <v>26</v>
      </c>
      <c r="B31" s="8" t="inlineStr">
        <is>
          <t>A33.0009</t>
        </is>
      </c>
      <c r="C31" s="8" t="inlineStr">
        <is>
          <t>Giá đỡ máy cassettle</t>
        </is>
      </c>
      <c r="E31" s="8" t="inlineStr">
        <is>
          <t>cái</t>
        </is>
      </c>
      <c r="F31" s="8" t="n">
        <v>165</v>
      </c>
      <c r="G31" s="8" t="inlineStr"/>
      <c r="H31" s="8" t="inlineStr"/>
      <c r="I31" s="8" t="b">
        <v>0</v>
      </c>
      <c r="J31" s="8" t="inlineStr"/>
      <c r="K31" s="8" t="n">
        <v>1</v>
      </c>
      <c r="L31" s="8" t="inlineStr"/>
      <c r="M31" s="8" t="inlineStr"/>
      <c r="N31" s="8" t="inlineStr"/>
      <c r="O31" s="8" t="inlineStr"/>
      <c r="P31" s="8" t="inlineStr"/>
      <c r="Q31" s="8" t="inlineStr"/>
      <c r="R31" s="8" t="inlineStr"/>
      <c r="S31" s="8" t="n">
        <v>1</v>
      </c>
      <c r="T31" s="8" t="inlineStr"/>
      <c r="U31" s="8" t="n">
        <v>1</v>
      </c>
      <c r="V31" s="8" t="n">
        <v>1</v>
      </c>
      <c r="W31" s="8" t="n">
        <v>1</v>
      </c>
      <c r="X31" s="8" t="n">
        <v>0</v>
      </c>
      <c r="Y31" s="8" t="inlineStr"/>
      <c r="Z31" s="8" t="n">
        <v>500000</v>
      </c>
      <c r="AA31" s="8" t="n">
        <v>500000</v>
      </c>
      <c r="AB31" s="8" t="n">
        <v>82500000</v>
      </c>
      <c r="AC31" s="8" t="inlineStr"/>
    </row>
    <row r="32">
      <c r="A32" s="8" t="n">
        <v>27</v>
      </c>
      <c r="B32" s="8" t="inlineStr">
        <is>
          <t>A33.0009</t>
        </is>
      </c>
      <c r="C32" s="8" t="inlineStr">
        <is>
          <t>Giá đỡ máy treo tường</t>
        </is>
      </c>
      <c r="E32" s="8" t="inlineStr">
        <is>
          <t>cái</t>
        </is>
      </c>
      <c r="F32" s="8" t="n">
        <v>5</v>
      </c>
      <c r="G32" s="8" t="inlineStr"/>
      <c r="H32" s="8" t="inlineStr"/>
      <c r="I32" s="8" t="b">
        <v>0</v>
      </c>
      <c r="J32" s="8" t="inlineStr"/>
      <c r="K32" s="8" t="n">
        <v>1</v>
      </c>
      <c r="L32" s="8" t="inlineStr"/>
      <c r="M32" s="8" t="inlineStr"/>
      <c r="N32" s="8" t="inlineStr"/>
      <c r="O32" s="8" t="inlineStr"/>
      <c r="P32" s="8" t="inlineStr"/>
      <c r="Q32" s="8" t="inlineStr"/>
      <c r="R32" s="8" t="inlineStr"/>
      <c r="S32" s="8" t="n">
        <v>1</v>
      </c>
      <c r="T32" s="8" t="inlineStr"/>
      <c r="U32" s="8" t="n">
        <v>1</v>
      </c>
      <c r="V32" s="8" t="n">
        <v>1</v>
      </c>
      <c r="W32" s="8" t="n">
        <v>1</v>
      </c>
      <c r="X32" s="8" t="n">
        <v>0</v>
      </c>
      <c r="Y32" s="8" t="inlineStr"/>
      <c r="Z32" s="8" t="n">
        <v>300000</v>
      </c>
      <c r="AA32" s="8" t="n">
        <v>300000</v>
      </c>
      <c r="AB32" s="8" t="n">
        <v>1500000</v>
      </c>
      <c r="AC32" s="8" t="inlineStr"/>
    </row>
    <row r="33">
      <c r="A33" s="8" t="n">
        <v>28</v>
      </c>
      <c r="B33" s="8" t="inlineStr">
        <is>
          <t>A33.0005</t>
        </is>
      </c>
      <c r="C33" s="8" t="inlineStr">
        <is>
          <t>Khí gas</t>
        </is>
      </c>
      <c r="E33" s="8" t="inlineStr">
        <is>
          <t>kg</t>
        </is>
      </c>
      <c r="F33" s="8" t="n">
        <v>1.8742</v>
      </c>
      <c r="G33" s="8" t="inlineStr"/>
      <c r="H33" s="8" t="inlineStr"/>
      <c r="I33" s="8" t="b">
        <v>0</v>
      </c>
      <c r="J33" s="8" t="inlineStr"/>
      <c r="K33" s="8" t="n">
        <v>1</v>
      </c>
      <c r="L33" s="8" t="inlineStr"/>
      <c r="M33" s="8" t="inlineStr"/>
      <c r="N33" s="8" t="inlineStr"/>
      <c r="O33" s="8" t="inlineStr"/>
      <c r="P33" s="8" t="inlineStr"/>
      <c r="Q33" s="8" t="inlineStr"/>
      <c r="R33" s="8" t="inlineStr"/>
      <c r="S33" s="8" t="n">
        <v>1</v>
      </c>
      <c r="T33" s="8" t="inlineStr"/>
      <c r="U33" s="8" t="n">
        <v>1</v>
      </c>
      <c r="V33" s="8" t="n">
        <v>1</v>
      </c>
      <c r="W33" s="8" t="n">
        <v>1</v>
      </c>
      <c r="X33" s="8" t="n">
        <v>0</v>
      </c>
      <c r="Y33" s="8" t="inlineStr"/>
      <c r="Z33" s="8" t="n">
        <v>37803</v>
      </c>
      <c r="AA33" s="8" t="n">
        <v>37803</v>
      </c>
      <c r="AB33" s="8" t="n">
        <v>70850</v>
      </c>
      <c r="AC33" s="8" t="inlineStr"/>
    </row>
    <row r="34">
      <c r="A34" s="8" t="n">
        <v>29</v>
      </c>
      <c r="B34" s="8" t="inlineStr">
        <is>
          <t>A33.0001</t>
        </is>
      </c>
      <c r="C34" s="8" t="inlineStr">
        <is>
          <t>Mỡ các loại</t>
        </is>
      </c>
      <c r="E34" s="8" t="inlineStr">
        <is>
          <t>kg</t>
        </is>
      </c>
      <c r="F34" s="8" t="n">
        <v>9.918800000000001</v>
      </c>
      <c r="G34" s="8" t="inlineStr"/>
      <c r="H34" s="8" t="inlineStr"/>
      <c r="I34" s="8" t="b">
        <v>0</v>
      </c>
      <c r="J34" s="8" t="inlineStr"/>
      <c r="K34" s="8" t="n">
        <v>1</v>
      </c>
      <c r="L34" s="8" t="inlineStr"/>
      <c r="M34" s="8" t="inlineStr"/>
      <c r="N34" s="8" t="inlineStr"/>
      <c r="O34" s="8" t="inlineStr"/>
      <c r="P34" s="8" t="inlineStr"/>
      <c r="Q34" s="8" t="inlineStr"/>
      <c r="R34" s="8" t="inlineStr"/>
      <c r="S34" s="8" t="n">
        <v>1</v>
      </c>
      <c r="T34" s="8" t="inlineStr"/>
      <c r="U34" s="8" t="n">
        <v>1</v>
      </c>
      <c r="V34" s="8" t="n">
        <v>1</v>
      </c>
      <c r="W34" s="8" t="n">
        <v>1</v>
      </c>
      <c r="X34" s="8" t="n">
        <v>0</v>
      </c>
      <c r="Y34" s="8" t="inlineStr"/>
      <c r="Z34" s="8" t="n">
        <v>90000</v>
      </c>
      <c r="AA34" s="8" t="n">
        <v>90000</v>
      </c>
      <c r="AB34" s="8" t="n">
        <v>892692</v>
      </c>
      <c r="AC34" s="8" t="inlineStr"/>
    </row>
    <row r="35">
      <c r="A35" s="8" t="n">
        <v>30</v>
      </c>
      <c r="B35" s="8" t="inlineStr">
        <is>
          <t>A33.0346</t>
        </is>
      </c>
      <c r="C35" s="8" t="inlineStr">
        <is>
          <t>Nhựa dán</t>
        </is>
      </c>
      <c r="E35" s="8" t="inlineStr">
        <is>
          <t>kg</t>
        </is>
      </c>
      <c r="F35" s="8" t="n">
        <v>0.9330000000000001</v>
      </c>
      <c r="G35" s="8" t="inlineStr"/>
      <c r="H35" s="8" t="inlineStr"/>
      <c r="I35" s="8" t="b">
        <v>0</v>
      </c>
      <c r="J35" s="8" t="inlineStr"/>
      <c r="K35" s="8" t="n">
        <v>1</v>
      </c>
      <c r="L35" s="8" t="inlineStr"/>
      <c r="M35" s="8" t="inlineStr"/>
      <c r="N35" s="8" t="inlineStr"/>
      <c r="O35" s="8" t="inlineStr"/>
      <c r="P35" s="8" t="inlineStr"/>
      <c r="Q35" s="8" t="inlineStr"/>
      <c r="R35" s="8" t="inlineStr"/>
      <c r="S35" s="8" t="n">
        <v>1</v>
      </c>
      <c r="T35" s="8" t="inlineStr"/>
      <c r="U35" s="8" t="n">
        <v>1</v>
      </c>
      <c r="V35" s="8" t="n">
        <v>1</v>
      </c>
      <c r="W35" s="8" t="n">
        <v>1</v>
      </c>
      <c r="X35" s="8" t="n">
        <v>0</v>
      </c>
      <c r="Y35" s="8" t="inlineStr"/>
      <c r="Z35" s="8" t="n">
        <v>86000</v>
      </c>
      <c r="AA35" s="8" t="n">
        <v>86000</v>
      </c>
      <c r="AB35" s="8" t="n">
        <v>80238</v>
      </c>
      <c r="AC35" s="8" t="inlineStr"/>
    </row>
    <row r="36">
      <c r="A36" s="8" t="n">
        <v>31</v>
      </c>
      <c r="B36" s="8" t="inlineStr">
        <is>
          <t>A33.0006</t>
        </is>
      </c>
      <c r="C36" s="8" t="inlineStr">
        <is>
          <t>Ô xy</t>
        </is>
      </c>
      <c r="E36" s="8" t="inlineStr">
        <is>
          <t>chai</t>
        </is>
      </c>
      <c r="F36" s="8" t="n">
        <v>0.9371</v>
      </c>
      <c r="G36" s="8" t="inlineStr"/>
      <c r="H36" s="8" t="inlineStr"/>
      <c r="I36" s="8" t="b">
        <v>0</v>
      </c>
      <c r="J36" s="8" t="inlineStr"/>
      <c r="K36" s="8" t="n">
        <v>1</v>
      </c>
      <c r="L36" s="8" t="inlineStr"/>
      <c r="M36" s="8" t="inlineStr"/>
      <c r="N36" s="8" t="inlineStr"/>
      <c r="O36" s="8" t="inlineStr"/>
      <c r="P36" s="8" t="inlineStr"/>
      <c r="Q36" s="8" t="inlineStr"/>
      <c r="R36" s="8" t="inlineStr"/>
      <c r="S36" s="8" t="n">
        <v>1</v>
      </c>
      <c r="T36" s="8" t="inlineStr"/>
      <c r="U36" s="8" t="n">
        <v>1</v>
      </c>
      <c r="V36" s="8" t="n">
        <v>1</v>
      </c>
      <c r="W36" s="8" t="n">
        <v>1</v>
      </c>
      <c r="X36" s="8" t="n">
        <v>0</v>
      </c>
      <c r="Y36" s="8" t="inlineStr"/>
      <c r="Z36" s="8" t="n">
        <v>30000</v>
      </c>
      <c r="AA36" s="8" t="n">
        <v>30000</v>
      </c>
      <c r="AB36" s="8" t="n">
        <v>28113</v>
      </c>
      <c r="AC36" s="8" t="inlineStr"/>
    </row>
    <row r="37">
      <c r="A37" s="8" t="n">
        <v>32</v>
      </c>
      <c r="B37" s="8" t="inlineStr">
        <is>
          <t>A33.0460</t>
        </is>
      </c>
      <c r="C37" s="8" t="inlineStr">
        <is>
          <t>Ống đồng_D12.7_0.81mm</t>
        </is>
      </c>
      <c r="E37" s="8" t="inlineStr">
        <is>
          <t>m</t>
        </is>
      </c>
      <c r="F37" s="8" t="n">
        <v>50.25</v>
      </c>
      <c r="G37" s="8" t="inlineStr"/>
      <c r="H37" s="8" t="inlineStr"/>
      <c r="I37" s="8" t="b">
        <v>0</v>
      </c>
      <c r="J37" s="8" t="inlineStr"/>
      <c r="K37" s="8" t="n">
        <v>1</v>
      </c>
      <c r="L37" s="8" t="inlineStr"/>
      <c r="M37" s="8" t="inlineStr"/>
      <c r="N37" s="8" t="inlineStr"/>
      <c r="O37" s="8" t="inlineStr"/>
      <c r="P37" s="8" t="inlineStr"/>
      <c r="Q37" s="8" t="inlineStr"/>
      <c r="R37" s="8" t="inlineStr"/>
      <c r="S37" s="8" t="n">
        <v>1</v>
      </c>
      <c r="T37" s="8" t="inlineStr"/>
      <c r="U37" s="8" t="n">
        <v>1</v>
      </c>
      <c r="V37" s="8" t="n">
        <v>1</v>
      </c>
      <c r="W37" s="8" t="n">
        <v>1</v>
      </c>
      <c r="X37" s="8" t="n">
        <v>0</v>
      </c>
      <c r="Y37" s="8" t="inlineStr"/>
      <c r="Z37" s="8" t="n">
        <v>108000</v>
      </c>
      <c r="AA37" s="8" t="n">
        <v>108000</v>
      </c>
      <c r="AB37" s="8" t="n">
        <v>5427000</v>
      </c>
      <c r="AC37" s="8" t="inlineStr"/>
    </row>
    <row r="38">
      <c r="A38" s="8" t="n">
        <v>33</v>
      </c>
      <c r="B38" s="8" t="inlineStr">
        <is>
          <t>A33.0461</t>
        </is>
      </c>
      <c r="C38" s="8" t="inlineStr">
        <is>
          <t>Ống đồng_D15.9_0.99mm</t>
        </is>
      </c>
      <c r="E38" s="8" t="inlineStr">
        <is>
          <t>m</t>
        </is>
      </c>
      <c r="F38" s="8" t="n">
        <v>2341.65</v>
      </c>
      <c r="G38" s="8" t="inlineStr"/>
      <c r="H38" s="8" t="inlineStr"/>
      <c r="I38" s="8" t="b">
        <v>0</v>
      </c>
      <c r="J38" s="8" t="inlineStr"/>
      <c r="K38" s="8" t="n">
        <v>1</v>
      </c>
      <c r="L38" s="8" t="inlineStr"/>
      <c r="M38" s="8" t="inlineStr"/>
      <c r="N38" s="8" t="inlineStr"/>
      <c r="O38" s="8" t="inlineStr"/>
      <c r="P38" s="8" t="inlineStr"/>
      <c r="Q38" s="8" t="inlineStr"/>
      <c r="R38" s="8" t="inlineStr"/>
      <c r="S38" s="8" t="n">
        <v>1</v>
      </c>
      <c r="T38" s="8" t="inlineStr"/>
      <c r="U38" s="8" t="n">
        <v>1</v>
      </c>
      <c r="V38" s="8" t="n">
        <v>1</v>
      </c>
      <c r="W38" s="8" t="n">
        <v>1</v>
      </c>
      <c r="X38" s="8" t="n">
        <v>0</v>
      </c>
      <c r="Y38" s="8" t="inlineStr"/>
      <c r="Z38" s="8" t="n">
        <v>166900</v>
      </c>
      <c r="AA38" s="8" t="n">
        <v>166900</v>
      </c>
      <c r="AB38" s="8" t="n">
        <v>390821385</v>
      </c>
      <c r="AC38" s="8" t="inlineStr"/>
    </row>
    <row r="39">
      <c r="A39" s="8" t="n">
        <v>34</v>
      </c>
      <c r="B39" s="8" t="inlineStr">
        <is>
          <t>A33.0462</t>
        </is>
      </c>
      <c r="C39" s="8" t="inlineStr">
        <is>
          <t>Ống đồng_D19.1_0.99mm</t>
        </is>
      </c>
      <c r="E39" s="8" t="inlineStr">
        <is>
          <t>m</t>
        </is>
      </c>
      <c r="F39" s="8" t="n">
        <v>402</v>
      </c>
      <c r="G39" s="8" t="inlineStr"/>
      <c r="H39" s="8" t="inlineStr"/>
      <c r="I39" s="8" t="b">
        <v>0</v>
      </c>
      <c r="J39" s="8" t="inlineStr"/>
      <c r="K39" s="8" t="n">
        <v>1</v>
      </c>
      <c r="L39" s="8" t="inlineStr"/>
      <c r="M39" s="8" t="inlineStr"/>
      <c r="N39" s="8" t="inlineStr"/>
      <c r="O39" s="8" t="inlineStr"/>
      <c r="P39" s="8" t="inlineStr"/>
      <c r="Q39" s="8" t="inlineStr"/>
      <c r="R39" s="8" t="inlineStr"/>
      <c r="S39" s="8" t="n">
        <v>1</v>
      </c>
      <c r="T39" s="8" t="inlineStr"/>
      <c r="U39" s="8" t="n">
        <v>1</v>
      </c>
      <c r="V39" s="8" t="n">
        <v>1</v>
      </c>
      <c r="W39" s="8" t="n">
        <v>1</v>
      </c>
      <c r="X39" s="8" t="n">
        <v>0</v>
      </c>
      <c r="Y39" s="8" t="inlineStr"/>
      <c r="Z39" s="8" t="n">
        <v>202300</v>
      </c>
      <c r="AA39" s="8" t="n">
        <v>202300</v>
      </c>
      <c r="AB39" s="8" t="n">
        <v>81324600</v>
      </c>
      <c r="AC39" s="8" t="inlineStr"/>
    </row>
    <row r="40">
      <c r="A40" s="8" t="n">
        <v>35</v>
      </c>
      <c r="B40" s="8" t="inlineStr">
        <is>
          <t>A33.0463</t>
        </is>
      </c>
      <c r="C40" s="8" t="inlineStr">
        <is>
          <t>Ống đồng_D22.2_1.14mm</t>
        </is>
      </c>
      <c r="E40" s="8" t="inlineStr">
        <is>
          <t>m</t>
        </is>
      </c>
      <c r="F40" s="8" t="n">
        <v>80.40000000000001</v>
      </c>
      <c r="G40" s="8" t="inlineStr"/>
      <c r="H40" s="8" t="inlineStr"/>
      <c r="I40" s="8" t="b">
        <v>0</v>
      </c>
      <c r="J40" s="8" t="inlineStr"/>
      <c r="K40" s="8" t="n">
        <v>1</v>
      </c>
      <c r="L40" s="8" t="inlineStr"/>
      <c r="M40" s="8" t="inlineStr"/>
      <c r="N40" s="8" t="inlineStr"/>
      <c r="O40" s="8" t="inlineStr"/>
      <c r="P40" s="8" t="inlineStr"/>
      <c r="Q40" s="8" t="inlineStr"/>
      <c r="R40" s="8" t="inlineStr"/>
      <c r="S40" s="8" t="n">
        <v>1</v>
      </c>
      <c r="T40" s="8" t="inlineStr"/>
      <c r="U40" s="8" t="n">
        <v>1</v>
      </c>
      <c r="V40" s="8" t="n">
        <v>1</v>
      </c>
      <c r="W40" s="8" t="n">
        <v>1</v>
      </c>
      <c r="X40" s="8" t="n">
        <v>0</v>
      </c>
      <c r="Y40" s="8" t="inlineStr"/>
      <c r="Z40" s="8" t="n">
        <v>272200</v>
      </c>
      <c r="AA40" s="8" t="n">
        <v>272200</v>
      </c>
      <c r="AB40" s="8" t="n">
        <v>21884880</v>
      </c>
      <c r="AC40" s="8" t="inlineStr"/>
    </row>
    <row r="41">
      <c r="A41" s="8" t="n">
        <v>36</v>
      </c>
      <c r="B41" s="8" t="inlineStr">
        <is>
          <t>A33.0465</t>
        </is>
      </c>
      <c r="C41" s="8" t="inlineStr">
        <is>
          <t>Ống đồng_D28.6_1.27mm</t>
        </is>
      </c>
      <c r="E41" s="8" t="inlineStr">
        <is>
          <t>m</t>
        </is>
      </c>
      <c r="F41" s="8" t="n">
        <v>160.8</v>
      </c>
      <c r="G41" s="8" t="inlineStr"/>
      <c r="H41" s="8" t="inlineStr"/>
      <c r="I41" s="8" t="b">
        <v>0</v>
      </c>
      <c r="J41" s="8" t="inlineStr"/>
      <c r="K41" s="8" t="n">
        <v>1</v>
      </c>
      <c r="L41" s="8" t="inlineStr"/>
      <c r="M41" s="8" t="inlineStr"/>
      <c r="N41" s="8" t="inlineStr"/>
      <c r="O41" s="8" t="inlineStr"/>
      <c r="P41" s="8" t="inlineStr"/>
      <c r="Q41" s="8" t="inlineStr"/>
      <c r="R41" s="8" t="inlineStr"/>
      <c r="S41" s="8" t="n">
        <v>1</v>
      </c>
      <c r="T41" s="8" t="inlineStr"/>
      <c r="U41" s="8" t="n">
        <v>1</v>
      </c>
      <c r="V41" s="8" t="n">
        <v>1</v>
      </c>
      <c r="W41" s="8" t="n">
        <v>1</v>
      </c>
      <c r="X41" s="8" t="n">
        <v>0</v>
      </c>
      <c r="Y41" s="8" t="inlineStr"/>
      <c r="Z41" s="8" t="n">
        <v>392700</v>
      </c>
      <c r="AA41" s="8" t="n">
        <v>392700</v>
      </c>
      <c r="AB41" s="8" t="n">
        <v>63146160</v>
      </c>
      <c r="AC41" s="8" t="inlineStr"/>
    </row>
    <row r="42">
      <c r="A42" s="8" t="n">
        <v>37</v>
      </c>
      <c r="B42" s="8" t="inlineStr">
        <is>
          <t>A33.0467</t>
        </is>
      </c>
      <c r="C42" s="8" t="inlineStr">
        <is>
          <t>Ống đồng_D34.9_1.40mm</t>
        </is>
      </c>
      <c r="E42" s="8" t="inlineStr">
        <is>
          <t>m</t>
        </is>
      </c>
      <c r="F42" s="8" t="n">
        <v>160.8</v>
      </c>
      <c r="G42" s="8" t="inlineStr"/>
      <c r="H42" s="8" t="inlineStr"/>
      <c r="I42" s="8" t="b">
        <v>0</v>
      </c>
      <c r="J42" s="8" t="inlineStr"/>
      <c r="K42" s="8" t="n">
        <v>1</v>
      </c>
      <c r="L42" s="8" t="inlineStr"/>
      <c r="M42" s="8" t="inlineStr"/>
      <c r="N42" s="8" t="inlineStr"/>
      <c r="O42" s="8" t="inlineStr"/>
      <c r="P42" s="8" t="inlineStr"/>
      <c r="Q42" s="8" t="inlineStr"/>
      <c r="R42" s="8" t="inlineStr"/>
      <c r="S42" s="8" t="n">
        <v>1</v>
      </c>
      <c r="T42" s="8" t="inlineStr"/>
      <c r="U42" s="8" t="n">
        <v>1</v>
      </c>
      <c r="V42" s="8" t="n">
        <v>1</v>
      </c>
      <c r="W42" s="8" t="n">
        <v>1</v>
      </c>
      <c r="X42" s="8" t="n">
        <v>0</v>
      </c>
      <c r="Y42" s="8" t="inlineStr"/>
      <c r="Z42" s="8" t="n">
        <v>531600</v>
      </c>
      <c r="AA42" s="8" t="n">
        <v>531600</v>
      </c>
      <c r="AB42" s="8" t="n">
        <v>85481280</v>
      </c>
      <c r="AC42" s="8" t="inlineStr"/>
    </row>
    <row r="43">
      <c r="A43" s="8" t="n">
        <v>38</v>
      </c>
      <c r="B43" s="8" t="inlineStr">
        <is>
          <t>A33.0471</t>
        </is>
      </c>
      <c r="C43" s="8" t="inlineStr">
        <is>
          <t>Ống đồng_D41.3_1.53mm</t>
        </is>
      </c>
      <c r="E43" s="8" t="inlineStr">
        <is>
          <t>m</t>
        </is>
      </c>
      <c r="F43" s="8" t="n">
        <v>241.2</v>
      </c>
      <c r="G43" s="8" t="inlineStr"/>
      <c r="H43" s="8" t="inlineStr"/>
      <c r="I43" s="8" t="b">
        <v>0</v>
      </c>
      <c r="J43" s="8" t="inlineStr"/>
      <c r="K43" s="8" t="n">
        <v>1</v>
      </c>
      <c r="L43" s="8" t="inlineStr"/>
      <c r="M43" s="8" t="inlineStr"/>
      <c r="N43" s="8" t="inlineStr"/>
      <c r="O43" s="8" t="inlineStr"/>
      <c r="P43" s="8" t="inlineStr"/>
      <c r="Q43" s="8" t="inlineStr"/>
      <c r="R43" s="8" t="inlineStr"/>
      <c r="S43" s="8" t="n">
        <v>1</v>
      </c>
      <c r="T43" s="8" t="inlineStr"/>
      <c r="U43" s="8" t="n">
        <v>1</v>
      </c>
      <c r="V43" s="8" t="n">
        <v>1</v>
      </c>
      <c r="W43" s="8" t="n">
        <v>1</v>
      </c>
      <c r="X43" s="8" t="n">
        <v>0</v>
      </c>
      <c r="Y43" s="8" t="inlineStr"/>
      <c r="Z43" s="8" t="n">
        <v>684300</v>
      </c>
      <c r="AA43" s="8" t="n">
        <v>684300</v>
      </c>
      <c r="AB43" s="8" t="n">
        <v>165053160</v>
      </c>
      <c r="AC43" s="8" t="inlineStr"/>
    </row>
    <row r="44">
      <c r="A44" s="8" t="n">
        <v>39</v>
      </c>
      <c r="B44" s="8" t="inlineStr">
        <is>
          <t>A33.0458</t>
        </is>
      </c>
      <c r="C44" s="8" t="inlineStr">
        <is>
          <t>Ống đồng_D6.4_0.81mm</t>
        </is>
      </c>
      <c r="E44" s="8" t="inlineStr">
        <is>
          <t>m</t>
        </is>
      </c>
      <c r="F44" s="8" t="n">
        <v>80.40000000000001</v>
      </c>
      <c r="G44" s="8" t="inlineStr"/>
      <c r="H44" s="8" t="inlineStr"/>
      <c r="I44" s="8" t="b">
        <v>0</v>
      </c>
      <c r="J44" s="8" t="inlineStr"/>
      <c r="K44" s="8" t="n">
        <v>1</v>
      </c>
      <c r="L44" s="8" t="inlineStr"/>
      <c r="M44" s="8" t="inlineStr"/>
      <c r="N44" s="8" t="inlineStr"/>
      <c r="O44" s="8" t="inlineStr"/>
      <c r="P44" s="8" t="inlineStr"/>
      <c r="Q44" s="8" t="inlineStr"/>
      <c r="R44" s="8" t="inlineStr"/>
      <c r="S44" s="8" t="n">
        <v>1</v>
      </c>
      <c r="T44" s="8" t="inlineStr"/>
      <c r="U44" s="8" t="n">
        <v>1</v>
      </c>
      <c r="V44" s="8" t="n">
        <v>1</v>
      </c>
      <c r="W44" s="8" t="n">
        <v>1</v>
      </c>
      <c r="X44" s="8" t="n">
        <v>0</v>
      </c>
      <c r="Y44" s="8" t="inlineStr"/>
      <c r="Z44" s="8" t="n">
        <v>50400</v>
      </c>
      <c r="AA44" s="8" t="n">
        <v>50400</v>
      </c>
      <c r="AB44" s="8" t="n">
        <v>4052160</v>
      </c>
      <c r="AC44" s="8" t="inlineStr"/>
    </row>
    <row r="45">
      <c r="A45" s="8" t="n">
        <v>40</v>
      </c>
      <c r="B45" s="8" t="inlineStr">
        <is>
          <t>A33.0459</t>
        </is>
      </c>
      <c r="C45" s="8" t="inlineStr">
        <is>
          <t>Ống đồng_D9.5_0.81mm</t>
        </is>
      </c>
      <c r="E45" s="8" t="inlineStr">
        <is>
          <t>m</t>
        </is>
      </c>
      <c r="F45" s="8" t="n">
        <v>2351.7</v>
      </c>
      <c r="G45" s="8" t="inlineStr"/>
      <c r="H45" s="8" t="inlineStr"/>
      <c r="I45" s="8" t="b">
        <v>0</v>
      </c>
      <c r="J45" s="8" t="inlineStr"/>
      <c r="K45" s="8" t="n">
        <v>1</v>
      </c>
      <c r="L45" s="8" t="inlineStr"/>
      <c r="M45" s="8" t="inlineStr"/>
      <c r="N45" s="8" t="inlineStr"/>
      <c r="O45" s="8" t="inlineStr"/>
      <c r="P45" s="8" t="inlineStr"/>
      <c r="Q45" s="8" t="inlineStr"/>
      <c r="R45" s="8" t="inlineStr"/>
      <c r="S45" s="8" t="n">
        <v>1</v>
      </c>
      <c r="T45" s="8" t="inlineStr"/>
      <c r="U45" s="8" t="n">
        <v>1</v>
      </c>
      <c r="V45" s="8" t="n">
        <v>1</v>
      </c>
      <c r="W45" s="8" t="n">
        <v>1</v>
      </c>
      <c r="X45" s="8" t="n">
        <v>0</v>
      </c>
      <c r="Y45" s="8" t="inlineStr"/>
      <c r="Z45" s="8" t="n">
        <v>79200</v>
      </c>
      <c r="AA45" s="8" t="n">
        <v>79200</v>
      </c>
      <c r="AB45" s="8" t="n">
        <v>186254640</v>
      </c>
      <c r="AC45" s="8" t="inlineStr"/>
    </row>
    <row r="46">
      <c r="A46" s="8" t="n">
        <v>41</v>
      </c>
      <c r="B46" s="8" t="inlineStr">
        <is>
          <t>A33.0332</t>
        </is>
      </c>
      <c r="C46" s="8" t="inlineStr">
        <is>
          <t>Ống uPVC_D21</t>
        </is>
      </c>
      <c r="E46" s="8" t="inlineStr">
        <is>
          <t>m</t>
        </is>
      </c>
      <c r="F46" s="8" t="n">
        <v>60.59999999999999</v>
      </c>
      <c r="G46" s="8" t="inlineStr"/>
      <c r="H46" s="8" t="inlineStr"/>
      <c r="I46" s="8" t="b">
        <v>0</v>
      </c>
      <c r="J46" s="8" t="inlineStr"/>
      <c r="K46" s="8" t="n">
        <v>1</v>
      </c>
      <c r="L46" s="8" t="inlineStr"/>
      <c r="M46" s="8" t="inlineStr"/>
      <c r="N46" s="8" t="inlineStr"/>
      <c r="O46" s="8" t="inlineStr"/>
      <c r="P46" s="8" t="inlineStr"/>
      <c r="Q46" s="8" t="inlineStr"/>
      <c r="R46" s="8" t="inlineStr"/>
      <c r="S46" s="8" t="n">
        <v>1</v>
      </c>
      <c r="T46" s="8" t="inlineStr"/>
      <c r="U46" s="8" t="n">
        <v>1</v>
      </c>
      <c r="V46" s="8" t="n">
        <v>1</v>
      </c>
      <c r="W46" s="8" t="n">
        <v>1</v>
      </c>
      <c r="X46" s="8" t="n">
        <v>0</v>
      </c>
      <c r="Y46" s="8" t="inlineStr"/>
      <c r="Z46" s="8" t="n">
        <v>8400</v>
      </c>
      <c r="AA46" s="8" t="n">
        <v>8400</v>
      </c>
      <c r="AB46" s="8" t="n">
        <v>509040</v>
      </c>
      <c r="AC46" s="8" t="inlineStr"/>
    </row>
    <row r="47">
      <c r="A47" s="8" t="n">
        <v>42</v>
      </c>
      <c r="B47" s="8" t="inlineStr">
        <is>
          <t>A33.0333</t>
        </is>
      </c>
      <c r="C47" s="8" t="inlineStr">
        <is>
          <t>Ống uPVC_D27</t>
        </is>
      </c>
      <c r="E47" s="8" t="inlineStr">
        <is>
          <t>m</t>
        </is>
      </c>
      <c r="F47" s="8" t="n">
        <v>1777.6</v>
      </c>
      <c r="G47" s="8" t="inlineStr"/>
      <c r="H47" s="8" t="inlineStr"/>
      <c r="I47" s="8" t="b">
        <v>0</v>
      </c>
      <c r="J47" s="8" t="inlineStr"/>
      <c r="K47" s="8" t="n">
        <v>1</v>
      </c>
      <c r="L47" s="8" t="inlineStr"/>
      <c r="M47" s="8" t="inlineStr"/>
      <c r="N47" s="8" t="inlineStr"/>
      <c r="O47" s="8" t="inlineStr"/>
      <c r="P47" s="8" t="inlineStr"/>
      <c r="Q47" s="8" t="inlineStr"/>
      <c r="R47" s="8" t="inlineStr"/>
      <c r="S47" s="8" t="n">
        <v>1</v>
      </c>
      <c r="T47" s="8" t="inlineStr"/>
      <c r="U47" s="8" t="n">
        <v>1</v>
      </c>
      <c r="V47" s="8" t="n">
        <v>1</v>
      </c>
      <c r="W47" s="8" t="n">
        <v>1</v>
      </c>
      <c r="X47" s="8" t="n">
        <v>0</v>
      </c>
      <c r="Y47" s="8" t="inlineStr"/>
      <c r="Z47" s="8" t="n">
        <v>11500</v>
      </c>
      <c r="AA47" s="8" t="n">
        <v>11500</v>
      </c>
      <c r="AB47" s="8" t="n">
        <v>20442400</v>
      </c>
      <c r="AC47" s="8" t="inlineStr"/>
    </row>
    <row r="48">
      <c r="A48" s="8" t="n">
        <v>43</v>
      </c>
      <c r="B48" s="8" t="inlineStr">
        <is>
          <t>A33.0334</t>
        </is>
      </c>
      <c r="C48" s="8" t="inlineStr">
        <is>
          <t>Ống uPVC_D34</t>
        </is>
      </c>
      <c r="E48" s="8" t="inlineStr">
        <is>
          <t>m</t>
        </is>
      </c>
      <c r="F48" s="8" t="n">
        <v>303</v>
      </c>
      <c r="G48" s="8" t="inlineStr"/>
      <c r="H48" s="8" t="inlineStr"/>
      <c r="I48" s="8" t="b">
        <v>0</v>
      </c>
      <c r="J48" s="8" t="inlineStr"/>
      <c r="K48" s="8" t="n">
        <v>1</v>
      </c>
      <c r="L48" s="8" t="inlineStr"/>
      <c r="M48" s="8" t="inlineStr"/>
      <c r="N48" s="8" t="inlineStr"/>
      <c r="O48" s="8" t="inlineStr"/>
      <c r="P48" s="8" t="inlineStr"/>
      <c r="Q48" s="8" t="inlineStr"/>
      <c r="R48" s="8" t="inlineStr"/>
      <c r="S48" s="8" t="n">
        <v>1</v>
      </c>
      <c r="T48" s="8" t="inlineStr"/>
      <c r="U48" s="8" t="n">
        <v>1</v>
      </c>
      <c r="V48" s="8" t="n">
        <v>1</v>
      </c>
      <c r="W48" s="8" t="n">
        <v>1</v>
      </c>
      <c r="X48" s="8" t="n">
        <v>0</v>
      </c>
      <c r="Y48" s="8" t="inlineStr"/>
      <c r="Z48" s="8" t="n">
        <v>14500</v>
      </c>
      <c r="AA48" s="8" t="n">
        <v>14500</v>
      </c>
      <c r="AB48" s="8" t="n">
        <v>4393500</v>
      </c>
      <c r="AC48" s="8" t="inlineStr"/>
    </row>
    <row r="49">
      <c r="A49" s="8" t="n">
        <v>44</v>
      </c>
      <c r="B49" s="8" t="inlineStr">
        <is>
          <t>A33.0335</t>
        </is>
      </c>
      <c r="C49" s="8" t="inlineStr">
        <is>
          <t>Ống uPVC_D42</t>
        </is>
      </c>
      <c r="E49" s="8" t="inlineStr">
        <is>
          <t>m</t>
        </is>
      </c>
      <c r="F49" s="8" t="n">
        <v>303</v>
      </c>
      <c r="G49" s="8" t="inlineStr"/>
      <c r="H49" s="8" t="inlineStr"/>
      <c r="I49" s="8" t="b">
        <v>0</v>
      </c>
      <c r="J49" s="8" t="inlineStr"/>
      <c r="K49" s="8" t="n">
        <v>1</v>
      </c>
      <c r="L49" s="8" t="inlineStr"/>
      <c r="M49" s="8" t="inlineStr"/>
      <c r="N49" s="8" t="inlineStr"/>
      <c r="O49" s="8" t="inlineStr"/>
      <c r="P49" s="8" t="inlineStr"/>
      <c r="Q49" s="8" t="inlineStr"/>
      <c r="R49" s="8" t="inlineStr"/>
      <c r="S49" s="8" t="n">
        <v>1</v>
      </c>
      <c r="T49" s="8" t="inlineStr"/>
      <c r="U49" s="8" t="n">
        <v>1</v>
      </c>
      <c r="V49" s="8" t="n">
        <v>1</v>
      </c>
      <c r="W49" s="8" t="n">
        <v>1</v>
      </c>
      <c r="X49" s="8" t="n">
        <v>0</v>
      </c>
      <c r="Y49" s="8" t="inlineStr"/>
      <c r="Z49" s="8" t="n">
        <v>22600</v>
      </c>
      <c r="AA49" s="8" t="n">
        <v>22600</v>
      </c>
      <c r="AB49" s="8" t="n">
        <v>6847800</v>
      </c>
      <c r="AC49" s="8" t="inlineStr"/>
    </row>
    <row r="50">
      <c r="A50" s="8" t="n">
        <v>45</v>
      </c>
      <c r="B50" s="8" t="inlineStr">
        <is>
          <t>A33.0336</t>
        </is>
      </c>
      <c r="C50" s="8" t="inlineStr">
        <is>
          <t>Ống uPVC_D48</t>
        </is>
      </c>
      <c r="E50" s="8" t="inlineStr">
        <is>
          <t>m</t>
        </is>
      </c>
      <c r="F50" s="8" t="n">
        <v>252.5</v>
      </c>
      <c r="G50" s="8" t="inlineStr"/>
      <c r="H50" s="8" t="inlineStr"/>
      <c r="I50" s="8" t="b">
        <v>0</v>
      </c>
      <c r="J50" s="8" t="inlineStr"/>
      <c r="K50" s="8" t="n">
        <v>1</v>
      </c>
      <c r="L50" s="8" t="inlineStr"/>
      <c r="M50" s="8" t="inlineStr"/>
      <c r="N50" s="8" t="inlineStr"/>
      <c r="O50" s="8" t="inlineStr"/>
      <c r="P50" s="8" t="inlineStr"/>
      <c r="Q50" s="8" t="inlineStr"/>
      <c r="R50" s="8" t="inlineStr"/>
      <c r="S50" s="8" t="n">
        <v>1</v>
      </c>
      <c r="T50" s="8" t="inlineStr"/>
      <c r="U50" s="8" t="n">
        <v>1</v>
      </c>
      <c r="V50" s="8" t="n">
        <v>1</v>
      </c>
      <c r="W50" s="8" t="n">
        <v>1</v>
      </c>
      <c r="X50" s="8" t="n">
        <v>0</v>
      </c>
      <c r="Y50" s="8" t="inlineStr"/>
      <c r="Z50" s="8" t="n">
        <v>27300</v>
      </c>
      <c r="AA50" s="8" t="n">
        <v>27300</v>
      </c>
      <c r="AB50" s="8" t="n">
        <v>6893250</v>
      </c>
      <c r="AC50" s="8" t="inlineStr"/>
    </row>
    <row r="51">
      <c r="A51" s="8" t="n">
        <v>46</v>
      </c>
      <c r="B51" s="8" t="inlineStr">
        <is>
          <t>A33.0108</t>
        </is>
      </c>
      <c r="C51" s="8" t="inlineStr">
        <is>
          <t>Que hàn các loại</t>
        </is>
      </c>
      <c r="E51" s="8" t="inlineStr">
        <is>
          <t>kg</t>
        </is>
      </c>
      <c r="F51" s="8" t="n">
        <v>1.1508</v>
      </c>
      <c r="G51" s="8" t="inlineStr">
        <is>
          <t>Sắt thép các loại</t>
        </is>
      </c>
      <c r="H51" s="8" t="inlineStr"/>
      <c r="I51" s="8" t="b">
        <v>0</v>
      </c>
      <c r="J51" s="8" t="inlineStr"/>
      <c r="K51" s="8" t="n">
        <v>1</v>
      </c>
      <c r="L51" s="8" t="inlineStr"/>
      <c r="M51" s="8" t="inlineStr"/>
      <c r="N51" s="8" t="inlineStr"/>
      <c r="O51" s="8" t="inlineStr"/>
      <c r="P51" s="8" t="inlineStr"/>
      <c r="Q51" s="8" t="inlineStr"/>
      <c r="R51" s="8" t="inlineStr"/>
      <c r="S51" s="8" t="n">
        <v>1</v>
      </c>
      <c r="T51" s="8" t="inlineStr"/>
      <c r="U51" s="8" t="n">
        <v>1</v>
      </c>
      <c r="V51" s="8" t="n">
        <v>1</v>
      </c>
      <c r="W51" s="8" t="n">
        <v>0.001</v>
      </c>
      <c r="X51" s="8" t="n">
        <v>0</v>
      </c>
      <c r="Y51" s="8" t="inlineStr"/>
      <c r="Z51" s="8" t="n">
        <v>19800</v>
      </c>
      <c r="AA51" s="8" t="n">
        <v>19800</v>
      </c>
      <c r="AB51" s="8" t="n">
        <v>22786</v>
      </c>
      <c r="AC51" s="8" t="inlineStr"/>
    </row>
    <row r="52">
      <c r="A52" s="8" t="n">
        <v>47</v>
      </c>
      <c r="B52" s="8" t="inlineStr">
        <is>
          <t>A33.0113</t>
        </is>
      </c>
      <c r="C52" s="8" t="inlineStr">
        <is>
          <t>Que hàn đồng</t>
        </is>
      </c>
      <c r="E52" s="8" t="inlineStr">
        <is>
          <t>kg</t>
        </is>
      </c>
      <c r="F52" s="8" t="n">
        <v>7.188400000000001</v>
      </c>
      <c r="G52" s="8" t="inlineStr">
        <is>
          <t>Sắt thép các loại</t>
        </is>
      </c>
      <c r="H52" s="8" t="inlineStr"/>
      <c r="I52" s="8" t="b">
        <v>0</v>
      </c>
      <c r="J52" s="8" t="inlineStr"/>
      <c r="K52" s="8" t="n">
        <v>1</v>
      </c>
      <c r="L52" s="8" t="inlineStr"/>
      <c r="M52" s="8" t="inlineStr"/>
      <c r="N52" s="8" t="inlineStr"/>
      <c r="O52" s="8" t="inlineStr"/>
      <c r="P52" s="8" t="inlineStr"/>
      <c r="Q52" s="8" t="inlineStr"/>
      <c r="R52" s="8" t="inlineStr"/>
      <c r="S52" s="8" t="n">
        <v>1</v>
      </c>
      <c r="T52" s="8" t="inlineStr"/>
      <c r="U52" s="8" t="n">
        <v>1</v>
      </c>
      <c r="V52" s="8" t="n">
        <v>1</v>
      </c>
      <c r="W52" s="8" t="n">
        <v>0.001</v>
      </c>
      <c r="X52" s="8" t="n">
        <v>0</v>
      </c>
      <c r="Y52" s="8" t="inlineStr"/>
      <c r="Z52" s="8" t="n">
        <v>250000</v>
      </c>
      <c r="AA52" s="8" t="n">
        <v>250000</v>
      </c>
      <c r="AB52" s="8" t="n">
        <v>1797100</v>
      </c>
      <c r="AC52" s="8" t="inlineStr"/>
    </row>
    <row r="53">
      <c r="A53" s="8" t="n">
        <v>48</v>
      </c>
      <c r="B53" s="8" t="inlineStr">
        <is>
          <t>A33.0003</t>
        </is>
      </c>
      <c r="C53" s="8" t="inlineStr">
        <is>
          <t>Thép tấm</t>
        </is>
      </c>
      <c r="E53" s="8" t="inlineStr">
        <is>
          <t>kg</t>
        </is>
      </c>
      <c r="F53" s="8" t="n">
        <v>15.2344</v>
      </c>
      <c r="G53" s="8" t="inlineStr">
        <is>
          <t>Sắt thép các loại</t>
        </is>
      </c>
      <c r="H53" s="8" t="inlineStr"/>
      <c r="I53" s="8" t="b">
        <v>0</v>
      </c>
      <c r="J53" s="8" t="inlineStr"/>
      <c r="K53" s="8" t="n">
        <v>1</v>
      </c>
      <c r="L53" s="8" t="inlineStr"/>
      <c r="M53" s="8" t="inlineStr"/>
      <c r="N53" s="8" t="inlineStr"/>
      <c r="O53" s="8" t="inlineStr"/>
      <c r="P53" s="8" t="inlineStr"/>
      <c r="Q53" s="8" t="inlineStr"/>
      <c r="R53" s="8" t="inlineStr"/>
      <c r="S53" s="8" t="n">
        <v>1</v>
      </c>
      <c r="T53" s="8" t="inlineStr"/>
      <c r="U53" s="8" t="n">
        <v>1</v>
      </c>
      <c r="V53" s="8" t="n">
        <v>1</v>
      </c>
      <c r="W53" s="8" t="n">
        <v>0.001</v>
      </c>
      <c r="X53" s="8" t="n">
        <v>0</v>
      </c>
      <c r="Y53" s="8" t="inlineStr"/>
      <c r="Z53" s="8" t="n">
        <v>14950</v>
      </c>
      <c r="AA53" s="8" t="n">
        <v>14950</v>
      </c>
      <c r="AB53" s="8" t="n">
        <v>227754</v>
      </c>
      <c r="AC53" s="8" t="inlineStr"/>
    </row>
    <row r="54">
      <c r="A54" s="8" t="n">
        <v>49</v>
      </c>
      <c r="B54" s="8" t="inlineStr">
        <is>
          <t>A33.0469</t>
        </is>
      </c>
      <c r="C54" s="8" t="inlineStr">
        <is>
          <t>Thuốc hàn</t>
        </is>
      </c>
      <c r="E54" s="8" t="inlineStr">
        <is>
          <t>kg</t>
        </is>
      </c>
      <c r="F54" s="8" t="n">
        <v>0.7999000000000001</v>
      </c>
      <c r="G54" s="8" t="inlineStr"/>
      <c r="H54" s="8" t="inlineStr"/>
      <c r="I54" s="8" t="b">
        <v>0</v>
      </c>
      <c r="J54" s="8" t="inlineStr"/>
      <c r="K54" s="8" t="n">
        <v>1</v>
      </c>
      <c r="L54" s="8" t="inlineStr"/>
      <c r="M54" s="8" t="inlineStr"/>
      <c r="N54" s="8" t="inlineStr"/>
      <c r="O54" s="8" t="inlineStr"/>
      <c r="P54" s="8" t="inlineStr"/>
      <c r="Q54" s="8" t="inlineStr"/>
      <c r="R54" s="8" t="inlineStr"/>
      <c r="S54" s="8" t="n">
        <v>1</v>
      </c>
      <c r="T54" s="8" t="inlineStr"/>
      <c r="U54" s="8" t="n">
        <v>1</v>
      </c>
      <c r="V54" s="8" t="n">
        <v>1</v>
      </c>
      <c r="W54" s="8" t="n">
        <v>1</v>
      </c>
      <c r="X54" s="8" t="n">
        <v>0</v>
      </c>
      <c r="Y54" s="8" t="inlineStr"/>
      <c r="Z54" s="8" t="n">
        <v>27000</v>
      </c>
      <c r="AA54" s="8" t="n">
        <v>27000</v>
      </c>
      <c r="AB54" s="8" t="n">
        <v>21597</v>
      </c>
      <c r="AC54" s="8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411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44" customWidth="1" min="3" max="3"/>
    <col width="38" customWidth="1" min="4" max="4"/>
    <col width="12" customWidth="1" min="5" max="5"/>
    <col width="12" customWidth="1" min="6" max="6"/>
    <col width="20" customWidth="1" min="7" max="7"/>
    <col width="12" customWidth="1" min="8" max="8"/>
    <col width="21" customWidth="1" min="9" max="9"/>
  </cols>
  <sheetData>
    <row r="1">
      <c r="A1" s="8" t="inlineStr">
        <is>
          <t>ĐƠN GIÁ XÂY DỰNG CHI TIẾT HẠNG MỤC CÔNG TRÌNH</t>
        </is>
      </c>
      <c r="B1" s="8" t="inlineStr"/>
      <c r="C1" s="8" t="inlineStr"/>
      <c r="E1" s="8" t="inlineStr"/>
      <c r="F1" s="8" t="inlineStr"/>
      <c r="G1" s="8" t="inlineStr"/>
      <c r="H1" s="8" t="inlineStr"/>
      <c r="I1" s="8" t="inlineStr"/>
    </row>
    <row r="2">
      <c r="A2" s="8" t="inlineStr">
        <is>
          <t>DỰ ÁN: XÂY DỰNG NHÀ Ở CHO LỰC LƯỢNG VŨ TRANG CÔNG AN NHÂN DÂN TẠI Ô ĐẤT NO1 THUỘC LÔ ĐẤT D12 KHU ĐÔ THỊ MỚI CẦU GIẤY,
 PHƯỜNG CẦU GIẤY, THÀNH PHỐ HÀ NỘI</t>
        </is>
      </c>
      <c r="B2" s="8" t="inlineStr"/>
      <c r="C2" s="8" t="inlineStr"/>
      <c r="E2" s="8" t="inlineStr"/>
      <c r="F2" s="8" t="inlineStr"/>
      <c r="G2" s="8" t="inlineStr"/>
      <c r="H2" s="8" t="inlineStr"/>
      <c r="I2" s="8" t="inlineStr"/>
    </row>
    <row r="3">
      <c r="A3" s="8" t="inlineStr">
        <is>
          <t>HẠNG MỤC: ĐIỀU HÒA KHÔNG KHÍ &amp; THÔNG GIÓ - LẮP ĐẶT THIẾT BỊ</t>
        </is>
      </c>
      <c r="B3" s="8" t="inlineStr"/>
      <c r="C3" s="8" t="inlineStr"/>
      <c r="E3" s="8" t="inlineStr"/>
      <c r="F3" s="8" t="inlineStr"/>
      <c r="G3" s="8" t="inlineStr"/>
      <c r="H3" s="8" t="inlineStr"/>
      <c r="I3" s="8" t="inlineStr"/>
    </row>
    <row r="4">
      <c r="A4" s="8" t="inlineStr">
        <is>
          <t>STT</t>
        </is>
      </c>
      <c r="B4" s="8" t="inlineStr">
        <is>
          <t>Mã số</t>
        </is>
      </c>
      <c r="C4" s="8" t="inlineStr">
        <is>
          <t>Thành phần hao phí</t>
        </is>
      </c>
      <c r="D4" s="10" t="inlineStr">
        <is>
          <t>LINK TRA CỨU TT 38/2026/TT-BXD</t>
        </is>
      </c>
      <c r="E4" s="8" t="inlineStr">
        <is>
          <t>Đơn vị</t>
        </is>
      </c>
      <c r="F4" s="8" t="inlineStr">
        <is>
          <t>Định mức</t>
        </is>
      </c>
      <c r="G4" s="8" t="inlineStr">
        <is>
          <t>Đơn giá
(đ)</t>
        </is>
      </c>
      <c r="H4" s="8" t="inlineStr">
        <is>
          <t>Hệ số</t>
        </is>
      </c>
      <c r="I4" s="8" t="inlineStr">
        <is>
          <t>Thành tiền
(đ)</t>
        </is>
      </c>
    </row>
    <row r="5">
      <c r="A5" s="8" t="n">
        <v>1</v>
      </c>
      <c r="B5" s="11" t="inlineStr">
        <is>
          <t>MD.12002</t>
        </is>
      </c>
      <c r="C5" s="8" t="inlineStr">
        <is>
          <t>Dàn nóng điều hòa VRF, Multi</t>
        </is>
      </c>
      <c r="D5" s="12">
        <f>HYPERLINK("tt38://pl5/37", "👉 Phụ lục IV - Trang 37 (Khớp nhóm MD.1200)")</f>
        <v/>
      </c>
      <c r="E5" s="8" t="inlineStr">
        <is>
          <t>tấn</t>
        </is>
      </c>
      <c r="F5" s="8" t="n">
        <v>1</v>
      </c>
      <c r="G5" s="8" t="inlineStr"/>
      <c r="H5" s="8" t="inlineStr"/>
      <c r="I5" s="8" t="inlineStr"/>
    </row>
    <row r="6">
      <c r="A6" s="8" t="inlineStr"/>
      <c r="B6" s="8" t="inlineStr"/>
      <c r="C6" s="8" t="inlineStr">
        <is>
          <t>a) Vật liệu</t>
        </is>
      </c>
      <c r="E6" s="8" t="inlineStr"/>
      <c r="F6" s="8" t="inlineStr"/>
      <c r="G6" s="8" t="inlineStr"/>
      <c r="H6" s="8" t="inlineStr"/>
      <c r="I6" s="8" t="n">
        <v>518999.943</v>
      </c>
    </row>
    <row r="7">
      <c r="A7" s="8" t="inlineStr"/>
      <c r="B7" s="8" t="inlineStr">
        <is>
          <t>A33.0001</t>
        </is>
      </c>
      <c r="C7" s="8" t="inlineStr">
        <is>
          <t>Mỡ các loại</t>
        </is>
      </c>
      <c r="E7" s="8" t="inlineStr">
        <is>
          <t>kg</t>
        </is>
      </c>
      <c r="F7" s="8" t="n">
        <v>1.81</v>
      </c>
      <c r="G7" s="8" t="n">
        <v>90000</v>
      </c>
      <c r="H7" s="8" t="n">
        <v>1</v>
      </c>
      <c r="I7" s="8" t="n">
        <v>162900</v>
      </c>
    </row>
    <row r="8">
      <c r="A8" s="8" t="inlineStr"/>
      <c r="B8" s="8" t="inlineStr">
        <is>
          <t>A33.0002</t>
        </is>
      </c>
      <c r="C8" s="8" t="inlineStr">
        <is>
          <t>Dầu các loại</t>
        </is>
      </c>
      <c r="E8" s="8" t="inlineStr">
        <is>
          <t>kg</t>
        </is>
      </c>
      <c r="F8" s="8" t="n">
        <v>2.09</v>
      </c>
      <c r="G8" s="8" t="n">
        <v>100000</v>
      </c>
      <c r="H8" s="8" t="n">
        <v>1</v>
      </c>
      <c r="I8" s="8" t="n">
        <v>209000</v>
      </c>
    </row>
    <row r="9">
      <c r="A9" s="8" t="inlineStr"/>
      <c r="B9" s="8" t="inlineStr">
        <is>
          <t>A33.0003</t>
        </is>
      </c>
      <c r="C9" s="8" t="inlineStr">
        <is>
          <t>Thép tấm</t>
        </is>
      </c>
      <c r="E9" s="8" t="inlineStr">
        <is>
          <t>kg</t>
        </is>
      </c>
      <c r="F9" s="8" t="n">
        <v>2.78</v>
      </c>
      <c r="G9" s="8" t="n">
        <v>14950</v>
      </c>
      <c r="H9" s="8" t="n">
        <v>1</v>
      </c>
      <c r="I9" s="8" t="n">
        <v>41561</v>
      </c>
    </row>
    <row r="10">
      <c r="A10" s="8" t="inlineStr"/>
      <c r="B10" s="8" t="inlineStr">
        <is>
          <t>A33.0108</t>
        </is>
      </c>
      <c r="C10" s="8" t="inlineStr">
        <is>
          <t>Que hàn các loại</t>
        </is>
      </c>
      <c r="E10" s="8" t="inlineStr">
        <is>
          <t>kg</t>
        </is>
      </c>
      <c r="F10" s="8" t="n">
        <v>0.21</v>
      </c>
      <c r="G10" s="8" t="n">
        <v>19800</v>
      </c>
      <c r="H10" s="8" t="n">
        <v>1</v>
      </c>
      <c r="I10" s="8" t="n">
        <v>4158</v>
      </c>
    </row>
    <row r="11">
      <c r="A11" s="8" t="inlineStr"/>
      <c r="B11" s="8" t="inlineStr">
        <is>
          <t>A33.0005</t>
        </is>
      </c>
      <c r="C11" s="8" t="inlineStr">
        <is>
          <t>Khí gas</t>
        </is>
      </c>
      <c r="E11" s="8" t="inlineStr">
        <is>
          <t>kg</t>
        </is>
      </c>
      <c r="F11" s="8" t="n">
        <v>0.22</v>
      </c>
      <c r="G11" s="8" t="n">
        <v>37803</v>
      </c>
      <c r="H11" s="8" t="n">
        <v>1</v>
      </c>
      <c r="I11" s="8" t="n">
        <v>8316.66</v>
      </c>
    </row>
    <row r="12">
      <c r="A12" s="8" t="inlineStr"/>
      <c r="B12" s="8" t="inlineStr">
        <is>
          <t>A33.0006</t>
        </is>
      </c>
      <c r="C12" s="8" t="inlineStr">
        <is>
          <t>Ô xy</t>
        </is>
      </c>
      <c r="E12" s="8" t="inlineStr">
        <is>
          <t>chai</t>
        </is>
      </c>
      <c r="F12" s="8" t="n">
        <v>0.11</v>
      </c>
      <c r="G12" s="8" t="n">
        <v>30000</v>
      </c>
      <c r="H12" s="8" t="n">
        <v>1</v>
      </c>
      <c r="I12" s="8" t="n">
        <v>3300</v>
      </c>
    </row>
    <row r="13">
      <c r="A13" s="8" t="inlineStr"/>
      <c r="B13" s="8" t="inlineStr">
        <is>
          <t>A33.0107</t>
        </is>
      </c>
      <c r="C13" s="8" t="inlineStr">
        <is>
          <t>Đá mài, cắt</t>
        </is>
      </c>
      <c r="E13" s="8" t="inlineStr">
        <is>
          <t>viên</t>
        </is>
      </c>
      <c r="F13" s="8" t="n">
        <v>0.89</v>
      </c>
      <c r="G13" s="8" t="n">
        <v>20000</v>
      </c>
      <c r="H13" s="8" t="n">
        <v>1</v>
      </c>
      <c r="I13" s="8" t="n">
        <v>17800</v>
      </c>
    </row>
    <row r="14">
      <c r="A14" s="8" t="inlineStr"/>
      <c r="B14" s="8" t="inlineStr">
        <is>
          <t>A33.0008</t>
        </is>
      </c>
      <c r="C14" s="8" t="inlineStr">
        <is>
          <t>Đồng lá</t>
        </is>
      </c>
      <c r="E14" s="8" t="inlineStr">
        <is>
          <t>kg</t>
        </is>
      </c>
      <c r="F14" s="8" t="n">
        <v>0.055</v>
      </c>
      <c r="G14" s="8" t="n">
        <v>350000</v>
      </c>
      <c r="H14" s="8" t="n">
        <v>1</v>
      </c>
      <c r="I14" s="8" t="n">
        <v>19250</v>
      </c>
    </row>
    <row r="15">
      <c r="A15" s="8" t="inlineStr"/>
      <c r="B15" s="8" t="inlineStr">
        <is>
          <t>A33.0007</t>
        </is>
      </c>
      <c r="C15" s="8" t="inlineStr">
        <is>
          <t>Gỗ nhóm 4</t>
        </is>
      </c>
      <c r="E15" s="8" t="inlineStr">
        <is>
          <t>m3</t>
        </is>
      </c>
      <c r="F15" s="8" t="n">
        <v>0.014</v>
      </c>
      <c r="G15" s="8" t="n">
        <v>2000000</v>
      </c>
      <c r="H15" s="8" t="n">
        <v>1</v>
      </c>
      <c r="I15" s="8" t="n">
        <v>28000</v>
      </c>
    </row>
    <row r="16">
      <c r="A16" s="8" t="inlineStr"/>
      <c r="B16" s="8" t="inlineStr">
        <is>
          <t>Z999</t>
        </is>
      </c>
      <c r="C16" s="8" t="inlineStr">
        <is>
          <t>Vật liệu khác</t>
        </is>
      </c>
      <c r="E16" s="8" t="inlineStr">
        <is>
          <t>%</t>
        </is>
      </c>
      <c r="F16" s="8" t="n">
        <v>5</v>
      </c>
      <c r="G16" s="8" t="n">
        <v>494285.66</v>
      </c>
      <c r="H16" s="8" t="inlineStr"/>
      <c r="I16" s="8" t="n">
        <v>24714.283</v>
      </c>
    </row>
    <row r="17">
      <c r="A17" s="8" t="inlineStr"/>
      <c r="B17" s="8" t="inlineStr"/>
      <c r="C17" s="8" t="inlineStr">
        <is>
          <t>Cộng</t>
        </is>
      </c>
      <c r="E17" s="8" t="inlineStr"/>
      <c r="F17" s="8" t="inlineStr"/>
      <c r="G17" s="8" t="inlineStr"/>
      <c r="H17" s="8" t="inlineStr"/>
      <c r="I17" s="8" t="n">
        <v>518999.943</v>
      </c>
    </row>
    <row r="18">
      <c r="A18" s="8" t="inlineStr"/>
      <c r="B18" s="8" t="inlineStr"/>
      <c r="C18" s="8" t="inlineStr">
        <is>
          <t>b) Nhân công</t>
        </is>
      </c>
      <c r="E18" s="8" t="inlineStr"/>
      <c r="F18" s="8" t="inlineStr"/>
      <c r="G18" s="8" t="inlineStr"/>
      <c r="H18" s="8" t="inlineStr"/>
      <c r="I18" s="8" t="n">
        <v>16770760</v>
      </c>
    </row>
    <row r="19">
      <c r="A19" s="8" t="inlineStr"/>
      <c r="B19" s="8" t="inlineStr">
        <is>
          <t>N4</t>
        </is>
      </c>
      <c r="C19" s="8" t="inlineStr">
        <is>
          <t>Nhân công nhóm 4</t>
        </is>
      </c>
      <c r="E19" s="8" t="inlineStr">
        <is>
          <t>công</t>
        </is>
      </c>
      <c r="F19" s="8" t="n">
        <v>36.94</v>
      </c>
      <c r="G19" s="8" t="n">
        <v>454000</v>
      </c>
      <c r="H19" s="8" t="n">
        <v>1</v>
      </c>
      <c r="I19" s="8" t="n">
        <v>16770760</v>
      </c>
    </row>
    <row r="20">
      <c r="A20" s="8" t="inlineStr"/>
      <c r="B20" s="8" t="inlineStr"/>
      <c r="C20" s="8" t="inlineStr">
        <is>
          <t>c) Máy thi công</t>
        </is>
      </c>
      <c r="E20" s="8" t="inlineStr"/>
      <c r="F20" s="8" t="inlineStr"/>
      <c r="G20" s="8" t="inlineStr"/>
      <c r="H20" s="8" t="inlineStr"/>
      <c r="I20" s="8" t="n">
        <v>995693.7417000001</v>
      </c>
    </row>
    <row r="21">
      <c r="A21" s="8" t="inlineStr"/>
      <c r="B21" s="8" t="inlineStr">
        <is>
          <t>M102.0301</t>
        </is>
      </c>
      <c r="C21" s="8" t="inlineStr">
        <is>
          <t>Cần cẩu bánh xích 5T</t>
        </is>
      </c>
      <c r="E21" s="8" t="inlineStr">
        <is>
          <t>ca</t>
        </is>
      </c>
      <c r="F21" s="8" t="n">
        <v>0.314</v>
      </c>
      <c r="G21" s="8" t="n">
        <v>2451003</v>
      </c>
      <c r="H21" s="8" t="n">
        <v>1</v>
      </c>
      <c r="I21" s="8" t="n">
        <v>769614.942</v>
      </c>
    </row>
    <row r="22">
      <c r="A22" s="8" t="inlineStr"/>
      <c r="B22" s="8" t="inlineStr">
        <is>
          <t>M112.3703</t>
        </is>
      </c>
      <c r="C22" s="8" t="inlineStr">
        <is>
          <t>Máy mài 2,7 kW</t>
        </is>
      </c>
      <c r="E22" s="8" t="inlineStr">
        <is>
          <t>ca</t>
        </is>
      </c>
      <c r="F22" s="8" t="n">
        <v>0.89</v>
      </c>
      <c r="G22" s="8" t="n">
        <v>19497</v>
      </c>
      <c r="H22" s="8" t="n">
        <v>1</v>
      </c>
      <c r="I22" s="8" t="n">
        <v>17352.33</v>
      </c>
    </row>
    <row r="23">
      <c r="A23" s="8" t="inlineStr"/>
      <c r="B23" s="8" t="inlineStr">
        <is>
          <t>M112.3901</t>
        </is>
      </c>
      <c r="C23" s="8" t="inlineStr">
        <is>
          <t>Máy hàn điện 50 kW</t>
        </is>
      </c>
      <c r="E23" s="8" t="inlineStr">
        <is>
          <t>ca</t>
        </is>
      </c>
      <c r="F23" s="8" t="n">
        <v>0.089</v>
      </c>
      <c r="G23" s="8" t="n">
        <v>719617</v>
      </c>
      <c r="H23" s="8" t="n">
        <v>1</v>
      </c>
      <c r="I23" s="8" t="n">
        <v>64045.913</v>
      </c>
    </row>
    <row r="24">
      <c r="A24" s="8" t="inlineStr"/>
      <c r="B24" s="8" t="inlineStr">
        <is>
          <t>M112.4101</t>
        </is>
      </c>
      <c r="C24" s="8" t="inlineStr">
        <is>
          <t>Máy hàn hơi 1000 l/h</t>
        </is>
      </c>
      <c r="E24" s="8" t="inlineStr">
        <is>
          <t>ca</t>
        </is>
      </c>
      <c r="F24" s="8" t="n">
        <v>0.27</v>
      </c>
      <c r="G24" s="8" t="n">
        <v>463545</v>
      </c>
      <c r="H24" s="8" t="n">
        <v>1</v>
      </c>
      <c r="I24" s="8" t="n">
        <v>125157.15</v>
      </c>
    </row>
    <row r="25">
      <c r="A25" s="8" t="inlineStr"/>
      <c r="B25" s="8" t="inlineStr">
        <is>
          <t>M999</t>
        </is>
      </c>
      <c r="C25" s="8" t="inlineStr">
        <is>
          <t>Máy khác</t>
        </is>
      </c>
      <c r="E25" s="8" t="inlineStr">
        <is>
          <t>%</t>
        </is>
      </c>
      <c r="F25" s="8" t="n">
        <v>2</v>
      </c>
      <c r="G25" s="8" t="n">
        <v>976170.3350000001</v>
      </c>
      <c r="H25" s="8" t="inlineStr"/>
      <c r="I25" s="8" t="n">
        <v>19523.4067</v>
      </c>
    </row>
    <row r="26">
      <c r="A26" s="8" t="inlineStr"/>
      <c r="B26" s="8" t="inlineStr"/>
      <c r="C26" s="8" t="inlineStr">
        <is>
          <t>Cộng</t>
        </is>
      </c>
      <c r="E26" s="8" t="inlineStr"/>
      <c r="F26" s="8" t="inlineStr"/>
      <c r="G26" s="8" t="inlineStr"/>
      <c r="H26" s="8" t="inlineStr"/>
      <c r="I26" s="8" t="n">
        <v>995693.7417000001</v>
      </c>
    </row>
    <row r="27">
      <c r="A27" s="8" t="n">
        <v>2</v>
      </c>
      <c r="B27" s="11" t="inlineStr">
        <is>
          <t>BA.12130</t>
        </is>
      </c>
      <c r="C27" s="8" t="inlineStr">
        <is>
          <t>Dàn lạnh âm trần nối ống gió, CSL: 7.1 kW</t>
        </is>
      </c>
      <c r="D27" s="12">
        <f>HYPERLINK("tt38://pl3/6", "👉 Phụ lục III - Trang 6 (Khớp nhóm BA.121)")</f>
        <v/>
      </c>
      <c r="E27" s="8" t="inlineStr">
        <is>
          <t>máy</t>
        </is>
      </c>
      <c r="F27" s="8" t="n">
        <v>1</v>
      </c>
      <c r="G27" s="8" t="inlineStr"/>
      <c r="H27" s="8" t="inlineStr"/>
      <c r="I27" s="8" t="inlineStr"/>
    </row>
    <row r="28">
      <c r="A28" s="8" t="inlineStr"/>
      <c r="B28" s="8" t="inlineStr"/>
      <c r="C28" s="8" t="inlineStr">
        <is>
          <t>a) Vật liệu</t>
        </is>
      </c>
      <c r="E28" s="8" t="inlineStr"/>
      <c r="F28" s="8" t="inlineStr"/>
      <c r="G28" s="8" t="inlineStr"/>
      <c r="H28" s="8" t="inlineStr"/>
      <c r="I28" s="8" t="n">
        <v>525000</v>
      </c>
    </row>
    <row r="29">
      <c r="A29" s="8" t="inlineStr"/>
      <c r="B29" s="8" t="inlineStr">
        <is>
          <t>A33.0009</t>
        </is>
      </c>
      <c r="C29" s="8" t="inlineStr">
        <is>
          <t>Giá đỡ máy âm trần</t>
        </is>
      </c>
      <c r="E29" s="8" t="inlineStr">
        <is>
          <t>cái</t>
        </is>
      </c>
      <c r="F29" s="8" t="n">
        <v>1</v>
      </c>
      <c r="G29" s="8" t="n">
        <v>500000</v>
      </c>
      <c r="H29" s="8" t="n">
        <v>1</v>
      </c>
      <c r="I29" s="8" t="n">
        <v>500000</v>
      </c>
    </row>
    <row r="30">
      <c r="A30" s="8" t="inlineStr"/>
      <c r="B30" s="8" t="inlineStr">
        <is>
          <t>Z999</t>
        </is>
      </c>
      <c r="C30" s="8" t="inlineStr">
        <is>
          <t>Vật liệu khác</t>
        </is>
      </c>
      <c r="E30" s="8" t="inlineStr">
        <is>
          <t>%</t>
        </is>
      </c>
      <c r="F30" s="8" t="n">
        <v>5</v>
      </c>
      <c r="G30" s="8" t="n">
        <v>500000</v>
      </c>
      <c r="H30" s="8" t="inlineStr"/>
      <c r="I30" s="8" t="n">
        <v>25000</v>
      </c>
    </row>
    <row r="31">
      <c r="A31" s="8" t="inlineStr"/>
      <c r="B31" s="8" t="inlineStr"/>
      <c r="C31" s="8" t="inlineStr">
        <is>
          <t>Cộng</t>
        </is>
      </c>
      <c r="E31" s="8" t="inlineStr"/>
      <c r="F31" s="8" t="inlineStr"/>
      <c r="G31" s="8" t="inlineStr"/>
      <c r="H31" s="8" t="inlineStr"/>
      <c r="I31" s="8" t="n">
        <v>525000</v>
      </c>
    </row>
    <row r="32">
      <c r="A32" s="8" t="inlineStr"/>
      <c r="B32" s="8" t="inlineStr"/>
      <c r="C32" s="8" t="inlineStr">
        <is>
          <t>b) Nhân công</t>
        </is>
      </c>
      <c r="E32" s="8" t="inlineStr"/>
      <c r="F32" s="8" t="inlineStr"/>
      <c r="G32" s="8" t="inlineStr"/>
      <c r="H32" s="8" t="inlineStr"/>
      <c r="I32" s="8" t="n">
        <v>559370</v>
      </c>
    </row>
    <row r="33">
      <c r="A33" s="8" t="inlineStr"/>
      <c r="B33" s="8" t="inlineStr">
        <is>
          <t>N3</t>
        </is>
      </c>
      <c r="C33" s="8" t="inlineStr">
        <is>
          <t>Nhân công nhóm 3</t>
        </is>
      </c>
      <c r="E33" s="8" t="inlineStr">
        <is>
          <t>công</t>
        </is>
      </c>
      <c r="F33" s="8" t="n">
        <v>1.31</v>
      </c>
      <c r="G33" s="8" t="n">
        <v>427000</v>
      </c>
      <c r="H33" s="8" t="n">
        <v>1</v>
      </c>
      <c r="I33" s="8" t="n">
        <v>559370</v>
      </c>
    </row>
    <row r="34">
      <c r="A34" s="8" t="inlineStr"/>
      <c r="B34" s="8" t="inlineStr"/>
      <c r="C34" s="8" t="inlineStr">
        <is>
          <t>c) Máy thi công</t>
        </is>
      </c>
      <c r="E34" s="8" t="inlineStr"/>
      <c r="F34" s="8" t="inlineStr"/>
      <c r="G34" s="8" t="inlineStr"/>
      <c r="H34" s="8" t="inlineStr"/>
      <c r="I34" s="8" t="n">
        <v>5456.88</v>
      </c>
    </row>
    <row r="35">
      <c r="A35" s="8" t="inlineStr"/>
      <c r="B35" s="8" t="inlineStr">
        <is>
          <t>M112.1701</t>
        </is>
      </c>
      <c r="C35" s="8" t="inlineStr">
        <is>
          <t>Máy khoan bê tông cầm tay 0,62 kW</t>
        </is>
      </c>
      <c r="E35" s="8" t="inlineStr">
        <is>
          <t>ca</t>
        </is>
      </c>
      <c r="F35" s="8" t="n">
        <v>0.36</v>
      </c>
      <c r="G35" s="8" t="n">
        <v>15158</v>
      </c>
      <c r="H35" s="8" t="n">
        <v>1</v>
      </c>
      <c r="I35" s="8" t="n">
        <v>5456.88</v>
      </c>
    </row>
    <row r="36">
      <c r="A36" s="8" t="n">
        <v>3</v>
      </c>
      <c r="B36" s="11" t="inlineStr">
        <is>
          <t>BA.12130</t>
        </is>
      </c>
      <c r="C36" s="8" t="inlineStr">
        <is>
          <t>Dàn lạnh cassette, CSL: 9.0 kW</t>
        </is>
      </c>
      <c r="D36" s="12">
        <f>HYPERLINK("tt38://pl3/6", "👉 Phụ lục III - Trang 6 (Khớp nhóm BA.121)")</f>
        <v/>
      </c>
      <c r="E36" s="8" t="inlineStr">
        <is>
          <t>máy</t>
        </is>
      </c>
      <c r="F36" s="8" t="n">
        <v>1</v>
      </c>
      <c r="G36" s="8" t="inlineStr"/>
      <c r="H36" s="8" t="inlineStr"/>
      <c r="I36" s="8" t="inlineStr"/>
    </row>
    <row r="37">
      <c r="A37" s="8" t="inlineStr"/>
      <c r="B37" s="8" t="inlineStr"/>
      <c r="C37" s="8" t="inlineStr">
        <is>
          <t>a) Vật liệu</t>
        </is>
      </c>
      <c r="E37" s="8" t="inlineStr"/>
      <c r="F37" s="8" t="inlineStr"/>
      <c r="G37" s="8" t="inlineStr"/>
      <c r="H37" s="8" t="inlineStr"/>
      <c r="I37" s="8" t="n">
        <v>525000</v>
      </c>
    </row>
    <row r="38">
      <c r="A38" s="8" t="inlineStr"/>
      <c r="B38" s="8" t="inlineStr">
        <is>
          <t>A33.0009</t>
        </is>
      </c>
      <c r="C38" s="8" t="inlineStr">
        <is>
          <t>Giá đỡ máy cassettle</t>
        </is>
      </c>
      <c r="E38" s="8" t="inlineStr">
        <is>
          <t>cái</t>
        </is>
      </c>
      <c r="F38" s="8" t="n">
        <v>1</v>
      </c>
      <c r="G38" s="8" t="n">
        <v>500000</v>
      </c>
      <c r="H38" s="8" t="n">
        <v>1</v>
      </c>
      <c r="I38" s="8" t="n">
        <v>500000</v>
      </c>
    </row>
    <row r="39">
      <c r="A39" s="8" t="inlineStr"/>
      <c r="B39" s="8" t="inlineStr">
        <is>
          <t>Z999</t>
        </is>
      </c>
      <c r="C39" s="8" t="inlineStr">
        <is>
          <t>Vật liệu khác</t>
        </is>
      </c>
      <c r="E39" s="8" t="inlineStr">
        <is>
          <t>%</t>
        </is>
      </c>
      <c r="F39" s="8" t="n">
        <v>5</v>
      </c>
      <c r="G39" s="8" t="n">
        <v>500000</v>
      </c>
      <c r="H39" s="8" t="inlineStr"/>
      <c r="I39" s="8" t="n">
        <v>25000</v>
      </c>
    </row>
    <row r="40">
      <c r="A40" s="8" t="inlineStr"/>
      <c r="B40" s="8" t="inlineStr"/>
      <c r="C40" s="8" t="inlineStr">
        <is>
          <t>Cộng</t>
        </is>
      </c>
      <c r="E40" s="8" t="inlineStr"/>
      <c r="F40" s="8" t="inlineStr"/>
      <c r="G40" s="8" t="inlineStr"/>
      <c r="H40" s="8" t="inlineStr"/>
      <c r="I40" s="8" t="n">
        <v>525000</v>
      </c>
    </row>
    <row r="41">
      <c r="A41" s="8" t="inlineStr"/>
      <c r="B41" s="8" t="inlineStr"/>
      <c r="C41" s="8" t="inlineStr">
        <is>
          <t>b) Nhân công</t>
        </is>
      </c>
      <c r="E41" s="8" t="inlineStr"/>
      <c r="F41" s="8" t="inlineStr"/>
      <c r="G41" s="8" t="inlineStr"/>
      <c r="H41" s="8" t="inlineStr"/>
      <c r="I41" s="8" t="n">
        <v>559370</v>
      </c>
    </row>
    <row r="42">
      <c r="A42" s="8" t="inlineStr"/>
      <c r="B42" s="8" t="inlineStr">
        <is>
          <t>N3</t>
        </is>
      </c>
      <c r="C42" s="8" t="inlineStr">
        <is>
          <t>Nhân công nhóm 3</t>
        </is>
      </c>
      <c r="E42" s="8" t="inlineStr">
        <is>
          <t>công</t>
        </is>
      </c>
      <c r="F42" s="8" t="n">
        <v>1.31</v>
      </c>
      <c r="G42" s="8" t="n">
        <v>427000</v>
      </c>
      <c r="H42" s="8" t="n">
        <v>1</v>
      </c>
      <c r="I42" s="8" t="n">
        <v>559370</v>
      </c>
    </row>
    <row r="43">
      <c r="A43" s="8" t="inlineStr"/>
      <c r="B43" s="8" t="inlineStr"/>
      <c r="C43" s="8" t="inlineStr">
        <is>
          <t>c) Máy thi công</t>
        </is>
      </c>
      <c r="E43" s="8" t="inlineStr"/>
      <c r="F43" s="8" t="inlineStr"/>
      <c r="G43" s="8" t="inlineStr"/>
      <c r="H43" s="8" t="inlineStr"/>
      <c r="I43" s="8" t="n">
        <v>5456.88</v>
      </c>
    </row>
    <row r="44">
      <c r="A44" s="8" t="inlineStr"/>
      <c r="B44" s="8" t="inlineStr">
        <is>
          <t>M112.1701</t>
        </is>
      </c>
      <c r="C44" s="8" t="inlineStr">
        <is>
          <t>Máy khoan bê tông cầm tay 0,62 kW</t>
        </is>
      </c>
      <c r="E44" s="8" t="inlineStr">
        <is>
          <t>ca</t>
        </is>
      </c>
      <c r="F44" s="8" t="n">
        <v>0.36</v>
      </c>
      <c r="G44" s="8" t="n">
        <v>15158</v>
      </c>
      <c r="H44" s="8" t="n">
        <v>1</v>
      </c>
      <c r="I44" s="8" t="n">
        <v>5456.88</v>
      </c>
    </row>
    <row r="45">
      <c r="A45" s="8" t="n">
        <v>4</v>
      </c>
      <c r="B45" s="11" t="inlineStr">
        <is>
          <t>BA.12130</t>
        </is>
      </c>
      <c r="C45" s="8" t="inlineStr">
        <is>
          <t>Dàn lạnh cassette, CSL: 11.2 kW</t>
        </is>
      </c>
      <c r="D45" s="12">
        <f>HYPERLINK("tt38://pl3/6", "👉 Phụ lục III - Trang 6 (Khớp nhóm BA.121)")</f>
        <v/>
      </c>
      <c r="E45" s="8" t="inlineStr">
        <is>
          <t>máy</t>
        </is>
      </c>
      <c r="F45" s="8" t="n">
        <v>1</v>
      </c>
      <c r="G45" s="8" t="inlineStr"/>
      <c r="H45" s="8" t="inlineStr"/>
      <c r="I45" s="8" t="inlineStr"/>
    </row>
    <row r="46">
      <c r="A46" s="8" t="inlineStr"/>
      <c r="B46" s="8" t="inlineStr"/>
      <c r="C46" s="8" t="inlineStr">
        <is>
          <t>a) Vật liệu</t>
        </is>
      </c>
      <c r="E46" s="8" t="inlineStr"/>
      <c r="F46" s="8" t="inlineStr"/>
      <c r="G46" s="8" t="inlineStr"/>
      <c r="H46" s="8" t="inlineStr"/>
      <c r="I46" s="8" t="n">
        <v>525000</v>
      </c>
    </row>
    <row r="47">
      <c r="A47" s="8" t="inlineStr"/>
      <c r="B47" s="8" t="inlineStr">
        <is>
          <t>A33.0009</t>
        </is>
      </c>
      <c r="C47" s="8" t="inlineStr">
        <is>
          <t>Giá đỡ máy cassettle</t>
        </is>
      </c>
      <c r="E47" s="8" t="inlineStr">
        <is>
          <t>cái</t>
        </is>
      </c>
      <c r="F47" s="8" t="n">
        <v>1</v>
      </c>
      <c r="G47" s="8" t="n">
        <v>500000</v>
      </c>
      <c r="H47" s="8" t="n">
        <v>1</v>
      </c>
      <c r="I47" s="8" t="n">
        <v>500000</v>
      </c>
    </row>
    <row r="48">
      <c r="A48" s="8" t="inlineStr"/>
      <c r="B48" s="8" t="inlineStr">
        <is>
          <t>Z999</t>
        </is>
      </c>
      <c r="C48" s="8" t="inlineStr">
        <is>
          <t>Vật liệu khác</t>
        </is>
      </c>
      <c r="E48" s="8" t="inlineStr">
        <is>
          <t>%</t>
        </is>
      </c>
      <c r="F48" s="8" t="n">
        <v>5</v>
      </c>
      <c r="G48" s="8" t="n">
        <v>500000</v>
      </c>
      <c r="H48" s="8" t="inlineStr"/>
      <c r="I48" s="8" t="n">
        <v>25000</v>
      </c>
    </row>
    <row r="49">
      <c r="A49" s="8" t="inlineStr"/>
      <c r="B49" s="8" t="inlineStr"/>
      <c r="C49" s="8" t="inlineStr">
        <is>
          <t>Cộng</t>
        </is>
      </c>
      <c r="E49" s="8" t="inlineStr"/>
      <c r="F49" s="8" t="inlineStr"/>
      <c r="G49" s="8" t="inlineStr"/>
      <c r="H49" s="8" t="inlineStr"/>
      <c r="I49" s="8" t="n">
        <v>525000</v>
      </c>
    </row>
    <row r="50">
      <c r="A50" s="8" t="inlineStr"/>
      <c r="B50" s="8" t="inlineStr"/>
      <c r="C50" s="8" t="inlineStr">
        <is>
          <t>b) Nhân công</t>
        </is>
      </c>
      <c r="E50" s="8" t="inlineStr"/>
      <c r="F50" s="8" t="inlineStr"/>
      <c r="G50" s="8" t="inlineStr"/>
      <c r="H50" s="8" t="inlineStr"/>
      <c r="I50" s="8" t="n">
        <v>559370</v>
      </c>
    </row>
    <row r="51">
      <c r="A51" s="8" t="inlineStr"/>
      <c r="B51" s="8" t="inlineStr">
        <is>
          <t>N3</t>
        </is>
      </c>
      <c r="C51" s="8" t="inlineStr">
        <is>
          <t>Nhân công nhóm 3</t>
        </is>
      </c>
      <c r="E51" s="8" t="inlineStr">
        <is>
          <t>công</t>
        </is>
      </c>
      <c r="F51" s="8" t="n">
        <v>1.31</v>
      </c>
      <c r="G51" s="8" t="n">
        <v>427000</v>
      </c>
      <c r="H51" s="8" t="n">
        <v>1</v>
      </c>
      <c r="I51" s="8" t="n">
        <v>559370</v>
      </c>
    </row>
    <row r="52">
      <c r="A52" s="8" t="inlineStr"/>
      <c r="B52" s="8" t="inlineStr"/>
      <c r="C52" s="8" t="inlineStr">
        <is>
          <t>c) Máy thi công</t>
        </is>
      </c>
      <c r="E52" s="8" t="inlineStr"/>
      <c r="F52" s="8" t="inlineStr"/>
      <c r="G52" s="8" t="inlineStr"/>
      <c r="H52" s="8" t="inlineStr"/>
      <c r="I52" s="8" t="n">
        <v>5456.88</v>
      </c>
    </row>
    <row r="53">
      <c r="A53" s="8" t="inlineStr"/>
      <c r="B53" s="8" t="inlineStr">
        <is>
          <t>M112.1701</t>
        </is>
      </c>
      <c r="C53" s="8" t="inlineStr">
        <is>
          <t>Máy khoan bê tông cầm tay 0,62 kW</t>
        </is>
      </c>
      <c r="E53" s="8" t="inlineStr">
        <is>
          <t>ca</t>
        </is>
      </c>
      <c r="F53" s="8" t="n">
        <v>0.36</v>
      </c>
      <c r="G53" s="8" t="n">
        <v>15158</v>
      </c>
      <c r="H53" s="8" t="n">
        <v>1</v>
      </c>
      <c r="I53" s="8" t="n">
        <v>5456.88</v>
      </c>
    </row>
    <row r="54">
      <c r="A54" s="8" t="n">
        <v>5</v>
      </c>
      <c r="B54" s="11" t="inlineStr">
        <is>
          <t>BA.12130</t>
        </is>
      </c>
      <c r="C54" s="8" t="inlineStr">
        <is>
          <t>Dàn lạnh cassette, CSL: 14.0 kW</t>
        </is>
      </c>
      <c r="D54" s="12">
        <f>HYPERLINK("tt38://pl3/6", "👉 Phụ lục III - Trang 6 (Khớp nhóm BA.121)")</f>
        <v/>
      </c>
      <c r="E54" s="8" t="inlineStr">
        <is>
          <t>máy</t>
        </is>
      </c>
      <c r="F54" s="8" t="n">
        <v>1</v>
      </c>
      <c r="G54" s="8" t="inlineStr"/>
      <c r="H54" s="8" t="inlineStr"/>
      <c r="I54" s="8" t="inlineStr"/>
    </row>
    <row r="55">
      <c r="A55" s="8" t="inlineStr"/>
      <c r="B55" s="8" t="inlineStr"/>
      <c r="C55" s="8" t="inlineStr">
        <is>
          <t>a) Vật liệu</t>
        </is>
      </c>
      <c r="E55" s="8" t="inlineStr"/>
      <c r="F55" s="8" t="inlineStr"/>
      <c r="G55" s="8" t="inlineStr"/>
      <c r="H55" s="8" t="inlineStr"/>
      <c r="I55" s="8" t="n">
        <v>525000</v>
      </c>
    </row>
    <row r="56">
      <c r="A56" s="8" t="inlineStr"/>
      <c r="B56" s="8" t="inlineStr">
        <is>
          <t>A33.0009</t>
        </is>
      </c>
      <c r="C56" s="8" t="inlineStr">
        <is>
          <t>Giá đỡ máy cassettle</t>
        </is>
      </c>
      <c r="E56" s="8" t="inlineStr">
        <is>
          <t>cái</t>
        </is>
      </c>
      <c r="F56" s="8" t="n">
        <v>1</v>
      </c>
      <c r="G56" s="8" t="n">
        <v>500000</v>
      </c>
      <c r="H56" s="8" t="n">
        <v>1</v>
      </c>
      <c r="I56" s="8" t="n">
        <v>500000</v>
      </c>
    </row>
    <row r="57">
      <c r="A57" s="8" t="inlineStr"/>
      <c r="B57" s="8" t="inlineStr">
        <is>
          <t>Z999</t>
        </is>
      </c>
      <c r="C57" s="8" t="inlineStr">
        <is>
          <t>Vật liệu khác</t>
        </is>
      </c>
      <c r="E57" s="8" t="inlineStr">
        <is>
          <t>%</t>
        </is>
      </c>
      <c r="F57" s="8" t="n">
        <v>5</v>
      </c>
      <c r="G57" s="8" t="n">
        <v>500000</v>
      </c>
      <c r="H57" s="8" t="inlineStr"/>
      <c r="I57" s="8" t="n">
        <v>25000</v>
      </c>
    </row>
    <row r="58">
      <c r="A58" s="8" t="inlineStr"/>
      <c r="B58" s="8" t="inlineStr"/>
      <c r="C58" s="8" t="inlineStr">
        <is>
          <t>Cộng</t>
        </is>
      </c>
      <c r="E58" s="8" t="inlineStr"/>
      <c r="F58" s="8" t="inlineStr"/>
      <c r="G58" s="8" t="inlineStr"/>
      <c r="H58" s="8" t="inlineStr"/>
      <c r="I58" s="8" t="n">
        <v>525000</v>
      </c>
    </row>
    <row r="59">
      <c r="A59" s="8" t="inlineStr"/>
      <c r="B59" s="8" t="inlineStr"/>
      <c r="C59" s="8" t="inlineStr">
        <is>
          <t>b) Nhân công</t>
        </is>
      </c>
      <c r="E59" s="8" t="inlineStr"/>
      <c r="F59" s="8" t="inlineStr"/>
      <c r="G59" s="8" t="inlineStr"/>
      <c r="H59" s="8" t="inlineStr"/>
      <c r="I59" s="8" t="n">
        <v>559370</v>
      </c>
    </row>
    <row r="60">
      <c r="A60" s="8" t="inlineStr"/>
      <c r="B60" s="8" t="inlineStr">
        <is>
          <t>N3</t>
        </is>
      </c>
      <c r="C60" s="8" t="inlineStr">
        <is>
          <t>Nhân công nhóm 3</t>
        </is>
      </c>
      <c r="E60" s="8" t="inlineStr">
        <is>
          <t>công</t>
        </is>
      </c>
      <c r="F60" s="8" t="n">
        <v>1.31</v>
      </c>
      <c r="G60" s="8" t="n">
        <v>427000</v>
      </c>
      <c r="H60" s="8" t="n">
        <v>1</v>
      </c>
      <c r="I60" s="8" t="n">
        <v>559370</v>
      </c>
    </row>
    <row r="61">
      <c r="A61" s="8" t="inlineStr"/>
      <c r="B61" s="8" t="inlineStr"/>
      <c r="C61" s="8" t="inlineStr">
        <is>
          <t>c) Máy thi công</t>
        </is>
      </c>
      <c r="E61" s="8" t="inlineStr"/>
      <c r="F61" s="8" t="inlineStr"/>
      <c r="G61" s="8" t="inlineStr"/>
      <c r="H61" s="8" t="inlineStr"/>
      <c r="I61" s="8" t="n">
        <v>5456.88</v>
      </c>
    </row>
    <row r="62">
      <c r="A62" s="8" t="inlineStr"/>
      <c r="B62" s="8" t="inlineStr">
        <is>
          <t>M112.1701</t>
        </is>
      </c>
      <c r="C62" s="8" t="inlineStr">
        <is>
          <t>Máy khoan bê tông cầm tay 0,62 kW</t>
        </is>
      </c>
      <c r="E62" s="8" t="inlineStr">
        <is>
          <t>ca</t>
        </is>
      </c>
      <c r="F62" s="8" t="n">
        <v>0.36</v>
      </c>
      <c r="G62" s="8" t="n">
        <v>15158</v>
      </c>
      <c r="H62" s="8" t="n">
        <v>1</v>
      </c>
      <c r="I62" s="8" t="n">
        <v>5456.88</v>
      </c>
    </row>
    <row r="63">
      <c r="A63" s="8" t="n">
        <v>6</v>
      </c>
      <c r="B63" s="11" t="inlineStr">
        <is>
          <t>BA.12130</t>
        </is>
      </c>
      <c r="C63" s="8" t="inlineStr">
        <is>
          <t>Dàn lạnh âm trần nối ống gió CSL: 7.1 kW</t>
        </is>
      </c>
      <c r="D63" s="12">
        <f>HYPERLINK("tt38://pl3/6", "👉 Phụ lục III - Trang 6 (Khớp nhóm BA.121)")</f>
        <v/>
      </c>
      <c r="E63" s="8" t="inlineStr">
        <is>
          <t>máy</t>
        </is>
      </c>
      <c r="F63" s="8" t="n">
        <v>1</v>
      </c>
      <c r="G63" s="8" t="inlineStr"/>
      <c r="H63" s="8" t="inlineStr"/>
      <c r="I63" s="8" t="inlineStr"/>
    </row>
    <row r="64">
      <c r="A64" s="8" t="inlineStr"/>
      <c r="B64" s="8" t="inlineStr"/>
      <c r="C64" s="8" t="inlineStr">
        <is>
          <t>a) Vật liệu</t>
        </is>
      </c>
      <c r="E64" s="8" t="inlineStr"/>
      <c r="F64" s="8" t="inlineStr"/>
      <c r="G64" s="8" t="inlineStr"/>
      <c r="H64" s="8" t="inlineStr"/>
      <c r="I64" s="8" t="n">
        <v>525000</v>
      </c>
    </row>
    <row r="65">
      <c r="A65" s="8" t="inlineStr"/>
      <c r="B65" s="8" t="inlineStr">
        <is>
          <t>A33.0009</t>
        </is>
      </c>
      <c r="C65" s="8" t="inlineStr">
        <is>
          <t>Giá đỡ máy âm trần</t>
        </is>
      </c>
      <c r="E65" s="8" t="inlineStr">
        <is>
          <t>cái</t>
        </is>
      </c>
      <c r="F65" s="8" t="n">
        <v>1</v>
      </c>
      <c r="G65" s="8" t="n">
        <v>500000</v>
      </c>
      <c r="H65" s="8" t="n">
        <v>1</v>
      </c>
      <c r="I65" s="8" t="n">
        <v>500000</v>
      </c>
    </row>
    <row r="66">
      <c r="A66" s="8" t="inlineStr"/>
      <c r="B66" s="8" t="inlineStr">
        <is>
          <t>Z999</t>
        </is>
      </c>
      <c r="C66" s="8" t="inlineStr">
        <is>
          <t>Vật liệu khác</t>
        </is>
      </c>
      <c r="E66" s="8" t="inlineStr">
        <is>
          <t>%</t>
        </is>
      </c>
      <c r="F66" s="8" t="n">
        <v>5</v>
      </c>
      <c r="G66" s="8" t="n">
        <v>500000</v>
      </c>
      <c r="H66" s="8" t="inlineStr"/>
      <c r="I66" s="8" t="n">
        <v>25000</v>
      </c>
    </row>
    <row r="67">
      <c r="A67" s="8" t="inlineStr"/>
      <c r="B67" s="8" t="inlineStr"/>
      <c r="C67" s="8" t="inlineStr">
        <is>
          <t>Cộng</t>
        </is>
      </c>
      <c r="E67" s="8" t="inlineStr"/>
      <c r="F67" s="8" t="inlineStr"/>
      <c r="G67" s="8" t="inlineStr"/>
      <c r="H67" s="8" t="inlineStr"/>
      <c r="I67" s="8" t="n">
        <v>525000</v>
      </c>
    </row>
    <row r="68">
      <c r="A68" s="8" t="inlineStr"/>
      <c r="B68" s="8" t="inlineStr"/>
      <c r="C68" s="8" t="inlineStr">
        <is>
          <t>b) Nhân công</t>
        </is>
      </c>
      <c r="E68" s="8" t="inlineStr"/>
      <c r="F68" s="8" t="inlineStr"/>
      <c r="G68" s="8" t="inlineStr"/>
      <c r="H68" s="8" t="inlineStr"/>
      <c r="I68" s="8" t="n">
        <v>559370</v>
      </c>
    </row>
    <row r="69">
      <c r="A69" s="8" t="inlineStr"/>
      <c r="B69" s="8" t="inlineStr">
        <is>
          <t>N3</t>
        </is>
      </c>
      <c r="C69" s="8" t="inlineStr">
        <is>
          <t>Nhân công nhóm 3</t>
        </is>
      </c>
      <c r="E69" s="8" t="inlineStr">
        <is>
          <t>công</t>
        </is>
      </c>
      <c r="F69" s="8" t="n">
        <v>1.31</v>
      </c>
      <c r="G69" s="8" t="n">
        <v>427000</v>
      </c>
      <c r="H69" s="8" t="n">
        <v>1</v>
      </c>
      <c r="I69" s="8" t="n">
        <v>559370</v>
      </c>
    </row>
    <row r="70">
      <c r="A70" s="8" t="inlineStr"/>
      <c r="B70" s="8" t="inlineStr"/>
      <c r="C70" s="8" t="inlineStr">
        <is>
          <t>c) Máy thi công</t>
        </is>
      </c>
      <c r="E70" s="8" t="inlineStr"/>
      <c r="F70" s="8" t="inlineStr"/>
      <c r="G70" s="8" t="inlineStr"/>
      <c r="H70" s="8" t="inlineStr"/>
      <c r="I70" s="8" t="n">
        <v>5456.88</v>
      </c>
    </row>
    <row r="71">
      <c r="A71" s="8" t="inlineStr"/>
      <c r="B71" s="8" t="inlineStr">
        <is>
          <t>M112.1701</t>
        </is>
      </c>
      <c r="C71" s="8" t="inlineStr">
        <is>
          <t>Máy khoan bê tông cầm tay 0,62 kW</t>
        </is>
      </c>
      <c r="E71" s="8" t="inlineStr">
        <is>
          <t>ca</t>
        </is>
      </c>
      <c r="F71" s="8" t="n">
        <v>0.36</v>
      </c>
      <c r="G71" s="8" t="n">
        <v>15158</v>
      </c>
      <c r="H71" s="8" t="n">
        <v>1</v>
      </c>
      <c r="I71" s="8" t="n">
        <v>5456.88</v>
      </c>
    </row>
    <row r="72">
      <c r="A72" s="8" t="n">
        <v>7</v>
      </c>
      <c r="B72" s="11" t="inlineStr">
        <is>
          <t>BA.12130</t>
        </is>
      </c>
      <c r="C72" s="8" t="inlineStr">
        <is>
          <t>Dàn lạnh cassette CSL: 7.1 kW</t>
        </is>
      </c>
      <c r="D72" s="12">
        <f>HYPERLINK("tt38://pl3/6", "👉 Phụ lục III - Trang 6 (Khớp nhóm BA.121)")</f>
        <v/>
      </c>
      <c r="E72" s="8" t="inlineStr">
        <is>
          <t>máy</t>
        </is>
      </c>
      <c r="F72" s="8" t="n">
        <v>1</v>
      </c>
      <c r="G72" s="8" t="inlineStr"/>
      <c r="H72" s="8" t="inlineStr"/>
      <c r="I72" s="8" t="inlineStr"/>
    </row>
    <row r="73">
      <c r="A73" s="8" t="inlineStr"/>
      <c r="B73" s="8" t="inlineStr"/>
      <c r="C73" s="8" t="inlineStr">
        <is>
          <t>a) Vật liệu</t>
        </is>
      </c>
      <c r="E73" s="8" t="inlineStr"/>
      <c r="F73" s="8" t="inlineStr"/>
      <c r="G73" s="8" t="inlineStr"/>
      <c r="H73" s="8" t="inlineStr"/>
      <c r="I73" s="8" t="n">
        <v>525000</v>
      </c>
    </row>
    <row r="74">
      <c r="A74" s="8" t="inlineStr"/>
      <c r="B74" s="8" t="inlineStr">
        <is>
          <t>A33.0009</t>
        </is>
      </c>
      <c r="C74" s="8" t="inlineStr">
        <is>
          <t>Giá đỡ máy cassettle</t>
        </is>
      </c>
      <c r="E74" s="8" t="inlineStr">
        <is>
          <t>cái</t>
        </is>
      </c>
      <c r="F74" s="8" t="n">
        <v>1</v>
      </c>
      <c r="G74" s="8" t="n">
        <v>500000</v>
      </c>
      <c r="H74" s="8" t="n">
        <v>1</v>
      </c>
      <c r="I74" s="8" t="n">
        <v>500000</v>
      </c>
    </row>
    <row r="75">
      <c r="A75" s="8" t="inlineStr"/>
      <c r="B75" s="8" t="inlineStr">
        <is>
          <t>Z999</t>
        </is>
      </c>
      <c r="C75" s="8" t="inlineStr">
        <is>
          <t>Vật liệu khác</t>
        </is>
      </c>
      <c r="E75" s="8" t="inlineStr">
        <is>
          <t>%</t>
        </is>
      </c>
      <c r="F75" s="8" t="n">
        <v>5</v>
      </c>
      <c r="G75" s="8" t="n">
        <v>500000</v>
      </c>
      <c r="H75" s="8" t="inlineStr"/>
      <c r="I75" s="8" t="n">
        <v>25000</v>
      </c>
    </row>
    <row r="76">
      <c r="A76" s="8" t="inlineStr"/>
      <c r="B76" s="8" t="inlineStr"/>
      <c r="C76" s="8" t="inlineStr">
        <is>
          <t>Cộng</t>
        </is>
      </c>
      <c r="E76" s="8" t="inlineStr"/>
      <c r="F76" s="8" t="inlineStr"/>
      <c r="G76" s="8" t="inlineStr"/>
      <c r="H76" s="8" t="inlineStr"/>
      <c r="I76" s="8" t="n">
        <v>525000</v>
      </c>
    </row>
    <row r="77">
      <c r="A77" s="8" t="inlineStr"/>
      <c r="B77" s="8" t="inlineStr"/>
      <c r="C77" s="8" t="inlineStr">
        <is>
          <t>b) Nhân công</t>
        </is>
      </c>
      <c r="E77" s="8" t="inlineStr"/>
      <c r="F77" s="8" t="inlineStr"/>
      <c r="G77" s="8" t="inlineStr"/>
      <c r="H77" s="8" t="inlineStr"/>
      <c r="I77" s="8" t="n">
        <v>559370</v>
      </c>
    </row>
    <row r="78">
      <c r="A78" s="8" t="inlineStr"/>
      <c r="B78" s="8" t="inlineStr">
        <is>
          <t>N3</t>
        </is>
      </c>
      <c r="C78" s="8" t="inlineStr">
        <is>
          <t>Nhân công nhóm 3</t>
        </is>
      </c>
      <c r="E78" s="8" t="inlineStr">
        <is>
          <t>công</t>
        </is>
      </c>
      <c r="F78" s="8" t="n">
        <v>1.31</v>
      </c>
      <c r="G78" s="8" t="n">
        <v>427000</v>
      </c>
      <c r="H78" s="8" t="n">
        <v>1</v>
      </c>
      <c r="I78" s="8" t="n">
        <v>559370</v>
      </c>
    </row>
    <row r="79">
      <c r="A79" s="8" t="inlineStr"/>
      <c r="B79" s="8" t="inlineStr"/>
      <c r="C79" s="8" t="inlineStr">
        <is>
          <t>c) Máy thi công</t>
        </is>
      </c>
      <c r="E79" s="8" t="inlineStr"/>
      <c r="F79" s="8" t="inlineStr"/>
      <c r="G79" s="8" t="inlineStr"/>
      <c r="H79" s="8" t="inlineStr"/>
      <c r="I79" s="8" t="n">
        <v>5456.88</v>
      </c>
    </row>
    <row r="80">
      <c r="A80" s="8" t="inlineStr"/>
      <c r="B80" s="8" t="inlineStr">
        <is>
          <t>M112.1701</t>
        </is>
      </c>
      <c r="C80" s="8" t="inlineStr">
        <is>
          <t>Máy khoan bê tông cầm tay 0,62 kW</t>
        </is>
      </c>
      <c r="E80" s="8" t="inlineStr">
        <is>
          <t>ca</t>
        </is>
      </c>
      <c r="F80" s="8" t="n">
        <v>0.36</v>
      </c>
      <c r="G80" s="8" t="n">
        <v>15158</v>
      </c>
      <c r="H80" s="8" t="n">
        <v>1</v>
      </c>
      <c r="I80" s="8" t="n">
        <v>5456.88</v>
      </c>
    </row>
    <row r="81">
      <c r="A81" s="8" t="n">
        <v>8</v>
      </c>
      <c r="B81" s="11" t="inlineStr">
        <is>
          <t>BA.12130</t>
        </is>
      </c>
      <c r="C81" s="8" t="inlineStr">
        <is>
          <t>Dàn lạnh cassette CSL: 10.0 kW</t>
        </is>
      </c>
      <c r="D81" s="12">
        <f>HYPERLINK("tt38://pl3/6", "👉 Phụ lục III - Trang 6 (Khớp nhóm BA.121)")</f>
        <v/>
      </c>
      <c r="E81" s="8" t="inlineStr">
        <is>
          <t>máy</t>
        </is>
      </c>
      <c r="F81" s="8" t="n">
        <v>1</v>
      </c>
      <c r="G81" s="8" t="inlineStr"/>
      <c r="H81" s="8" t="inlineStr"/>
      <c r="I81" s="8" t="inlineStr"/>
    </row>
    <row r="82">
      <c r="A82" s="8" t="inlineStr"/>
      <c r="B82" s="8" t="inlineStr"/>
      <c r="C82" s="8" t="inlineStr">
        <is>
          <t>a) Vật liệu</t>
        </is>
      </c>
      <c r="E82" s="8" t="inlineStr"/>
      <c r="F82" s="8" t="inlineStr"/>
      <c r="G82" s="8" t="inlineStr"/>
      <c r="H82" s="8" t="inlineStr"/>
      <c r="I82" s="8" t="n">
        <v>525000</v>
      </c>
    </row>
    <row r="83">
      <c r="A83" s="8" t="inlineStr"/>
      <c r="B83" s="8" t="inlineStr">
        <is>
          <t>A33.0009</t>
        </is>
      </c>
      <c r="C83" s="8" t="inlineStr">
        <is>
          <t>Giá đỡ máy cassettle</t>
        </is>
      </c>
      <c r="E83" s="8" t="inlineStr">
        <is>
          <t>cái</t>
        </is>
      </c>
      <c r="F83" s="8" t="n">
        <v>1</v>
      </c>
      <c r="G83" s="8" t="n">
        <v>500000</v>
      </c>
      <c r="H83" s="8" t="n">
        <v>1</v>
      </c>
      <c r="I83" s="8" t="n">
        <v>500000</v>
      </c>
    </row>
    <row r="84">
      <c r="A84" s="8" t="inlineStr"/>
      <c r="B84" s="8" t="inlineStr">
        <is>
          <t>Z999</t>
        </is>
      </c>
      <c r="C84" s="8" t="inlineStr">
        <is>
          <t>Vật liệu khác</t>
        </is>
      </c>
      <c r="E84" s="8" t="inlineStr">
        <is>
          <t>%</t>
        </is>
      </c>
      <c r="F84" s="8" t="n">
        <v>5</v>
      </c>
      <c r="G84" s="8" t="n">
        <v>500000</v>
      </c>
      <c r="H84" s="8" t="inlineStr"/>
      <c r="I84" s="8" t="n">
        <v>25000</v>
      </c>
    </row>
    <row r="85">
      <c r="A85" s="8" t="inlineStr"/>
      <c r="B85" s="8" t="inlineStr"/>
      <c r="C85" s="8" t="inlineStr">
        <is>
          <t>Cộng</t>
        </is>
      </c>
      <c r="E85" s="8" t="inlineStr"/>
      <c r="F85" s="8" t="inlineStr"/>
      <c r="G85" s="8" t="inlineStr"/>
      <c r="H85" s="8" t="inlineStr"/>
      <c r="I85" s="8" t="n">
        <v>525000</v>
      </c>
    </row>
    <row r="86">
      <c r="A86" s="8" t="inlineStr"/>
      <c r="B86" s="8" t="inlineStr"/>
      <c r="C86" s="8" t="inlineStr">
        <is>
          <t>b) Nhân công</t>
        </is>
      </c>
      <c r="E86" s="8" t="inlineStr"/>
      <c r="F86" s="8" t="inlineStr"/>
      <c r="G86" s="8" t="inlineStr"/>
      <c r="H86" s="8" t="inlineStr"/>
      <c r="I86" s="8" t="n">
        <v>559370</v>
      </c>
    </row>
    <row r="87">
      <c r="A87" s="8" t="inlineStr"/>
      <c r="B87" s="8" t="inlineStr">
        <is>
          <t>N3</t>
        </is>
      </c>
      <c r="C87" s="8" t="inlineStr">
        <is>
          <t>Nhân công nhóm 3</t>
        </is>
      </c>
      <c r="E87" s="8" t="inlineStr">
        <is>
          <t>công</t>
        </is>
      </c>
      <c r="F87" s="8" t="n">
        <v>1.31</v>
      </c>
      <c r="G87" s="8" t="n">
        <v>427000</v>
      </c>
      <c r="H87" s="8" t="n">
        <v>1</v>
      </c>
      <c r="I87" s="8" t="n">
        <v>559370</v>
      </c>
    </row>
    <row r="88">
      <c r="A88" s="8" t="inlineStr"/>
      <c r="B88" s="8" t="inlineStr"/>
      <c r="C88" s="8" t="inlineStr">
        <is>
          <t>c) Máy thi công</t>
        </is>
      </c>
      <c r="E88" s="8" t="inlineStr"/>
      <c r="F88" s="8" t="inlineStr"/>
      <c r="G88" s="8" t="inlineStr"/>
      <c r="H88" s="8" t="inlineStr"/>
      <c r="I88" s="8" t="n">
        <v>5456.88</v>
      </c>
    </row>
    <row r="89">
      <c r="A89" s="8" t="inlineStr"/>
      <c r="B89" s="8" t="inlineStr">
        <is>
          <t>M112.1701</t>
        </is>
      </c>
      <c r="C89" s="8" t="inlineStr">
        <is>
          <t>Máy khoan bê tông cầm tay 0,62 kW</t>
        </is>
      </c>
      <c r="E89" s="8" t="inlineStr">
        <is>
          <t>ca</t>
        </is>
      </c>
      <c r="F89" s="8" t="n">
        <v>0.36</v>
      </c>
      <c r="G89" s="8" t="n">
        <v>15158</v>
      </c>
      <c r="H89" s="8" t="n">
        <v>1</v>
      </c>
      <c r="I89" s="8" t="n">
        <v>5456.88</v>
      </c>
    </row>
    <row r="90">
      <c r="A90" s="8" t="n">
        <v>9</v>
      </c>
      <c r="B90" s="11" t="inlineStr">
        <is>
          <t>BA.12130</t>
        </is>
      </c>
      <c r="C90" s="8" t="inlineStr">
        <is>
          <t>Dàn lạnh cassette CSL: 12.5 kW</t>
        </is>
      </c>
      <c r="D90" s="12">
        <f>HYPERLINK("tt38://pl3/6", "👉 Phụ lục III - Trang 6 (Khớp nhóm BA.121)")</f>
        <v/>
      </c>
      <c r="E90" s="8" t="inlineStr">
        <is>
          <t>máy</t>
        </is>
      </c>
      <c r="F90" s="8" t="n">
        <v>1</v>
      </c>
      <c r="G90" s="8" t="inlineStr"/>
      <c r="H90" s="8" t="inlineStr"/>
      <c r="I90" s="8" t="inlineStr"/>
    </row>
    <row r="91">
      <c r="A91" s="8" t="inlineStr"/>
      <c r="B91" s="8" t="inlineStr"/>
      <c r="C91" s="8" t="inlineStr">
        <is>
          <t>a) Vật liệu</t>
        </is>
      </c>
      <c r="E91" s="8" t="inlineStr"/>
      <c r="F91" s="8" t="inlineStr"/>
      <c r="G91" s="8" t="inlineStr"/>
      <c r="H91" s="8" t="inlineStr"/>
      <c r="I91" s="8" t="n">
        <v>525000</v>
      </c>
    </row>
    <row r="92">
      <c r="A92" s="8" t="inlineStr"/>
      <c r="B92" s="8" t="inlineStr">
        <is>
          <t>A33.0009</t>
        </is>
      </c>
      <c r="C92" s="8" t="inlineStr">
        <is>
          <t>Giá đỡ máy cassettle</t>
        </is>
      </c>
      <c r="E92" s="8" t="inlineStr">
        <is>
          <t>cái</t>
        </is>
      </c>
      <c r="F92" s="8" t="n">
        <v>1</v>
      </c>
      <c r="G92" s="8" t="n">
        <v>500000</v>
      </c>
      <c r="H92" s="8" t="n">
        <v>1</v>
      </c>
      <c r="I92" s="8" t="n">
        <v>500000</v>
      </c>
    </row>
    <row r="93">
      <c r="A93" s="8" t="inlineStr"/>
      <c r="B93" s="8" t="inlineStr">
        <is>
          <t>Z999</t>
        </is>
      </c>
      <c r="C93" s="8" t="inlineStr">
        <is>
          <t>Vật liệu khác</t>
        </is>
      </c>
      <c r="E93" s="8" t="inlineStr">
        <is>
          <t>%</t>
        </is>
      </c>
      <c r="F93" s="8" t="n">
        <v>5</v>
      </c>
      <c r="G93" s="8" t="n">
        <v>500000</v>
      </c>
      <c r="H93" s="8" t="inlineStr"/>
      <c r="I93" s="8" t="n">
        <v>25000</v>
      </c>
    </row>
    <row r="94">
      <c r="A94" s="8" t="inlineStr"/>
      <c r="B94" s="8" t="inlineStr"/>
      <c r="C94" s="8" t="inlineStr">
        <is>
          <t>Cộng</t>
        </is>
      </c>
      <c r="E94" s="8" t="inlineStr"/>
      <c r="F94" s="8" t="inlineStr"/>
      <c r="G94" s="8" t="inlineStr"/>
      <c r="H94" s="8" t="inlineStr"/>
      <c r="I94" s="8" t="n">
        <v>525000</v>
      </c>
    </row>
    <row r="95">
      <c r="A95" s="8" t="inlineStr"/>
      <c r="B95" s="8" t="inlineStr"/>
      <c r="C95" s="8" t="inlineStr">
        <is>
          <t>b) Nhân công</t>
        </is>
      </c>
      <c r="E95" s="8" t="inlineStr"/>
      <c r="F95" s="8" t="inlineStr"/>
      <c r="G95" s="8" t="inlineStr"/>
      <c r="H95" s="8" t="inlineStr"/>
      <c r="I95" s="8" t="n">
        <v>559370</v>
      </c>
    </row>
    <row r="96">
      <c r="A96" s="8" t="inlineStr"/>
      <c r="B96" s="8" t="inlineStr">
        <is>
          <t>N3</t>
        </is>
      </c>
      <c r="C96" s="8" t="inlineStr">
        <is>
          <t>Nhân công nhóm 3</t>
        </is>
      </c>
      <c r="E96" s="8" t="inlineStr">
        <is>
          <t>công</t>
        </is>
      </c>
      <c r="F96" s="8" t="n">
        <v>1.31</v>
      </c>
      <c r="G96" s="8" t="n">
        <v>427000</v>
      </c>
      <c r="H96" s="8" t="n">
        <v>1</v>
      </c>
      <c r="I96" s="8" t="n">
        <v>559370</v>
      </c>
    </row>
    <row r="97">
      <c r="A97" s="8" t="inlineStr"/>
      <c r="B97" s="8" t="inlineStr"/>
      <c r="C97" s="8" t="inlineStr">
        <is>
          <t>c) Máy thi công</t>
        </is>
      </c>
      <c r="E97" s="8" t="inlineStr"/>
      <c r="F97" s="8" t="inlineStr"/>
      <c r="G97" s="8" t="inlineStr"/>
      <c r="H97" s="8" t="inlineStr"/>
      <c r="I97" s="8" t="n">
        <v>5456.88</v>
      </c>
    </row>
    <row r="98">
      <c r="A98" s="8" t="inlineStr"/>
      <c r="B98" s="8" t="inlineStr">
        <is>
          <t>M112.1701</t>
        </is>
      </c>
      <c r="C98" s="8" t="inlineStr">
        <is>
          <t>Máy khoan bê tông cầm tay 0,62 kW</t>
        </is>
      </c>
      <c r="E98" s="8" t="inlineStr">
        <is>
          <t>ca</t>
        </is>
      </c>
      <c r="F98" s="8" t="n">
        <v>0.36</v>
      </c>
      <c r="G98" s="8" t="n">
        <v>15158</v>
      </c>
      <c r="H98" s="8" t="n">
        <v>1</v>
      </c>
      <c r="I98" s="8" t="n">
        <v>5456.88</v>
      </c>
    </row>
    <row r="99">
      <c r="A99" s="8" t="n">
        <v>10</v>
      </c>
      <c r="B99" s="11" t="inlineStr">
        <is>
          <t>BA.12110</t>
        </is>
      </c>
      <c r="C99" s="8" t="inlineStr">
        <is>
          <t>Dàn lạnh treo tường CSL: 2.5 kW</t>
        </is>
      </c>
      <c r="D99" s="12">
        <f>HYPERLINK("tt38://pl3/6", "👉 Phụ lục III - Trang 6 (Khớp nhóm BA.121)")</f>
        <v/>
      </c>
      <c r="E99" s="8" t="inlineStr">
        <is>
          <t>máy</t>
        </is>
      </c>
      <c r="F99" s="8" t="n">
        <v>1</v>
      </c>
      <c r="G99" s="8" t="inlineStr"/>
      <c r="H99" s="8" t="inlineStr"/>
      <c r="I99" s="8" t="inlineStr"/>
    </row>
    <row r="100">
      <c r="A100" s="8" t="inlineStr"/>
      <c r="B100" s="8" t="inlineStr"/>
      <c r="C100" s="8" t="inlineStr">
        <is>
          <t>a) Vật liệu</t>
        </is>
      </c>
      <c r="E100" s="8" t="inlineStr"/>
      <c r="F100" s="8" t="inlineStr"/>
      <c r="G100" s="8" t="inlineStr"/>
      <c r="H100" s="8" t="inlineStr"/>
      <c r="I100" s="8" t="n">
        <v>315000</v>
      </c>
    </row>
    <row r="101">
      <c r="A101" s="8" t="inlineStr"/>
      <c r="B101" s="8" t="inlineStr">
        <is>
          <t>A33.0009</t>
        </is>
      </c>
      <c r="C101" s="8" t="inlineStr">
        <is>
          <t>Giá đỡ máy treo tường</t>
        </is>
      </c>
      <c r="E101" s="8" t="inlineStr">
        <is>
          <t>cái</t>
        </is>
      </c>
      <c r="F101" s="8" t="n">
        <v>1</v>
      </c>
      <c r="G101" s="8" t="n">
        <v>300000</v>
      </c>
      <c r="H101" s="8" t="n">
        <v>1</v>
      </c>
      <c r="I101" s="8" t="n">
        <v>300000</v>
      </c>
    </row>
    <row r="102">
      <c r="A102" s="8" t="inlineStr"/>
      <c r="B102" s="8" t="inlineStr">
        <is>
          <t>Z999</t>
        </is>
      </c>
      <c r="C102" s="8" t="inlineStr">
        <is>
          <t>Vật liệu khác</t>
        </is>
      </c>
      <c r="E102" s="8" t="inlineStr">
        <is>
          <t>%</t>
        </is>
      </c>
      <c r="F102" s="8" t="n">
        <v>5</v>
      </c>
      <c r="G102" s="8" t="n">
        <v>300000</v>
      </c>
      <c r="H102" s="8" t="inlineStr"/>
      <c r="I102" s="8" t="n">
        <v>15000</v>
      </c>
    </row>
    <row r="103">
      <c r="A103" s="8" t="inlineStr"/>
      <c r="B103" s="8" t="inlineStr"/>
      <c r="C103" s="8" t="inlineStr">
        <is>
          <t>Cộng</t>
        </is>
      </c>
      <c r="E103" s="8" t="inlineStr"/>
      <c r="F103" s="8" t="inlineStr"/>
      <c r="G103" s="8" t="inlineStr"/>
      <c r="H103" s="8" t="inlineStr"/>
      <c r="I103" s="8" t="n">
        <v>315000</v>
      </c>
    </row>
    <row r="104">
      <c r="A104" s="8" t="inlineStr"/>
      <c r="B104" s="8" t="inlineStr"/>
      <c r="C104" s="8" t="inlineStr">
        <is>
          <t>b) Nhân công</t>
        </is>
      </c>
      <c r="E104" s="8" t="inlineStr"/>
      <c r="F104" s="8" t="inlineStr"/>
      <c r="G104" s="8" t="inlineStr"/>
      <c r="H104" s="8" t="inlineStr"/>
      <c r="I104" s="8" t="n">
        <v>333060</v>
      </c>
    </row>
    <row r="105">
      <c r="A105" s="8" t="inlineStr"/>
      <c r="B105" s="8" t="inlineStr">
        <is>
          <t>N3</t>
        </is>
      </c>
      <c r="C105" s="8" t="inlineStr">
        <is>
          <t>Nhân công nhóm 3</t>
        </is>
      </c>
      <c r="E105" s="8" t="inlineStr">
        <is>
          <t>công</t>
        </is>
      </c>
      <c r="F105" s="8" t="n">
        <v>0.78</v>
      </c>
      <c r="G105" s="8" t="n">
        <v>427000</v>
      </c>
      <c r="H105" s="8" t="n">
        <v>1</v>
      </c>
      <c r="I105" s="8" t="n">
        <v>333060</v>
      </c>
    </row>
    <row r="106">
      <c r="A106" s="8" t="inlineStr"/>
      <c r="B106" s="8" t="inlineStr"/>
      <c r="C106" s="8" t="inlineStr">
        <is>
          <t>c) Máy thi công</t>
        </is>
      </c>
      <c r="E106" s="8" t="inlineStr"/>
      <c r="F106" s="8" t="inlineStr"/>
      <c r="G106" s="8" t="inlineStr"/>
      <c r="H106" s="8" t="inlineStr"/>
      <c r="I106" s="8" t="n">
        <v>4547.4</v>
      </c>
    </row>
    <row r="107">
      <c r="A107" s="8" t="inlineStr"/>
      <c r="B107" s="8" t="inlineStr">
        <is>
          <t>M112.1701</t>
        </is>
      </c>
      <c r="C107" s="8" t="inlineStr">
        <is>
          <t>Máy khoan bê tông cầm tay 0,62 kW</t>
        </is>
      </c>
      <c r="E107" s="8" t="inlineStr">
        <is>
          <t>ca</t>
        </is>
      </c>
      <c r="F107" s="8" t="n">
        <v>0.3</v>
      </c>
      <c r="G107" s="8" t="n">
        <v>15158</v>
      </c>
      <c r="H107" s="8" t="n">
        <v>1</v>
      </c>
      <c r="I107" s="8" t="n">
        <v>4547.4</v>
      </c>
    </row>
    <row r="108">
      <c r="A108" s="8" t="n">
        <v>11</v>
      </c>
      <c r="B108" s="11" t="inlineStr">
        <is>
          <t>BA.12110</t>
        </is>
      </c>
      <c r="C108" s="8" t="inlineStr">
        <is>
          <t>Dàn lạnh treo tường CSL: 5.0 kW</t>
        </is>
      </c>
      <c r="D108" s="12">
        <f>HYPERLINK("tt38://pl3/6", "👉 Phụ lục III - Trang 6 (Khớp nhóm BA.121)")</f>
        <v/>
      </c>
      <c r="E108" s="8" t="inlineStr">
        <is>
          <t>máy</t>
        </is>
      </c>
      <c r="F108" s="8" t="n">
        <v>1</v>
      </c>
      <c r="G108" s="8" t="inlineStr"/>
      <c r="H108" s="8" t="inlineStr"/>
      <c r="I108" s="8" t="inlineStr"/>
    </row>
    <row r="109">
      <c r="A109" s="8" t="inlineStr"/>
      <c r="B109" s="8" t="inlineStr"/>
      <c r="C109" s="8" t="inlineStr">
        <is>
          <t>a) Vật liệu</t>
        </is>
      </c>
      <c r="E109" s="8" t="inlineStr"/>
      <c r="F109" s="8" t="inlineStr"/>
      <c r="G109" s="8" t="inlineStr"/>
      <c r="H109" s="8" t="inlineStr"/>
      <c r="I109" s="8" t="n">
        <v>315000</v>
      </c>
    </row>
    <row r="110">
      <c r="A110" s="8" t="inlineStr"/>
      <c r="B110" s="8" t="inlineStr">
        <is>
          <t>A33.0009</t>
        </is>
      </c>
      <c r="C110" s="8" t="inlineStr">
        <is>
          <t>Giá đỡ máy treo tường</t>
        </is>
      </c>
      <c r="E110" s="8" t="inlineStr">
        <is>
          <t>cái</t>
        </is>
      </c>
      <c r="F110" s="8" t="n">
        <v>1</v>
      </c>
      <c r="G110" s="8" t="n">
        <v>300000</v>
      </c>
      <c r="H110" s="8" t="n">
        <v>1</v>
      </c>
      <c r="I110" s="8" t="n">
        <v>300000</v>
      </c>
    </row>
    <row r="111">
      <c r="A111" s="8" t="inlineStr"/>
      <c r="B111" s="8" t="inlineStr">
        <is>
          <t>Z999</t>
        </is>
      </c>
      <c r="C111" s="8" t="inlineStr">
        <is>
          <t>Vật liệu khác</t>
        </is>
      </c>
      <c r="E111" s="8" t="inlineStr">
        <is>
          <t>%</t>
        </is>
      </c>
      <c r="F111" s="8" t="n">
        <v>5</v>
      </c>
      <c r="G111" s="8" t="n">
        <v>300000</v>
      </c>
      <c r="H111" s="8" t="inlineStr"/>
      <c r="I111" s="8" t="n">
        <v>15000</v>
      </c>
    </row>
    <row r="112">
      <c r="A112" s="8" t="inlineStr"/>
      <c r="B112" s="8" t="inlineStr"/>
      <c r="C112" s="8" t="inlineStr">
        <is>
          <t>Cộng</t>
        </is>
      </c>
      <c r="E112" s="8" t="inlineStr"/>
      <c r="F112" s="8" t="inlineStr"/>
      <c r="G112" s="8" t="inlineStr"/>
      <c r="H112" s="8" t="inlineStr"/>
      <c r="I112" s="8" t="n">
        <v>315000</v>
      </c>
    </row>
    <row r="113">
      <c r="A113" s="8" t="inlineStr"/>
      <c r="B113" s="8" t="inlineStr"/>
      <c r="C113" s="8" t="inlineStr">
        <is>
          <t>b) Nhân công</t>
        </is>
      </c>
      <c r="E113" s="8" t="inlineStr"/>
      <c r="F113" s="8" t="inlineStr"/>
      <c r="G113" s="8" t="inlineStr"/>
      <c r="H113" s="8" t="inlineStr"/>
      <c r="I113" s="8" t="n">
        <v>333060</v>
      </c>
    </row>
    <row r="114">
      <c r="A114" s="8" t="inlineStr"/>
      <c r="B114" s="8" t="inlineStr">
        <is>
          <t>N3</t>
        </is>
      </c>
      <c r="C114" s="8" t="inlineStr">
        <is>
          <t>Nhân công nhóm 3</t>
        </is>
      </c>
      <c r="E114" s="8" t="inlineStr">
        <is>
          <t>công</t>
        </is>
      </c>
      <c r="F114" s="8" t="n">
        <v>0.78</v>
      </c>
      <c r="G114" s="8" t="n">
        <v>427000</v>
      </c>
      <c r="H114" s="8" t="n">
        <v>1</v>
      </c>
      <c r="I114" s="8" t="n">
        <v>333060</v>
      </c>
    </row>
    <row r="115">
      <c r="A115" s="8" t="inlineStr"/>
      <c r="B115" s="8" t="inlineStr"/>
      <c r="C115" s="8" t="inlineStr">
        <is>
          <t>c) Máy thi công</t>
        </is>
      </c>
      <c r="E115" s="8" t="inlineStr"/>
      <c r="F115" s="8" t="inlineStr"/>
      <c r="G115" s="8" t="inlineStr"/>
      <c r="H115" s="8" t="inlineStr"/>
      <c r="I115" s="8" t="n">
        <v>4547.4</v>
      </c>
    </row>
    <row r="116">
      <c r="A116" s="8" t="inlineStr"/>
      <c r="B116" s="8" t="inlineStr">
        <is>
          <t>M112.1701</t>
        </is>
      </c>
      <c r="C116" s="8" t="inlineStr">
        <is>
          <t>Máy khoan bê tông cầm tay 0,62 kW</t>
        </is>
      </c>
      <c r="E116" s="8" t="inlineStr">
        <is>
          <t>ca</t>
        </is>
      </c>
      <c r="F116" s="8" t="n">
        <v>0.3</v>
      </c>
      <c r="G116" s="8" t="n">
        <v>15158</v>
      </c>
      <c r="H116" s="8" t="n">
        <v>1</v>
      </c>
      <c r="I116" s="8" t="n">
        <v>4547.4</v>
      </c>
    </row>
    <row r="117">
      <c r="A117" s="8" t="n">
        <v>12</v>
      </c>
      <c r="B117" s="11" t="inlineStr">
        <is>
          <t>BA.12110</t>
        </is>
      </c>
      <c r="C117" s="8" t="inlineStr">
        <is>
          <t>Dàn lạnh treo tường CSL: 7.1 kW</t>
        </is>
      </c>
      <c r="D117" s="12">
        <f>HYPERLINK("tt38://pl3/6", "👉 Phụ lục III - Trang 6 (Khớp nhóm BA.121)")</f>
        <v/>
      </c>
      <c r="E117" s="8" t="inlineStr">
        <is>
          <t>máy</t>
        </is>
      </c>
      <c r="F117" s="8" t="n">
        <v>1</v>
      </c>
      <c r="G117" s="8" t="inlineStr"/>
      <c r="H117" s="8" t="inlineStr"/>
      <c r="I117" s="8" t="inlineStr"/>
    </row>
    <row r="118">
      <c r="A118" s="8" t="inlineStr"/>
      <c r="B118" s="8" t="inlineStr"/>
      <c r="C118" s="8" t="inlineStr">
        <is>
          <t>a) Vật liệu</t>
        </is>
      </c>
      <c r="E118" s="8" t="inlineStr"/>
      <c r="F118" s="8" t="inlineStr"/>
      <c r="G118" s="8" t="inlineStr"/>
      <c r="H118" s="8" t="inlineStr"/>
      <c r="I118" s="8" t="n">
        <v>315000</v>
      </c>
    </row>
    <row r="119">
      <c r="A119" s="8" t="inlineStr"/>
      <c r="B119" s="8" t="inlineStr">
        <is>
          <t>A33.0009</t>
        </is>
      </c>
      <c r="C119" s="8" t="inlineStr">
        <is>
          <t>Giá đỡ máy treo tường</t>
        </is>
      </c>
      <c r="E119" s="8" t="inlineStr">
        <is>
          <t>cái</t>
        </is>
      </c>
      <c r="F119" s="8" t="n">
        <v>1</v>
      </c>
      <c r="G119" s="8" t="n">
        <v>300000</v>
      </c>
      <c r="H119" s="8" t="n">
        <v>1</v>
      </c>
      <c r="I119" s="8" t="n">
        <v>300000</v>
      </c>
    </row>
    <row r="120">
      <c r="A120" s="8" t="inlineStr"/>
      <c r="B120" s="8" t="inlineStr">
        <is>
          <t>Z999</t>
        </is>
      </c>
      <c r="C120" s="8" t="inlineStr">
        <is>
          <t>Vật liệu khác</t>
        </is>
      </c>
      <c r="E120" s="8" t="inlineStr">
        <is>
          <t>%</t>
        </is>
      </c>
      <c r="F120" s="8" t="n">
        <v>5</v>
      </c>
      <c r="G120" s="8" t="n">
        <v>300000</v>
      </c>
      <c r="H120" s="8" t="inlineStr"/>
      <c r="I120" s="8" t="n">
        <v>15000</v>
      </c>
    </row>
    <row r="121">
      <c r="A121" s="8" t="inlineStr"/>
      <c r="B121" s="8" t="inlineStr"/>
      <c r="C121" s="8" t="inlineStr">
        <is>
          <t>Cộng</t>
        </is>
      </c>
      <c r="E121" s="8" t="inlineStr"/>
      <c r="F121" s="8" t="inlineStr"/>
      <c r="G121" s="8" t="inlineStr"/>
      <c r="H121" s="8" t="inlineStr"/>
      <c r="I121" s="8" t="n">
        <v>315000</v>
      </c>
    </row>
    <row r="122">
      <c r="A122" s="8" t="inlineStr"/>
      <c r="B122" s="8" t="inlineStr"/>
      <c r="C122" s="8" t="inlineStr">
        <is>
          <t>b) Nhân công</t>
        </is>
      </c>
      <c r="E122" s="8" t="inlineStr"/>
      <c r="F122" s="8" t="inlineStr"/>
      <c r="G122" s="8" t="inlineStr"/>
      <c r="H122" s="8" t="inlineStr"/>
      <c r="I122" s="8" t="n">
        <v>333060</v>
      </c>
    </row>
    <row r="123">
      <c r="A123" s="8" t="inlineStr"/>
      <c r="B123" s="8" t="inlineStr">
        <is>
          <t>N3</t>
        </is>
      </c>
      <c r="C123" s="8" t="inlineStr">
        <is>
          <t>Nhân công nhóm 3</t>
        </is>
      </c>
      <c r="E123" s="8" t="inlineStr">
        <is>
          <t>công</t>
        </is>
      </c>
      <c r="F123" s="8" t="n">
        <v>0.78</v>
      </c>
      <c r="G123" s="8" t="n">
        <v>427000</v>
      </c>
      <c r="H123" s="8" t="n">
        <v>1</v>
      </c>
      <c r="I123" s="8" t="n">
        <v>333060</v>
      </c>
    </row>
    <row r="124">
      <c r="A124" s="8" t="inlineStr"/>
      <c r="B124" s="8" t="inlineStr"/>
      <c r="C124" s="8" t="inlineStr">
        <is>
          <t>c) Máy thi công</t>
        </is>
      </c>
      <c r="E124" s="8" t="inlineStr"/>
      <c r="F124" s="8" t="inlineStr"/>
      <c r="G124" s="8" t="inlineStr"/>
      <c r="H124" s="8" t="inlineStr"/>
      <c r="I124" s="8" t="n">
        <v>4547.4</v>
      </c>
    </row>
    <row r="125">
      <c r="A125" s="8" t="inlineStr"/>
      <c r="B125" s="8" t="inlineStr">
        <is>
          <t>M112.1701</t>
        </is>
      </c>
      <c r="C125" s="8" t="inlineStr">
        <is>
          <t>Máy khoan bê tông cầm tay 0,62 kW</t>
        </is>
      </c>
      <c r="E125" s="8" t="inlineStr">
        <is>
          <t>ca</t>
        </is>
      </c>
      <c r="F125" s="8" t="n">
        <v>0.3</v>
      </c>
      <c r="G125" s="8" t="n">
        <v>15158</v>
      </c>
      <c r="H125" s="8" t="n">
        <v>1</v>
      </c>
      <c r="I125" s="8" t="n">
        <v>4547.4</v>
      </c>
    </row>
    <row r="126">
      <c r="A126" s="8" t="inlineStr">
        <is>
          <t>ĐƠN GIÁ XÂY DỰNG CHI TIẾT HẠNG MỤC CÔNG TRÌNH</t>
        </is>
      </c>
      <c r="B126" s="8" t="inlineStr"/>
      <c r="C126" s="8" t="inlineStr"/>
      <c r="E126" s="8" t="inlineStr"/>
      <c r="F126" s="8" t="inlineStr"/>
      <c r="G126" s="8" t="inlineStr"/>
      <c r="H126" s="8" t="inlineStr"/>
      <c r="I126" s="8" t="inlineStr"/>
    </row>
    <row r="127">
      <c r="A127" s="8" t="inlineStr">
        <is>
          <t>DỰ ÁN: XÂY DỰNG NHÀ Ở CHO LỰC LƯỢNG VŨ TRANG CÔNG AN NHÂN DÂN TẠI Ô ĐẤT NO1 THUỘC LÔ ĐẤT D12 KHU ĐÔ THỊ MỚI CẦU GIẤY,
 PHƯỜNG CẦU GIẤY, THÀNH PHỐ HÀ NỘI</t>
        </is>
      </c>
      <c r="B127" s="8" t="inlineStr"/>
      <c r="C127" s="8" t="inlineStr"/>
      <c r="E127" s="8" t="inlineStr"/>
      <c r="F127" s="8" t="inlineStr"/>
      <c r="G127" s="8" t="inlineStr"/>
      <c r="H127" s="8" t="inlineStr"/>
      <c r="I127" s="8" t="inlineStr"/>
    </row>
    <row r="128">
      <c r="A128" s="8" t="inlineStr">
        <is>
          <t>HẠNG MỤC: ĐIỀU HÒA KHÔNG KHÍ &amp; THÔNG GIÓ - VẬT TƯ XÂY LẮP</t>
        </is>
      </c>
      <c r="B128" s="8" t="inlineStr"/>
      <c r="C128" s="8" t="inlineStr"/>
      <c r="E128" s="8" t="inlineStr"/>
      <c r="F128" s="8" t="inlineStr"/>
      <c r="G128" s="8" t="inlineStr"/>
      <c r="H128" s="8" t="inlineStr"/>
      <c r="I128" s="8" t="inlineStr"/>
    </row>
    <row r="129">
      <c r="A129" s="8" t="inlineStr">
        <is>
          <t>STT</t>
        </is>
      </c>
      <c r="B129" s="8" t="inlineStr">
        <is>
          <t>Mã số</t>
        </is>
      </c>
      <c r="C129" s="8" t="inlineStr">
        <is>
          <t>Thành phần hao phí</t>
        </is>
      </c>
      <c r="E129" s="8" t="inlineStr">
        <is>
          <t>Đơn vị</t>
        </is>
      </c>
      <c r="F129" s="8" t="inlineStr">
        <is>
          <t>Định mức</t>
        </is>
      </c>
      <c r="G129" s="8" t="inlineStr">
        <is>
          <t>Đơn giá
(đ)</t>
        </is>
      </c>
      <c r="H129" s="8" t="inlineStr">
        <is>
          <t>Hệ số</t>
        </is>
      </c>
      <c r="I129" s="8" t="inlineStr">
        <is>
          <t>Thành tiền
(đ)</t>
        </is>
      </c>
    </row>
    <row r="130">
      <c r="A130" s="8" t="inlineStr"/>
      <c r="B130" s="8" t="inlineStr">
        <is>
          <t>*</t>
        </is>
      </c>
      <c r="C130" s="8" t="inlineStr">
        <is>
          <t>Ống đồng</t>
        </is>
      </c>
      <c r="E130" s="8" t="inlineStr"/>
      <c r="F130" s="8" t="inlineStr"/>
      <c r="G130" s="8" t="inlineStr"/>
      <c r="H130" s="8" t="inlineStr"/>
      <c r="I130" s="8" t="inlineStr"/>
    </row>
    <row r="131">
      <c r="A131" s="8" t="n">
        <v>1</v>
      </c>
      <c r="B131" s="11" t="inlineStr">
        <is>
          <t>BB.51001</t>
        </is>
      </c>
      <c r="C131" s="8" t="inlineStr">
        <is>
          <t>Ống đồng_D6.4_0.81mm</t>
        </is>
      </c>
      <c r="D131" s="12">
        <f>HYPERLINK("tt38://pl3/100", "👉 Phụ lục III - Trang 100 (Khớp nhóm BB.5100)")</f>
        <v/>
      </c>
      <c r="E131" s="8" t="inlineStr">
        <is>
          <t>100m</t>
        </is>
      </c>
      <c r="F131" s="8" t="n">
        <v>1</v>
      </c>
      <c r="G131" s="8" t="inlineStr"/>
      <c r="H131" s="8" t="inlineStr"/>
      <c r="I131" s="8" t="inlineStr"/>
    </row>
    <row r="132">
      <c r="A132" s="8" t="inlineStr"/>
      <c r="B132" s="8" t="inlineStr"/>
      <c r="C132" s="8" t="inlineStr">
        <is>
          <t>a) Vật liệu</t>
        </is>
      </c>
      <c r="E132" s="8" t="inlineStr"/>
      <c r="F132" s="8" t="inlineStr"/>
      <c r="G132" s="8" t="inlineStr"/>
      <c r="H132" s="8" t="inlineStr"/>
      <c r="I132" s="8" t="n">
        <v>5082383.0054818</v>
      </c>
    </row>
    <row r="133">
      <c r="A133" s="8" t="inlineStr"/>
      <c r="B133" s="8" t="inlineStr">
        <is>
          <t>A33.0458</t>
        </is>
      </c>
      <c r="C133" s="8" t="inlineStr">
        <is>
          <t>Ống đồng_D6.4_0.81mm</t>
        </is>
      </c>
      <c r="E133" s="8" t="inlineStr">
        <is>
          <t>m</t>
        </is>
      </c>
      <c r="F133" s="8" t="n">
        <v>100.5</v>
      </c>
      <c r="G133" s="8" t="n">
        <v>50400</v>
      </c>
      <c r="H133" s="8" t="n">
        <v>1</v>
      </c>
      <c r="I133" s="8" t="n">
        <v>5065200</v>
      </c>
    </row>
    <row r="134">
      <c r="A134" s="8" t="inlineStr"/>
      <c r="B134" s="8" t="inlineStr">
        <is>
          <t>A33.0113</t>
        </is>
      </c>
      <c r="C134" s="8" t="inlineStr">
        <is>
          <t>Que hàn đồng</t>
        </is>
      </c>
      <c r="E134" s="8" t="inlineStr">
        <is>
          <t>kg</t>
        </is>
      </c>
      <c r="F134" s="8" t="n">
        <v>0.065</v>
      </c>
      <c r="G134" s="8" t="n">
        <v>250000</v>
      </c>
      <c r="H134" s="8" t="n">
        <v>1</v>
      </c>
      <c r="I134" s="8" t="n">
        <v>16250</v>
      </c>
    </row>
    <row r="135">
      <c r="A135" s="8" t="inlineStr"/>
      <c r="B135" s="8" t="inlineStr">
        <is>
          <t>A33.0001</t>
        </is>
      </c>
      <c r="C135" s="8" t="inlineStr">
        <is>
          <t>Ô xy</t>
        </is>
      </c>
      <c r="E135" s="8" t="inlineStr">
        <is>
          <t>chai</t>
        </is>
      </c>
      <c r="F135" s="8" t="n">
        <v>0.003</v>
      </c>
      <c r="G135" s="8" t="n">
        <v>30000</v>
      </c>
      <c r="H135" s="8" t="n">
        <v>1</v>
      </c>
      <c r="I135" s="8" t="n">
        <v>90</v>
      </c>
    </row>
    <row r="136">
      <c r="A136" s="8" t="inlineStr"/>
      <c r="B136" s="8" t="inlineStr">
        <is>
          <t>A24.0931</t>
        </is>
      </c>
      <c r="C136" s="8" t="inlineStr">
        <is>
          <t>Khí gas</t>
        </is>
      </c>
      <c r="E136" s="8" t="inlineStr">
        <is>
          <t>kg</t>
        </is>
      </c>
      <c r="F136" s="8" t="n">
        <v>0.006</v>
      </c>
      <c r="G136" s="8" t="n">
        <v>37803</v>
      </c>
      <c r="H136" s="8" t="n">
        <v>1</v>
      </c>
      <c r="I136" s="8" t="n">
        <v>226.818</v>
      </c>
    </row>
    <row r="137">
      <c r="A137" s="8" t="inlineStr"/>
      <c r="B137" s="8" t="inlineStr">
        <is>
          <t>A33.0469</t>
        </is>
      </c>
      <c r="C137" s="8" t="inlineStr">
        <is>
          <t>Thuốc hàn</t>
        </is>
      </c>
      <c r="E137" s="8" t="inlineStr">
        <is>
          <t>kg</t>
        </is>
      </c>
      <c r="F137" s="8" t="n">
        <v>0.004</v>
      </c>
      <c r="G137" s="8" t="n">
        <v>27000</v>
      </c>
      <c r="H137" s="8" t="n">
        <v>1</v>
      </c>
      <c r="I137" s="8" t="n">
        <v>108</v>
      </c>
    </row>
    <row r="138">
      <c r="A138" s="8" t="inlineStr"/>
      <c r="B138" s="8" t="inlineStr">
        <is>
          <t>Z999</t>
        </is>
      </c>
      <c r="C138" s="8" t="inlineStr">
        <is>
          <t>Vật liệu khác</t>
        </is>
      </c>
      <c r="E138" s="8" t="inlineStr">
        <is>
          <t>%</t>
        </is>
      </c>
      <c r="F138" s="8" t="n">
        <v>0.01</v>
      </c>
      <c r="G138" s="8" t="n">
        <v>5081874.818</v>
      </c>
      <c r="H138" s="8" t="inlineStr"/>
      <c r="I138" s="8" t="n">
        <v>508.1874818</v>
      </c>
    </row>
    <row r="139">
      <c r="A139" s="8" t="inlineStr"/>
      <c r="B139" s="8" t="inlineStr"/>
      <c r="C139" s="8" t="inlineStr">
        <is>
          <t>Cộng</t>
        </is>
      </c>
      <c r="E139" s="8" t="inlineStr"/>
      <c r="F139" s="8" t="inlineStr"/>
      <c r="G139" s="8" t="inlineStr"/>
      <c r="H139" s="8" t="inlineStr"/>
      <c r="I139" s="8" t="n">
        <v>5082383.0054818</v>
      </c>
    </row>
    <row r="140">
      <c r="A140" s="8" t="inlineStr"/>
      <c r="B140" s="8" t="inlineStr"/>
      <c r="C140" s="8" t="inlineStr">
        <is>
          <t>b) Nhân công</t>
        </is>
      </c>
      <c r="E140" s="8" t="inlineStr"/>
      <c r="F140" s="8" t="inlineStr"/>
      <c r="G140" s="8" t="inlineStr"/>
      <c r="H140" s="8" t="inlineStr"/>
      <c r="I140" s="8" t="n">
        <v>5764500</v>
      </c>
    </row>
    <row r="141">
      <c r="A141" s="8" t="inlineStr"/>
      <c r="B141" s="8" t="inlineStr">
        <is>
          <t>N3</t>
        </is>
      </c>
      <c r="C141" s="8" t="inlineStr">
        <is>
          <t>Nhân công nhóm 3</t>
        </is>
      </c>
      <c r="E141" s="8" t="inlineStr">
        <is>
          <t>công</t>
        </is>
      </c>
      <c r="F141" s="8" t="n">
        <v>13.5</v>
      </c>
      <c r="G141" s="8" t="n">
        <v>427000</v>
      </c>
      <c r="H141" s="8" t="n">
        <v>1</v>
      </c>
      <c r="I141" s="8" t="n">
        <v>5764500</v>
      </c>
    </row>
    <row r="142">
      <c r="A142" s="8" t="n">
        <v>2</v>
      </c>
      <c r="B142" s="11" t="inlineStr">
        <is>
          <t>BB.51002</t>
        </is>
      </c>
      <c r="C142" s="8" t="inlineStr">
        <is>
          <t>Ống đồng_D9.5_0.81mm</t>
        </is>
      </c>
      <c r="D142" s="12">
        <f>HYPERLINK("tt38://pl3/100", "👉 Phụ lục III - Trang 100 (Khớp nhóm BB.5100)")</f>
        <v/>
      </c>
      <c r="E142" s="8" t="inlineStr">
        <is>
          <t>100m</t>
        </is>
      </c>
      <c r="F142" s="8" t="n">
        <v>1</v>
      </c>
      <c r="G142" s="8" t="inlineStr"/>
      <c r="H142" s="8" t="inlineStr"/>
      <c r="I142" s="8" t="inlineStr"/>
    </row>
    <row r="143">
      <c r="A143" s="8" t="inlineStr"/>
      <c r="B143" s="8" t="inlineStr"/>
      <c r="C143" s="8" t="inlineStr">
        <is>
          <t>a) Vật liệu</t>
        </is>
      </c>
      <c r="E143" s="8" t="inlineStr"/>
      <c r="F143" s="8" t="inlineStr"/>
      <c r="G143" s="8" t="inlineStr"/>
      <c r="H143" s="8" t="inlineStr"/>
      <c r="I143" s="8" t="n">
        <v>7982732.617442399</v>
      </c>
    </row>
    <row r="144">
      <c r="A144" s="8" t="inlineStr"/>
      <c r="B144" s="8" t="inlineStr">
        <is>
          <t>A33.0459</t>
        </is>
      </c>
      <c r="C144" s="8" t="inlineStr">
        <is>
          <t>Ống đồng_D9.5_0.81mm</t>
        </is>
      </c>
      <c r="E144" s="8" t="inlineStr">
        <is>
          <t>m</t>
        </is>
      </c>
      <c r="F144" s="8" t="n">
        <v>100.5</v>
      </c>
      <c r="G144" s="8" t="n">
        <v>79200</v>
      </c>
      <c r="H144" s="8" t="n">
        <v>1</v>
      </c>
      <c r="I144" s="8" t="n">
        <v>7959600</v>
      </c>
    </row>
    <row r="145">
      <c r="A145" s="8" t="inlineStr"/>
      <c r="B145" s="8" t="inlineStr">
        <is>
          <t>A33.0113</t>
        </is>
      </c>
      <c r="C145" s="8" t="inlineStr">
        <is>
          <t>Que hàn đồng</t>
        </is>
      </c>
      <c r="E145" s="8" t="inlineStr">
        <is>
          <t>kg</t>
        </is>
      </c>
      <c r="F145" s="8" t="n">
        <v>0.08699999999999999</v>
      </c>
      <c r="G145" s="8" t="n">
        <v>250000</v>
      </c>
      <c r="H145" s="8" t="n">
        <v>1</v>
      </c>
      <c r="I145" s="8" t="n">
        <v>21750</v>
      </c>
    </row>
    <row r="146">
      <c r="A146" s="8" t="inlineStr"/>
      <c r="B146" s="8" t="inlineStr">
        <is>
          <t>A33.0001</t>
        </is>
      </c>
      <c r="C146" s="8" t="inlineStr">
        <is>
          <t>Ô xy</t>
        </is>
      </c>
      <c r="E146" s="8" t="inlineStr">
        <is>
          <t>chai</t>
        </is>
      </c>
      <c r="F146" s="8" t="n">
        <v>0.004</v>
      </c>
      <c r="G146" s="8" t="n">
        <v>30000</v>
      </c>
      <c r="H146" s="8" t="n">
        <v>1</v>
      </c>
      <c r="I146" s="8" t="n">
        <v>120</v>
      </c>
    </row>
    <row r="147">
      <c r="A147" s="8" t="inlineStr"/>
      <c r="B147" s="8" t="inlineStr">
        <is>
          <t>A24.0931</t>
        </is>
      </c>
      <c r="C147" s="8" t="inlineStr">
        <is>
          <t>Khí gas</t>
        </is>
      </c>
      <c r="E147" s="8" t="inlineStr">
        <is>
          <t>kg</t>
        </is>
      </c>
      <c r="F147" s="8" t="n">
        <v>0.008</v>
      </c>
      <c r="G147" s="8" t="n">
        <v>37803</v>
      </c>
      <c r="H147" s="8" t="n">
        <v>1</v>
      </c>
      <c r="I147" s="8" t="n">
        <v>302.424</v>
      </c>
    </row>
    <row r="148">
      <c r="A148" s="8" t="inlineStr"/>
      <c r="B148" s="8" t="inlineStr">
        <is>
          <t>A33.0469</t>
        </is>
      </c>
      <c r="C148" s="8" t="inlineStr">
        <is>
          <t>Thuốc hàn</t>
        </is>
      </c>
      <c r="E148" s="8" t="inlineStr">
        <is>
          <t>kg</t>
        </is>
      </c>
      <c r="F148" s="8" t="n">
        <v>0.006</v>
      </c>
      <c r="G148" s="8" t="n">
        <v>27000</v>
      </c>
      <c r="H148" s="8" t="n">
        <v>1</v>
      </c>
      <c r="I148" s="8" t="n">
        <v>162</v>
      </c>
    </row>
    <row r="149">
      <c r="A149" s="8" t="inlineStr"/>
      <c r="B149" s="8" t="inlineStr">
        <is>
          <t>Z999</t>
        </is>
      </c>
      <c r="C149" s="8" t="inlineStr">
        <is>
          <t>Vật liệu khác</t>
        </is>
      </c>
      <c r="E149" s="8" t="inlineStr">
        <is>
          <t>%</t>
        </is>
      </c>
      <c r="F149" s="8" t="n">
        <v>0.01</v>
      </c>
      <c r="G149" s="8" t="n">
        <v>7981934.424</v>
      </c>
      <c r="H149" s="8" t="inlineStr"/>
      <c r="I149" s="8" t="n">
        <v>798.1934423999999</v>
      </c>
    </row>
    <row r="150">
      <c r="A150" s="8" t="inlineStr"/>
      <c r="B150" s="8" t="inlineStr"/>
      <c r="C150" s="8" t="inlineStr">
        <is>
          <t>Cộng</t>
        </is>
      </c>
      <c r="E150" s="8" t="inlineStr"/>
      <c r="F150" s="8" t="inlineStr"/>
      <c r="G150" s="8" t="inlineStr"/>
      <c r="H150" s="8" t="inlineStr"/>
      <c r="I150" s="8" t="n">
        <v>7982732.617442399</v>
      </c>
    </row>
    <row r="151">
      <c r="A151" s="8" t="inlineStr"/>
      <c r="B151" s="8" t="inlineStr"/>
      <c r="C151" s="8" t="inlineStr">
        <is>
          <t>b) Nhân công</t>
        </is>
      </c>
      <c r="E151" s="8" t="inlineStr"/>
      <c r="F151" s="8" t="inlineStr"/>
      <c r="G151" s="8" t="inlineStr"/>
      <c r="H151" s="8" t="inlineStr"/>
      <c r="I151" s="8" t="n">
        <v>6789300</v>
      </c>
    </row>
    <row r="152">
      <c r="A152" s="8" t="inlineStr"/>
      <c r="B152" s="8" t="inlineStr">
        <is>
          <t>N3</t>
        </is>
      </c>
      <c r="C152" s="8" t="inlineStr">
        <is>
          <t>Nhân công nhóm 3</t>
        </is>
      </c>
      <c r="E152" s="8" t="inlineStr">
        <is>
          <t>công</t>
        </is>
      </c>
      <c r="F152" s="8" t="n">
        <v>15.9</v>
      </c>
      <c r="G152" s="8" t="n">
        <v>427000</v>
      </c>
      <c r="H152" s="8" t="n">
        <v>1</v>
      </c>
      <c r="I152" s="8" t="n">
        <v>6789300</v>
      </c>
    </row>
    <row r="153">
      <c r="A153" s="8" t="n">
        <v>3</v>
      </c>
      <c r="B153" s="11" t="inlineStr">
        <is>
          <t>BB.51003</t>
        </is>
      </c>
      <c r="C153" s="8" t="inlineStr">
        <is>
          <t>Ống đồng_D12.7_0.81mm</t>
        </is>
      </c>
      <c r="D153" s="12">
        <f>HYPERLINK("tt38://pl3/100", "👉 Phụ lục III - Trang 100 (Khớp nhóm BB.5100)")</f>
        <v/>
      </c>
      <c r="E153" s="8" t="inlineStr">
        <is>
          <t>100m</t>
        </is>
      </c>
      <c r="F153" s="8" t="n">
        <v>1</v>
      </c>
      <c r="G153" s="8" t="inlineStr"/>
      <c r="H153" s="8" t="inlineStr"/>
      <c r="I153" s="8" t="inlineStr"/>
    </row>
    <row r="154">
      <c r="A154" s="8" t="inlineStr"/>
      <c r="B154" s="8" t="inlineStr"/>
      <c r="C154" s="8" t="inlineStr">
        <is>
          <t>a) Vật liệu</t>
        </is>
      </c>
      <c r="E154" s="8" t="inlineStr"/>
      <c r="F154" s="8" t="inlineStr"/>
      <c r="G154" s="8" t="inlineStr"/>
      <c r="H154" s="8" t="inlineStr"/>
      <c r="I154" s="8" t="n">
        <v>10883055.226703</v>
      </c>
    </row>
    <row r="155">
      <c r="A155" s="8" t="inlineStr"/>
      <c r="B155" s="8" t="inlineStr">
        <is>
          <t>A33.0460</t>
        </is>
      </c>
      <c r="C155" s="8" t="inlineStr">
        <is>
          <t>Ống đồng_D12.7_0.81mm</t>
        </is>
      </c>
      <c r="E155" s="8" t="inlineStr">
        <is>
          <t>m</t>
        </is>
      </c>
      <c r="F155" s="8" t="n">
        <v>100.5</v>
      </c>
      <c r="G155" s="8" t="n">
        <v>108000</v>
      </c>
      <c r="H155" s="8" t="n">
        <v>1</v>
      </c>
      <c r="I155" s="8" t="n">
        <v>10854000</v>
      </c>
    </row>
    <row r="156">
      <c r="A156" s="8" t="inlineStr"/>
      <c r="B156" s="8" t="inlineStr">
        <is>
          <t>A33.0113</t>
        </is>
      </c>
      <c r="C156" s="8" t="inlineStr">
        <is>
          <t>Que hàn đồng</t>
        </is>
      </c>
      <c r="E156" s="8" t="inlineStr">
        <is>
          <t>kg</t>
        </is>
      </c>
      <c r="F156" s="8" t="n">
        <v>0.109</v>
      </c>
      <c r="G156" s="8" t="n">
        <v>250000</v>
      </c>
      <c r="H156" s="8" t="n">
        <v>1</v>
      </c>
      <c r="I156" s="8" t="n">
        <v>27250</v>
      </c>
    </row>
    <row r="157">
      <c r="A157" s="8" t="inlineStr"/>
      <c r="B157" s="8" t="inlineStr">
        <is>
          <t>A33.0001</t>
        </is>
      </c>
      <c r="C157" s="8" t="inlineStr">
        <is>
          <t>Ô xy</t>
        </is>
      </c>
      <c r="E157" s="8" t="inlineStr">
        <is>
          <t>chai</t>
        </is>
      </c>
      <c r="F157" s="8" t="n">
        <v>0.005</v>
      </c>
      <c r="G157" s="8" t="n">
        <v>30000</v>
      </c>
      <c r="H157" s="8" t="n">
        <v>1</v>
      </c>
      <c r="I157" s="8" t="n">
        <v>150</v>
      </c>
    </row>
    <row r="158">
      <c r="A158" s="8" t="inlineStr"/>
      <c r="B158" s="8" t="inlineStr">
        <is>
          <t>A24.0931</t>
        </is>
      </c>
      <c r="C158" s="8" t="inlineStr">
        <is>
          <t>Khí gas</t>
        </is>
      </c>
      <c r="E158" s="8" t="inlineStr">
        <is>
          <t>kg</t>
        </is>
      </c>
      <c r="F158" s="8" t="n">
        <v>0.01</v>
      </c>
      <c r="G158" s="8" t="n">
        <v>37803</v>
      </c>
      <c r="H158" s="8" t="n">
        <v>1</v>
      </c>
      <c r="I158" s="8" t="n">
        <v>378.03</v>
      </c>
    </row>
    <row r="159">
      <c r="A159" s="8" t="inlineStr"/>
      <c r="B159" s="8" t="inlineStr">
        <is>
          <t>A33.0469</t>
        </is>
      </c>
      <c r="C159" s="8" t="inlineStr">
        <is>
          <t>Thuốc hàn</t>
        </is>
      </c>
      <c r="E159" s="8" t="inlineStr">
        <is>
          <t>kg</t>
        </is>
      </c>
      <c r="F159" s="8" t="n">
        <v>0.007</v>
      </c>
      <c r="G159" s="8" t="n">
        <v>27000</v>
      </c>
      <c r="H159" s="8" t="n">
        <v>1</v>
      </c>
      <c r="I159" s="8" t="n">
        <v>189</v>
      </c>
    </row>
    <row r="160">
      <c r="A160" s="8" t="inlineStr"/>
      <c r="B160" s="8" t="inlineStr">
        <is>
          <t>Z999</t>
        </is>
      </c>
      <c r="C160" s="8" t="inlineStr">
        <is>
          <t>Vật liệu khác</t>
        </is>
      </c>
      <c r="E160" s="8" t="inlineStr">
        <is>
          <t>%</t>
        </is>
      </c>
      <c r="F160" s="8" t="n">
        <v>0.01</v>
      </c>
      <c r="G160" s="8" t="n">
        <v>10881967.03</v>
      </c>
      <c r="H160" s="8" t="inlineStr"/>
      <c r="I160" s="8" t="n">
        <v>1088.196703</v>
      </c>
    </row>
    <row r="161">
      <c r="A161" s="8" t="inlineStr"/>
      <c r="B161" s="8" t="inlineStr"/>
      <c r="C161" s="8" t="inlineStr">
        <is>
          <t>Cộng</t>
        </is>
      </c>
      <c r="E161" s="8" t="inlineStr"/>
      <c r="F161" s="8" t="inlineStr"/>
      <c r="G161" s="8" t="inlineStr"/>
      <c r="H161" s="8" t="inlineStr"/>
      <c r="I161" s="8" t="n">
        <v>10883055.226703</v>
      </c>
    </row>
    <row r="162">
      <c r="A162" s="8" t="inlineStr"/>
      <c r="B162" s="8" t="inlineStr"/>
      <c r="C162" s="8" t="inlineStr">
        <is>
          <t>b) Nhân công</t>
        </is>
      </c>
      <c r="E162" s="8" t="inlineStr"/>
      <c r="F162" s="8" t="inlineStr"/>
      <c r="G162" s="8" t="inlineStr"/>
      <c r="H162" s="8" t="inlineStr"/>
      <c r="I162" s="8" t="n">
        <v>7147979.999999999</v>
      </c>
    </row>
    <row r="163">
      <c r="A163" s="8" t="inlineStr"/>
      <c r="B163" s="8" t="inlineStr">
        <is>
          <t>N3</t>
        </is>
      </c>
      <c r="C163" s="8" t="inlineStr">
        <is>
          <t>Nhân công nhóm 3</t>
        </is>
      </c>
      <c r="E163" s="8" t="inlineStr">
        <is>
          <t>công</t>
        </is>
      </c>
      <c r="F163" s="8" t="n">
        <v>16.74</v>
      </c>
      <c r="G163" s="8" t="n">
        <v>427000</v>
      </c>
      <c r="H163" s="8" t="n">
        <v>1</v>
      </c>
      <c r="I163" s="8" t="n">
        <v>7147979.999999999</v>
      </c>
    </row>
    <row r="164">
      <c r="A164" s="8" t="n">
        <v>4</v>
      </c>
      <c r="B164" s="11" t="inlineStr">
        <is>
          <t>BB.51004</t>
        </is>
      </c>
      <c r="C164" s="8" t="inlineStr">
        <is>
          <t>Ống đồng_D15.9_0.99mm</t>
        </is>
      </c>
      <c r="D164" s="12">
        <f>HYPERLINK("tt38://pl3/100", "👉 Phụ lục III - Trang 100 (Khớp nhóm BB.5100)")</f>
        <v/>
      </c>
      <c r="E164" s="8" t="inlineStr">
        <is>
          <t>100m</t>
        </is>
      </c>
      <c r="F164" s="8" t="n">
        <v>1</v>
      </c>
      <c r="G164" s="8" t="inlineStr"/>
      <c r="H164" s="8" t="inlineStr"/>
      <c r="I164" s="8" t="inlineStr"/>
    </row>
    <row r="165">
      <c r="A165" s="8" t="inlineStr"/>
      <c r="B165" s="8" t="inlineStr"/>
      <c r="C165" s="8" t="inlineStr">
        <is>
          <t>a) Vật liệu</t>
        </is>
      </c>
      <c r="E165" s="8" t="inlineStr"/>
      <c r="F165" s="8" t="inlineStr"/>
      <c r="G165" s="8" t="inlineStr"/>
      <c r="H165" s="8" t="inlineStr"/>
      <c r="I165" s="8" t="n">
        <v>16807230.1909636</v>
      </c>
    </row>
    <row r="166">
      <c r="A166" s="8" t="inlineStr"/>
      <c r="B166" s="8" t="inlineStr">
        <is>
          <t>A33.0461</t>
        </is>
      </c>
      <c r="C166" s="8" t="inlineStr">
        <is>
          <t>Ống đồng_D15.9_0.99mm</t>
        </is>
      </c>
      <c r="E166" s="8" t="inlineStr">
        <is>
          <t>m</t>
        </is>
      </c>
      <c r="F166" s="8" t="n">
        <v>100.5</v>
      </c>
      <c r="G166" s="8" t="n">
        <v>166900</v>
      </c>
      <c r="H166" s="8" t="n">
        <v>1</v>
      </c>
      <c r="I166" s="8" t="n">
        <v>16773450</v>
      </c>
    </row>
    <row r="167">
      <c r="A167" s="8" t="inlineStr"/>
      <c r="B167" s="8" t="inlineStr">
        <is>
          <t>A33.0113</t>
        </is>
      </c>
      <c r="C167" s="8" t="inlineStr">
        <is>
          <t>Que hàn đồng</t>
        </is>
      </c>
      <c r="E167" s="8" t="inlineStr">
        <is>
          <t>kg</t>
        </is>
      </c>
      <c r="F167" s="8" t="n">
        <v>0.125</v>
      </c>
      <c r="G167" s="8" t="n">
        <v>250000</v>
      </c>
      <c r="H167" s="8" t="n">
        <v>1</v>
      </c>
      <c r="I167" s="8" t="n">
        <v>31250</v>
      </c>
    </row>
    <row r="168">
      <c r="A168" s="8" t="inlineStr"/>
      <c r="B168" s="8" t="inlineStr">
        <is>
          <t>A33.0001</t>
        </is>
      </c>
      <c r="C168" s="8" t="inlineStr">
        <is>
          <t>Ô xy</t>
        </is>
      </c>
      <c r="E168" s="8" t="inlineStr">
        <is>
          <t>chai</t>
        </is>
      </c>
      <c r="F168" s="8" t="n">
        <v>0.006</v>
      </c>
      <c r="G168" s="8" t="n">
        <v>30000</v>
      </c>
      <c r="H168" s="8" t="n">
        <v>1</v>
      </c>
      <c r="I168" s="8" t="n">
        <v>180</v>
      </c>
    </row>
    <row r="169">
      <c r="A169" s="8" t="inlineStr"/>
      <c r="B169" s="8" t="inlineStr">
        <is>
          <t>A24.0931</t>
        </is>
      </c>
      <c r="C169" s="8" t="inlineStr">
        <is>
          <t>Khí gas</t>
        </is>
      </c>
      <c r="E169" s="8" t="inlineStr">
        <is>
          <t>kg</t>
        </is>
      </c>
      <c r="F169" s="8" t="n">
        <v>0.012</v>
      </c>
      <c r="G169" s="8" t="n">
        <v>37803</v>
      </c>
      <c r="H169" s="8" t="n">
        <v>1</v>
      </c>
      <c r="I169" s="8" t="n">
        <v>453.636</v>
      </c>
    </row>
    <row r="170">
      <c r="A170" s="8" t="inlineStr"/>
      <c r="B170" s="8" t="inlineStr">
        <is>
          <t>A33.0469</t>
        </is>
      </c>
      <c r="C170" s="8" t="inlineStr">
        <is>
          <t>Thuốc hàn</t>
        </is>
      </c>
      <c r="E170" s="8" t="inlineStr">
        <is>
          <t>kg</t>
        </is>
      </c>
      <c r="F170" s="8" t="n">
        <v>0.008</v>
      </c>
      <c r="G170" s="8" t="n">
        <v>27000</v>
      </c>
      <c r="H170" s="8" t="n">
        <v>1</v>
      </c>
      <c r="I170" s="8" t="n">
        <v>216</v>
      </c>
    </row>
    <row r="171">
      <c r="A171" s="8" t="inlineStr"/>
      <c r="B171" s="8" t="inlineStr">
        <is>
          <t>Z999</t>
        </is>
      </c>
      <c r="C171" s="8" t="inlineStr">
        <is>
          <t>Vật liệu khác</t>
        </is>
      </c>
      <c r="E171" s="8" t="inlineStr">
        <is>
          <t>%</t>
        </is>
      </c>
      <c r="F171" s="8" t="n">
        <v>0.01</v>
      </c>
      <c r="G171" s="8" t="n">
        <v>16805549.636</v>
      </c>
      <c r="H171" s="8" t="inlineStr"/>
      <c r="I171" s="8" t="n">
        <v>1680.5549636</v>
      </c>
    </row>
    <row r="172">
      <c r="A172" s="8" t="inlineStr"/>
      <c r="B172" s="8" t="inlineStr"/>
      <c r="C172" s="8" t="inlineStr">
        <is>
          <t>Cộng</t>
        </is>
      </c>
      <c r="E172" s="8" t="inlineStr"/>
      <c r="F172" s="8" t="inlineStr"/>
      <c r="G172" s="8" t="inlineStr"/>
      <c r="H172" s="8" t="inlineStr"/>
      <c r="I172" s="8" t="n">
        <v>16807230.1909636</v>
      </c>
    </row>
    <row r="173">
      <c r="A173" s="8" t="inlineStr"/>
      <c r="B173" s="8" t="inlineStr"/>
      <c r="C173" s="8" t="inlineStr">
        <is>
          <t>b) Nhân công</t>
        </is>
      </c>
      <c r="E173" s="8" t="inlineStr"/>
      <c r="F173" s="8" t="inlineStr"/>
      <c r="G173" s="8" t="inlineStr"/>
      <c r="H173" s="8" t="inlineStr"/>
      <c r="I173" s="8" t="n">
        <v>7852530</v>
      </c>
    </row>
    <row r="174">
      <c r="A174" s="8" t="inlineStr"/>
      <c r="B174" s="8" t="inlineStr">
        <is>
          <t>N3</t>
        </is>
      </c>
      <c r="C174" s="8" t="inlineStr">
        <is>
          <t>Nhân công nhóm 3</t>
        </is>
      </c>
      <c r="E174" s="8" t="inlineStr">
        <is>
          <t>công</t>
        </is>
      </c>
      <c r="F174" s="8" t="n">
        <v>18.39</v>
      </c>
      <c r="G174" s="8" t="n">
        <v>427000</v>
      </c>
      <c r="H174" s="8" t="n">
        <v>1</v>
      </c>
      <c r="I174" s="8" t="n">
        <v>7852530</v>
      </c>
    </row>
    <row r="175">
      <c r="A175" s="8" t="n">
        <v>5</v>
      </c>
      <c r="B175" s="11" t="inlineStr">
        <is>
          <t>BB.51005</t>
        </is>
      </c>
      <c r="C175" s="8" t="inlineStr">
        <is>
          <t>Ống đồng_D19.1_0.99mm</t>
        </is>
      </c>
      <c r="D175" s="12">
        <f>HYPERLINK("tt38://pl3/100", "👉 Phụ lục III - Trang 100 (Khớp nhóm BB.5100)")</f>
        <v/>
      </c>
      <c r="E175" s="8" t="inlineStr">
        <is>
          <t>100m</t>
        </is>
      </c>
      <c r="F175" s="8" t="n">
        <v>1</v>
      </c>
      <c r="G175" s="8" t="inlineStr"/>
      <c r="H175" s="8" t="inlineStr"/>
      <c r="I175" s="8" t="inlineStr"/>
    </row>
    <row r="176">
      <c r="A176" s="8" t="inlineStr"/>
      <c r="B176" s="8" t="inlineStr"/>
      <c r="C176" s="8" t="inlineStr">
        <is>
          <t>a) Vật liệu</t>
        </is>
      </c>
      <c r="E176" s="8" t="inlineStr"/>
      <c r="F176" s="8" t="inlineStr"/>
      <c r="G176" s="8" t="inlineStr"/>
      <c r="H176" s="8" t="inlineStr"/>
      <c r="I176" s="8" t="n">
        <v>20369250.3573636</v>
      </c>
    </row>
    <row r="177">
      <c r="A177" s="8" t="inlineStr"/>
      <c r="B177" s="8" t="inlineStr">
        <is>
          <t>A33.0462</t>
        </is>
      </c>
      <c r="C177" s="8" t="inlineStr">
        <is>
          <t>Ống đồng_D19.1_0.99mm</t>
        </is>
      </c>
      <c r="E177" s="8" t="inlineStr">
        <is>
          <t>m</t>
        </is>
      </c>
      <c r="F177" s="8" t="n">
        <v>100.5</v>
      </c>
      <c r="G177" s="8" t="n">
        <v>202300</v>
      </c>
      <c r="H177" s="8" t="n">
        <v>1</v>
      </c>
      <c r="I177" s="8" t="n">
        <v>20331150</v>
      </c>
    </row>
    <row r="178">
      <c r="A178" s="8" t="inlineStr"/>
      <c r="B178" s="8" t="inlineStr">
        <is>
          <t>A33.0113</t>
        </is>
      </c>
      <c r="C178" s="8" t="inlineStr">
        <is>
          <t>Que hàn đồng</t>
        </is>
      </c>
      <c r="E178" s="8" t="inlineStr">
        <is>
          <t>kg</t>
        </is>
      </c>
      <c r="F178" s="8" t="n">
        <v>0.132</v>
      </c>
      <c r="G178" s="8" t="n">
        <v>250000</v>
      </c>
      <c r="H178" s="8" t="n">
        <v>1</v>
      </c>
      <c r="I178" s="8" t="n">
        <v>33000</v>
      </c>
    </row>
    <row r="179">
      <c r="A179" s="8" t="inlineStr"/>
      <c r="B179" s="8" t="inlineStr">
        <is>
          <t>A33.0001</t>
        </is>
      </c>
      <c r="C179" s="8" t="inlineStr">
        <is>
          <t>Ô xy</t>
        </is>
      </c>
      <c r="E179" s="8" t="inlineStr">
        <is>
          <t>chai</t>
        </is>
      </c>
      <c r="F179" s="8" t="n">
        <v>0.006</v>
      </c>
      <c r="G179" s="8" t="n">
        <v>30000</v>
      </c>
      <c r="H179" s="8" t="n">
        <v>1</v>
      </c>
      <c r="I179" s="8" t="n">
        <v>180</v>
      </c>
    </row>
    <row r="180">
      <c r="A180" s="8" t="inlineStr"/>
      <c r="B180" s="8" t="inlineStr">
        <is>
          <t>A24.0931</t>
        </is>
      </c>
      <c r="C180" s="8" t="inlineStr">
        <is>
          <t>Khí gas</t>
        </is>
      </c>
      <c r="E180" s="8" t="inlineStr">
        <is>
          <t>kg</t>
        </is>
      </c>
      <c r="F180" s="8" t="n">
        <v>0.012</v>
      </c>
      <c r="G180" s="8" t="n">
        <v>37803</v>
      </c>
      <c r="H180" s="8" t="n">
        <v>1</v>
      </c>
      <c r="I180" s="8" t="n">
        <v>453.636</v>
      </c>
    </row>
    <row r="181">
      <c r="A181" s="8" t="inlineStr"/>
      <c r="B181" s="8" t="inlineStr">
        <is>
          <t>A33.0469</t>
        </is>
      </c>
      <c r="C181" s="8" t="inlineStr">
        <is>
          <t>Thuốc hàn</t>
        </is>
      </c>
      <c r="E181" s="8" t="inlineStr">
        <is>
          <t>kg</t>
        </is>
      </c>
      <c r="F181" s="8" t="n">
        <v>0.09</v>
      </c>
      <c r="G181" s="8" t="n">
        <v>27000</v>
      </c>
      <c r="H181" s="8" t="n">
        <v>1</v>
      </c>
      <c r="I181" s="8" t="n">
        <v>2430</v>
      </c>
    </row>
    <row r="182">
      <c r="A182" s="8" t="inlineStr"/>
      <c r="B182" s="8" t="inlineStr">
        <is>
          <t>Z999</t>
        </is>
      </c>
      <c r="C182" s="8" t="inlineStr">
        <is>
          <t>Vật liệu khác</t>
        </is>
      </c>
      <c r="E182" s="8" t="inlineStr">
        <is>
          <t>%</t>
        </is>
      </c>
      <c r="F182" s="8" t="n">
        <v>0.01</v>
      </c>
      <c r="G182" s="8" t="n">
        <v>20367213.636</v>
      </c>
      <c r="H182" s="8" t="inlineStr"/>
      <c r="I182" s="8" t="n">
        <v>2036.7213636</v>
      </c>
    </row>
    <row r="183">
      <c r="A183" s="8" t="inlineStr"/>
      <c r="B183" s="8" t="inlineStr"/>
      <c r="C183" s="8" t="inlineStr">
        <is>
          <t>Cộng</t>
        </is>
      </c>
      <c r="E183" s="8" t="inlineStr"/>
      <c r="F183" s="8" t="inlineStr"/>
      <c r="G183" s="8" t="inlineStr"/>
      <c r="H183" s="8" t="inlineStr"/>
      <c r="I183" s="8" t="n">
        <v>20369250.3573636</v>
      </c>
    </row>
    <row r="184">
      <c r="A184" s="8" t="inlineStr"/>
      <c r="B184" s="8" t="inlineStr"/>
      <c r="C184" s="8" t="inlineStr">
        <is>
          <t>b) Nhân công</t>
        </is>
      </c>
      <c r="E184" s="8" t="inlineStr"/>
      <c r="F184" s="8" t="inlineStr"/>
      <c r="G184" s="8" t="inlineStr"/>
      <c r="H184" s="8" t="inlineStr"/>
      <c r="I184" s="8" t="n">
        <v>9475130</v>
      </c>
    </row>
    <row r="185">
      <c r="A185" s="8" t="inlineStr"/>
      <c r="B185" s="8" t="inlineStr">
        <is>
          <t>N3</t>
        </is>
      </c>
      <c r="C185" s="8" t="inlineStr">
        <is>
          <t>Nhân công nhóm 3</t>
        </is>
      </c>
      <c r="E185" s="8" t="inlineStr">
        <is>
          <t>công</t>
        </is>
      </c>
      <c r="F185" s="8" t="n">
        <v>22.19</v>
      </c>
      <c r="G185" s="8" t="n">
        <v>427000</v>
      </c>
      <c r="H185" s="8" t="n">
        <v>1</v>
      </c>
      <c r="I185" s="8" t="n">
        <v>9475130</v>
      </c>
    </row>
    <row r="186">
      <c r="A186" s="8" t="n">
        <v>6</v>
      </c>
      <c r="B186" s="11" t="inlineStr">
        <is>
          <t>BB.51006</t>
        </is>
      </c>
      <c r="C186" s="8" t="inlineStr">
        <is>
          <t>Ống đồng_D22.2_1.14mm</t>
        </is>
      </c>
      <c r="D186" s="12">
        <f>HYPERLINK("tt38://pl3/100", "👉 Phụ lục III - Trang 100 (Khớp nhóm BB.5100)")</f>
        <v/>
      </c>
      <c r="E186" s="8" t="inlineStr">
        <is>
          <t>100m</t>
        </is>
      </c>
      <c r="F186" s="8" t="n">
        <v>1</v>
      </c>
      <c r="G186" s="8" t="inlineStr"/>
      <c r="H186" s="8" t="inlineStr"/>
      <c r="I186" s="8" t="inlineStr"/>
    </row>
    <row r="187">
      <c r="A187" s="8" t="inlineStr"/>
      <c r="B187" s="8" t="inlineStr"/>
      <c r="C187" s="8" t="inlineStr">
        <is>
          <t>a) Vật liệu</t>
        </is>
      </c>
      <c r="E187" s="8" t="inlineStr"/>
      <c r="F187" s="8" t="inlineStr"/>
      <c r="G187" s="8" t="inlineStr"/>
      <c r="H187" s="8" t="inlineStr"/>
      <c r="I187" s="8" t="n">
        <v>27399625.9306242</v>
      </c>
    </row>
    <row r="188">
      <c r="A188" s="8" t="inlineStr"/>
      <c r="B188" s="8" t="inlineStr">
        <is>
          <t>A33.0463</t>
        </is>
      </c>
      <c r="C188" s="8" t="inlineStr">
        <is>
          <t>Ống đồng_D22.2_1.14mm</t>
        </is>
      </c>
      <c r="E188" s="8" t="inlineStr">
        <is>
          <t>m</t>
        </is>
      </c>
      <c r="F188" s="8" t="n">
        <v>100.5</v>
      </c>
      <c r="G188" s="8" t="n">
        <v>272200</v>
      </c>
      <c r="H188" s="8" t="n">
        <v>1</v>
      </c>
      <c r="I188" s="8" t="n">
        <v>27356100</v>
      </c>
    </row>
    <row r="189">
      <c r="A189" s="8" t="inlineStr"/>
      <c r="B189" s="8" t="inlineStr">
        <is>
          <t>A33.0113</t>
        </is>
      </c>
      <c r="C189" s="8" t="inlineStr">
        <is>
          <t>Que hàn đồng</t>
        </is>
      </c>
      <c r="E189" s="8" t="inlineStr">
        <is>
          <t>kg</t>
        </is>
      </c>
      <c r="F189" s="8" t="n">
        <v>0.159</v>
      </c>
      <c r="G189" s="8" t="n">
        <v>250000</v>
      </c>
      <c r="H189" s="8" t="n">
        <v>1</v>
      </c>
      <c r="I189" s="8" t="n">
        <v>39750</v>
      </c>
    </row>
    <row r="190">
      <c r="A190" s="8" t="inlineStr"/>
      <c r="B190" s="8" t="inlineStr">
        <is>
          <t>A33.0001</t>
        </is>
      </c>
      <c r="C190" s="8" t="inlineStr">
        <is>
          <t>Ô xy</t>
        </is>
      </c>
      <c r="E190" s="8" t="inlineStr">
        <is>
          <t>chai</t>
        </is>
      </c>
      <c r="F190" s="8" t="n">
        <v>0.007</v>
      </c>
      <c r="G190" s="8" t="n">
        <v>30000</v>
      </c>
      <c r="H190" s="8" t="n">
        <v>1</v>
      </c>
      <c r="I190" s="8" t="n">
        <v>210</v>
      </c>
    </row>
    <row r="191">
      <c r="A191" s="8" t="inlineStr"/>
      <c r="B191" s="8" t="inlineStr">
        <is>
          <t>A24.0931</t>
        </is>
      </c>
      <c r="C191" s="8" t="inlineStr">
        <is>
          <t>Khí gas</t>
        </is>
      </c>
      <c r="E191" s="8" t="inlineStr">
        <is>
          <t>kg</t>
        </is>
      </c>
      <c r="F191" s="8" t="n">
        <v>0.014</v>
      </c>
      <c r="G191" s="8" t="n">
        <v>37803</v>
      </c>
      <c r="H191" s="8" t="n">
        <v>1</v>
      </c>
      <c r="I191" s="8" t="n">
        <v>529.242</v>
      </c>
    </row>
    <row r="192">
      <c r="A192" s="8" t="inlineStr"/>
      <c r="B192" s="8" t="inlineStr">
        <is>
          <t>A33.0469</t>
        </is>
      </c>
      <c r="C192" s="8" t="inlineStr">
        <is>
          <t>Thuốc hàn</t>
        </is>
      </c>
      <c r="E192" s="8" t="inlineStr">
        <is>
          <t>kg</t>
        </is>
      </c>
      <c r="F192" s="8" t="n">
        <v>0.011</v>
      </c>
      <c r="G192" s="8" t="n">
        <v>27000</v>
      </c>
      <c r="H192" s="8" t="n">
        <v>1</v>
      </c>
      <c r="I192" s="8" t="n">
        <v>297</v>
      </c>
    </row>
    <row r="193">
      <c r="A193" s="8" t="inlineStr"/>
      <c r="B193" s="8" t="inlineStr">
        <is>
          <t>Z999</t>
        </is>
      </c>
      <c r="C193" s="8" t="inlineStr">
        <is>
          <t>Vật liệu khác</t>
        </is>
      </c>
      <c r="E193" s="8" t="inlineStr">
        <is>
          <t>%</t>
        </is>
      </c>
      <c r="F193" s="8" t="n">
        <v>0.01</v>
      </c>
      <c r="G193" s="8" t="n">
        <v>27396886.242</v>
      </c>
      <c r="H193" s="8" t="inlineStr"/>
      <c r="I193" s="8" t="n">
        <v>2739.6886242</v>
      </c>
    </row>
    <row r="194">
      <c r="A194" s="8" t="inlineStr"/>
      <c r="B194" s="8" t="inlineStr"/>
      <c r="C194" s="8" t="inlineStr">
        <is>
          <t>Cộng</t>
        </is>
      </c>
      <c r="E194" s="8" t="inlineStr"/>
      <c r="F194" s="8" t="inlineStr"/>
      <c r="G194" s="8" t="inlineStr"/>
      <c r="H194" s="8" t="inlineStr"/>
      <c r="I194" s="8" t="n">
        <v>27399625.9306242</v>
      </c>
    </row>
    <row r="195">
      <c r="A195" s="8" t="inlineStr"/>
      <c r="B195" s="8" t="inlineStr"/>
      <c r="C195" s="8" t="inlineStr">
        <is>
          <t>b) Nhân công</t>
        </is>
      </c>
      <c r="E195" s="8" t="inlineStr"/>
      <c r="F195" s="8" t="inlineStr"/>
      <c r="G195" s="8" t="inlineStr"/>
      <c r="H195" s="8" t="inlineStr"/>
      <c r="I195" s="8" t="n">
        <v>9850890</v>
      </c>
    </row>
    <row r="196">
      <c r="A196" s="8" t="inlineStr"/>
      <c r="B196" s="8" t="inlineStr">
        <is>
          <t>N3</t>
        </is>
      </c>
      <c r="C196" s="8" t="inlineStr">
        <is>
          <t>Nhân công nhóm 3</t>
        </is>
      </c>
      <c r="E196" s="8" t="inlineStr">
        <is>
          <t>công</t>
        </is>
      </c>
      <c r="F196" s="8" t="n">
        <v>23.07</v>
      </c>
      <c r="G196" s="8" t="n">
        <v>427000</v>
      </c>
      <c r="H196" s="8" t="n">
        <v>1</v>
      </c>
      <c r="I196" s="8" t="n">
        <v>9850890</v>
      </c>
    </row>
    <row r="197">
      <c r="A197" s="8" t="n">
        <v>7</v>
      </c>
      <c r="B197" s="11" t="inlineStr">
        <is>
          <t>BB.51008</t>
        </is>
      </c>
      <c r="C197" s="8" t="inlineStr">
        <is>
          <t>Ống đồng_D28.6_1.27mm</t>
        </is>
      </c>
      <c r="D197" s="12">
        <f>HYPERLINK("tt38://pl3/100", "👉 Phụ lục III - Trang 100 (Khớp nhóm BB.5100)")</f>
        <v/>
      </c>
      <c r="E197" s="8" t="inlineStr">
        <is>
          <t>100m</t>
        </is>
      </c>
      <c r="F197" s="8" t="n">
        <v>1</v>
      </c>
      <c r="G197" s="8" t="inlineStr"/>
      <c r="H197" s="8" t="inlineStr"/>
      <c r="I197" s="8" t="inlineStr"/>
    </row>
    <row r="198">
      <c r="A198" s="8" t="inlineStr"/>
      <c r="B198" s="8" t="inlineStr"/>
      <c r="C198" s="8" t="inlineStr">
        <is>
          <t>a) Vật liệu</t>
        </is>
      </c>
      <c r="E198" s="8" t="inlineStr"/>
      <c r="F198" s="8" t="inlineStr"/>
      <c r="G198" s="8" t="inlineStr"/>
      <c r="H198" s="8" t="inlineStr"/>
      <c r="I198" s="8" t="n">
        <v>39525486.213406</v>
      </c>
    </row>
    <row r="199">
      <c r="A199" s="8" t="inlineStr"/>
      <c r="B199" s="8" t="inlineStr">
        <is>
          <t>A33.0465</t>
        </is>
      </c>
      <c r="C199" s="8" t="inlineStr">
        <is>
          <t>Ống đồng_D28.6_1.27mm</t>
        </is>
      </c>
      <c r="E199" s="8" t="inlineStr">
        <is>
          <t>m</t>
        </is>
      </c>
      <c r="F199" s="8" t="n">
        <v>100.5</v>
      </c>
      <c r="G199" s="8" t="n">
        <v>392700</v>
      </c>
      <c r="H199" s="8" t="n">
        <v>1</v>
      </c>
      <c r="I199" s="8" t="n">
        <v>39466350</v>
      </c>
    </row>
    <row r="200">
      <c r="A200" s="8" t="inlineStr"/>
      <c r="B200" s="8" t="inlineStr">
        <is>
          <t>A33.0113</t>
        </is>
      </c>
      <c r="C200" s="8" t="inlineStr">
        <is>
          <t>Que hàn đồng</t>
        </is>
      </c>
      <c r="E200" s="8" t="inlineStr">
        <is>
          <t>kg</t>
        </is>
      </c>
      <c r="F200" s="8" t="n">
        <v>0.215</v>
      </c>
      <c r="G200" s="8" t="n">
        <v>250000</v>
      </c>
      <c r="H200" s="8" t="n">
        <v>1</v>
      </c>
      <c r="I200" s="8" t="n">
        <v>53750</v>
      </c>
    </row>
    <row r="201">
      <c r="A201" s="8" t="inlineStr"/>
      <c r="B201" s="8" t="inlineStr">
        <is>
          <t>A33.0001</t>
        </is>
      </c>
      <c r="C201" s="8" t="inlineStr">
        <is>
          <t>Ô xy</t>
        </is>
      </c>
      <c r="E201" s="8" t="inlineStr">
        <is>
          <t>chai</t>
        </is>
      </c>
      <c r="F201" s="8" t="n">
        <v>0.01</v>
      </c>
      <c r="G201" s="8" t="n">
        <v>30000</v>
      </c>
      <c r="H201" s="8" t="n">
        <v>1</v>
      </c>
      <c r="I201" s="8" t="n">
        <v>300</v>
      </c>
    </row>
    <row r="202">
      <c r="A202" s="8" t="inlineStr"/>
      <c r="B202" s="8" t="inlineStr">
        <is>
          <t>A24.0931</t>
        </is>
      </c>
      <c r="C202" s="8" t="inlineStr">
        <is>
          <t>Khí gas</t>
        </is>
      </c>
      <c r="E202" s="8" t="inlineStr">
        <is>
          <t>kg</t>
        </is>
      </c>
      <c r="F202" s="8" t="n">
        <v>0.02</v>
      </c>
      <c r="G202" s="8" t="n">
        <v>37803</v>
      </c>
      <c r="H202" s="8" t="n">
        <v>1</v>
      </c>
      <c r="I202" s="8" t="n">
        <v>756.0600000000001</v>
      </c>
    </row>
    <row r="203">
      <c r="A203" s="8" t="inlineStr"/>
      <c r="B203" s="8" t="inlineStr">
        <is>
          <t>A33.0469</t>
        </is>
      </c>
      <c r="C203" s="8" t="inlineStr">
        <is>
          <t>Thuốc hàn</t>
        </is>
      </c>
      <c r="E203" s="8" t="inlineStr">
        <is>
          <t>kg</t>
        </is>
      </c>
      <c r="F203" s="8" t="n">
        <v>0.014</v>
      </c>
      <c r="G203" s="8" t="n">
        <v>27000</v>
      </c>
      <c r="H203" s="8" t="n">
        <v>1</v>
      </c>
      <c r="I203" s="8" t="n">
        <v>378</v>
      </c>
    </row>
    <row r="204">
      <c r="A204" s="8" t="inlineStr"/>
      <c r="B204" s="8" t="inlineStr">
        <is>
          <t>Z999</t>
        </is>
      </c>
      <c r="C204" s="8" t="inlineStr">
        <is>
          <t>Vật liệu khác</t>
        </is>
      </c>
      <c r="E204" s="8" t="inlineStr">
        <is>
          <t>%</t>
        </is>
      </c>
      <c r="F204" s="8" t="n">
        <v>0.01</v>
      </c>
      <c r="G204" s="8" t="n">
        <v>39521534.06</v>
      </c>
      <c r="H204" s="8" t="inlineStr"/>
      <c r="I204" s="8" t="n">
        <v>3952.153406</v>
      </c>
    </row>
    <row r="205">
      <c r="A205" s="8" t="inlineStr"/>
      <c r="B205" s="8" t="inlineStr"/>
      <c r="C205" s="8" t="inlineStr">
        <is>
          <t>Cộng</t>
        </is>
      </c>
      <c r="E205" s="8" t="inlineStr"/>
      <c r="F205" s="8" t="inlineStr"/>
      <c r="G205" s="8" t="inlineStr"/>
      <c r="H205" s="8" t="inlineStr"/>
      <c r="I205" s="8" t="n">
        <v>39525486.213406</v>
      </c>
    </row>
    <row r="206">
      <c r="A206" s="8" t="inlineStr"/>
      <c r="B206" s="8" t="inlineStr"/>
      <c r="C206" s="8" t="inlineStr">
        <is>
          <t>b) Nhân công</t>
        </is>
      </c>
      <c r="E206" s="8" t="inlineStr"/>
      <c r="F206" s="8" t="inlineStr"/>
      <c r="G206" s="8" t="inlineStr"/>
      <c r="H206" s="8" t="inlineStr"/>
      <c r="I206" s="8" t="n">
        <v>10320590</v>
      </c>
    </row>
    <row r="207">
      <c r="A207" s="8" t="inlineStr"/>
      <c r="B207" s="8" t="inlineStr">
        <is>
          <t>N3</t>
        </is>
      </c>
      <c r="C207" s="8" t="inlineStr">
        <is>
          <t>Nhân công nhóm 3</t>
        </is>
      </c>
      <c r="E207" s="8" t="inlineStr">
        <is>
          <t>công</t>
        </is>
      </c>
      <c r="F207" s="8" t="n">
        <v>24.17</v>
      </c>
      <c r="G207" s="8" t="n">
        <v>427000</v>
      </c>
      <c r="H207" s="8" t="n">
        <v>1</v>
      </c>
      <c r="I207" s="8" t="n">
        <v>10320590</v>
      </c>
    </row>
    <row r="208">
      <c r="A208" s="8" t="n">
        <v>8</v>
      </c>
      <c r="B208" s="11" t="inlineStr">
        <is>
          <t>BB.51010</t>
        </is>
      </c>
      <c r="C208" s="8" t="inlineStr">
        <is>
          <t>Ống đồng_D34.9_1.40mm</t>
        </is>
      </c>
      <c r="D208" s="12">
        <f>HYPERLINK("tt38://pl3/100", "👉 Phụ lục III - Trang 100 (Khớp nhóm BB.510)")</f>
        <v/>
      </c>
      <c r="E208" s="8" t="inlineStr">
        <is>
          <t>100m</t>
        </is>
      </c>
      <c r="F208" s="8" t="n">
        <v>1</v>
      </c>
      <c r="G208" s="8" t="inlineStr"/>
      <c r="H208" s="8" t="inlineStr"/>
      <c r="I208" s="8" t="inlineStr"/>
    </row>
    <row r="209">
      <c r="A209" s="8" t="inlineStr"/>
      <c r="B209" s="8" t="inlineStr"/>
      <c r="C209" s="8" t="inlineStr">
        <is>
          <t>a) Vật liệu</t>
        </is>
      </c>
      <c r="E209" s="8" t="inlineStr"/>
      <c r="F209" s="8" t="inlineStr"/>
      <c r="G209" s="8" t="inlineStr"/>
      <c r="H209" s="8" t="inlineStr"/>
      <c r="I209" s="8" t="n">
        <v>53498375.5746272</v>
      </c>
    </row>
    <row r="210">
      <c r="A210" s="8" t="inlineStr"/>
      <c r="B210" s="8" t="inlineStr">
        <is>
          <t>A33.0467</t>
        </is>
      </c>
      <c r="C210" s="8" t="inlineStr">
        <is>
          <t>Ống đồng_D34.9_1.40mm</t>
        </is>
      </c>
      <c r="E210" s="8" t="inlineStr">
        <is>
          <t>m</t>
        </is>
      </c>
      <c r="F210" s="8" t="n">
        <v>100.5</v>
      </c>
      <c r="G210" s="8" t="n">
        <v>531600</v>
      </c>
      <c r="H210" s="8" t="n">
        <v>1</v>
      </c>
      <c r="I210" s="8" t="n">
        <v>53425800</v>
      </c>
    </row>
    <row r="211">
      <c r="A211" s="8" t="inlineStr"/>
      <c r="B211" s="8" t="inlineStr">
        <is>
          <t>A33.0113</t>
        </is>
      </c>
      <c r="C211" s="8" t="inlineStr">
        <is>
          <t>Que hàn đồng</t>
        </is>
      </c>
      <c r="E211" s="8" t="inlineStr">
        <is>
          <t>kg</t>
        </is>
      </c>
      <c r="F211" s="8" t="n">
        <v>0.262</v>
      </c>
      <c r="G211" s="8" t="n">
        <v>250000</v>
      </c>
      <c r="H211" s="8" t="n">
        <v>1</v>
      </c>
      <c r="I211" s="8" t="n">
        <v>65500</v>
      </c>
    </row>
    <row r="212">
      <c r="A212" s="8" t="inlineStr"/>
      <c r="B212" s="8" t="inlineStr">
        <is>
          <t>A33.0001</t>
        </is>
      </c>
      <c r="C212" s="8" t="inlineStr">
        <is>
          <t>Ô xy</t>
        </is>
      </c>
      <c r="E212" s="8" t="inlineStr">
        <is>
          <t>chai</t>
        </is>
      </c>
      <c r="F212" s="8" t="n">
        <v>0.012</v>
      </c>
      <c r="G212" s="8" t="n">
        <v>30000</v>
      </c>
      <c r="H212" s="8" t="n">
        <v>1</v>
      </c>
      <c r="I212" s="8" t="n">
        <v>360</v>
      </c>
    </row>
    <row r="213">
      <c r="A213" s="8" t="inlineStr"/>
      <c r="B213" s="8" t="inlineStr">
        <is>
          <t>A24.0931</t>
        </is>
      </c>
      <c r="C213" s="8" t="inlineStr">
        <is>
          <t>Khí gas</t>
        </is>
      </c>
      <c r="E213" s="8" t="inlineStr">
        <is>
          <t>kg</t>
        </is>
      </c>
      <c r="F213" s="8" t="n">
        <v>0.024</v>
      </c>
      <c r="G213" s="8" t="n">
        <v>37803</v>
      </c>
      <c r="H213" s="8" t="n">
        <v>1</v>
      </c>
      <c r="I213" s="8" t="n">
        <v>907.272</v>
      </c>
    </row>
    <row r="214">
      <c r="A214" s="8" t="inlineStr"/>
      <c r="B214" s="8" t="inlineStr">
        <is>
          <t>A33.0469</t>
        </is>
      </c>
      <c r="C214" s="8" t="inlineStr">
        <is>
          <t>Thuốc hàn</t>
        </is>
      </c>
      <c r="E214" s="8" t="inlineStr">
        <is>
          <t>kg</t>
        </is>
      </c>
      <c r="F214" s="8" t="n">
        <v>0.017</v>
      </c>
      <c r="G214" s="8" t="n">
        <v>27000</v>
      </c>
      <c r="H214" s="8" t="n">
        <v>1</v>
      </c>
      <c r="I214" s="8" t="n">
        <v>459.0000000000001</v>
      </c>
    </row>
    <row r="215">
      <c r="A215" s="8" t="inlineStr"/>
      <c r="B215" s="8" t="inlineStr">
        <is>
          <t>Z999</t>
        </is>
      </c>
      <c r="C215" s="8" t="inlineStr">
        <is>
          <t>Vật liệu khác</t>
        </is>
      </c>
      <c r="E215" s="8" t="inlineStr">
        <is>
          <t>%</t>
        </is>
      </c>
      <c r="F215" s="8" t="n">
        <v>0.01</v>
      </c>
      <c r="G215" s="8" t="n">
        <v>53493026.272</v>
      </c>
      <c r="H215" s="8" t="inlineStr"/>
      <c r="I215" s="8" t="n">
        <v>5349.3026272</v>
      </c>
    </row>
    <row r="216">
      <c r="A216" s="8" t="inlineStr"/>
      <c r="B216" s="8" t="inlineStr"/>
      <c r="C216" s="8" t="inlineStr">
        <is>
          <t>Cộng</t>
        </is>
      </c>
      <c r="E216" s="8" t="inlineStr"/>
      <c r="F216" s="8" t="inlineStr"/>
      <c r="G216" s="8" t="inlineStr"/>
      <c r="H216" s="8" t="inlineStr"/>
      <c r="I216" s="8" t="n">
        <v>53498375.5746272</v>
      </c>
    </row>
    <row r="217">
      <c r="A217" s="8" t="inlineStr"/>
      <c r="B217" s="8" t="inlineStr"/>
      <c r="C217" s="8" t="inlineStr">
        <is>
          <t>b) Nhân công</t>
        </is>
      </c>
      <c r="E217" s="8" t="inlineStr"/>
      <c r="F217" s="8" t="inlineStr"/>
      <c r="G217" s="8" t="inlineStr"/>
      <c r="H217" s="8" t="inlineStr"/>
      <c r="I217" s="8" t="n">
        <v>10747590</v>
      </c>
    </row>
    <row r="218">
      <c r="A218" s="8" t="inlineStr"/>
      <c r="B218" s="8" t="inlineStr">
        <is>
          <t>N3</t>
        </is>
      </c>
      <c r="C218" s="8" t="inlineStr">
        <is>
          <t>Nhân công nhóm 3</t>
        </is>
      </c>
      <c r="E218" s="8" t="inlineStr">
        <is>
          <t>công</t>
        </is>
      </c>
      <c r="F218" s="8" t="n">
        <v>25.17</v>
      </c>
      <c r="G218" s="8" t="n">
        <v>427000</v>
      </c>
      <c r="H218" s="8" t="n">
        <v>1</v>
      </c>
      <c r="I218" s="8" t="n">
        <v>10747590</v>
      </c>
    </row>
    <row r="219">
      <c r="A219" s="8" t="n">
        <v>9</v>
      </c>
      <c r="B219" s="11" t="inlineStr">
        <is>
          <t>BB.51012</t>
        </is>
      </c>
      <c r="C219" s="8" t="inlineStr">
        <is>
          <t>Ống đồng_D41.3_1.53mm</t>
        </is>
      </c>
      <c r="D219" s="12">
        <f>HYPERLINK("tt38://pl3/100", "👉 Phụ lục III - Trang 100 (Khớp nhóm BB.510)")</f>
        <v/>
      </c>
      <c r="E219" s="8" t="inlineStr">
        <is>
          <t>100m</t>
        </is>
      </c>
      <c r="F219" s="8" t="n">
        <v>1</v>
      </c>
      <c r="G219" s="8" t="inlineStr"/>
      <c r="H219" s="8" t="inlineStr"/>
      <c r="I219" s="8" t="inlineStr"/>
    </row>
    <row r="220">
      <c r="A220" s="8" t="inlineStr"/>
      <c r="B220" s="8" t="inlineStr"/>
      <c r="C220" s="8" t="inlineStr">
        <is>
          <t>a) Vật liệu</t>
        </is>
      </c>
      <c r="E220" s="8" t="inlineStr"/>
      <c r="F220" s="8" t="inlineStr"/>
      <c r="G220" s="8" t="inlineStr"/>
      <c r="H220" s="8" t="inlineStr"/>
      <c r="I220" s="8" t="n">
        <v>68855447.73428781</v>
      </c>
    </row>
    <row r="221">
      <c r="A221" s="8" t="inlineStr"/>
      <c r="B221" s="8" t="inlineStr">
        <is>
          <t>A33.0471</t>
        </is>
      </c>
      <c r="C221" s="8" t="inlineStr">
        <is>
          <t>Ống đồng_D41.3_1.53mm</t>
        </is>
      </c>
      <c r="E221" s="8" t="inlineStr">
        <is>
          <t>m</t>
        </is>
      </c>
      <c r="F221" s="8" t="n">
        <v>100.5</v>
      </c>
      <c r="G221" s="8" t="n">
        <v>684300</v>
      </c>
      <c r="H221" s="8" t="n">
        <v>1</v>
      </c>
      <c r="I221" s="8" t="n">
        <v>68772150</v>
      </c>
    </row>
    <row r="222">
      <c r="A222" s="8" t="inlineStr"/>
      <c r="B222" s="8" t="inlineStr">
        <is>
          <t>A33.0113</t>
        </is>
      </c>
      <c r="C222" s="8" t="inlineStr">
        <is>
          <t>Que hàn đồng</t>
        </is>
      </c>
      <c r="E222" s="8" t="inlineStr">
        <is>
          <t>kg</t>
        </is>
      </c>
      <c r="F222" s="8" t="n">
        <v>0.298</v>
      </c>
      <c r="G222" s="8" t="n">
        <v>250000</v>
      </c>
      <c r="H222" s="8" t="n">
        <v>1</v>
      </c>
      <c r="I222" s="8" t="n">
        <v>74500</v>
      </c>
    </row>
    <row r="223">
      <c r="A223" s="8" t="inlineStr"/>
      <c r="B223" s="8" t="inlineStr">
        <is>
          <t>A33.0001</t>
        </is>
      </c>
      <c r="C223" s="8" t="inlineStr">
        <is>
          <t>Ô xy</t>
        </is>
      </c>
      <c r="E223" s="8" t="inlineStr">
        <is>
          <t>chai</t>
        </is>
      </c>
      <c r="F223" s="8" t="n">
        <v>0.013</v>
      </c>
      <c r="G223" s="8" t="n">
        <v>30000</v>
      </c>
      <c r="H223" s="8" t="n">
        <v>1</v>
      </c>
      <c r="I223" s="8" t="n">
        <v>390</v>
      </c>
    </row>
    <row r="224">
      <c r="A224" s="8" t="inlineStr"/>
      <c r="B224" s="8" t="inlineStr">
        <is>
          <t>A24.0931</t>
        </is>
      </c>
      <c r="C224" s="8" t="inlineStr">
        <is>
          <t>Khí gas</t>
        </is>
      </c>
      <c r="E224" s="8" t="inlineStr">
        <is>
          <t>kg</t>
        </is>
      </c>
      <c r="F224" s="8" t="n">
        <v>0.026</v>
      </c>
      <c r="G224" s="8" t="n">
        <v>37803</v>
      </c>
      <c r="H224" s="8" t="n">
        <v>1</v>
      </c>
      <c r="I224" s="8" t="n">
        <v>982.8779999999999</v>
      </c>
    </row>
    <row r="225">
      <c r="A225" s="8" t="inlineStr"/>
      <c r="B225" s="8" t="inlineStr">
        <is>
          <t>A33.0469</t>
        </is>
      </c>
      <c r="C225" s="8" t="inlineStr">
        <is>
          <t>Thuốc hàn</t>
        </is>
      </c>
      <c r="E225" s="8" t="inlineStr">
        <is>
          <t>kg</t>
        </is>
      </c>
      <c r="F225" s="8" t="n">
        <v>0.02</v>
      </c>
      <c r="G225" s="8" t="n">
        <v>27000</v>
      </c>
      <c r="H225" s="8" t="n">
        <v>1</v>
      </c>
      <c r="I225" s="8" t="n">
        <v>540</v>
      </c>
    </row>
    <row r="226">
      <c r="A226" s="8" t="inlineStr"/>
      <c r="B226" s="8" t="inlineStr">
        <is>
          <t>Z999</t>
        </is>
      </c>
      <c r="C226" s="8" t="inlineStr">
        <is>
          <t>Vật liệu khác</t>
        </is>
      </c>
      <c r="E226" s="8" t="inlineStr">
        <is>
          <t>%</t>
        </is>
      </c>
      <c r="F226" s="8" t="n">
        <v>0.01</v>
      </c>
      <c r="G226" s="8" t="n">
        <v>68848562.87800001</v>
      </c>
      <c r="H226" s="8" t="inlineStr"/>
      <c r="I226" s="8" t="n">
        <v>6884.8562878</v>
      </c>
    </row>
    <row r="227">
      <c r="A227" s="8" t="inlineStr"/>
      <c r="B227" s="8" t="inlineStr"/>
      <c r="C227" s="8" t="inlineStr">
        <is>
          <t>Cộng</t>
        </is>
      </c>
      <c r="E227" s="8" t="inlineStr"/>
      <c r="F227" s="8" t="inlineStr"/>
      <c r="G227" s="8" t="inlineStr"/>
      <c r="H227" s="8" t="inlineStr"/>
      <c r="I227" s="8" t="n">
        <v>68855447.73428781</v>
      </c>
    </row>
    <row r="228">
      <c r="A228" s="8" t="inlineStr"/>
      <c r="B228" s="8" t="inlineStr"/>
      <c r="C228" s="8" t="inlineStr">
        <is>
          <t>b) Nhân công</t>
        </is>
      </c>
      <c r="E228" s="8" t="inlineStr"/>
      <c r="F228" s="8" t="inlineStr"/>
      <c r="G228" s="8" t="inlineStr"/>
      <c r="H228" s="8" t="inlineStr"/>
      <c r="I228" s="8" t="n">
        <v>11622940</v>
      </c>
    </row>
    <row r="229">
      <c r="A229" s="8" t="inlineStr"/>
      <c r="B229" s="8" t="inlineStr">
        <is>
          <t>N3</t>
        </is>
      </c>
      <c r="C229" s="8" t="inlineStr">
        <is>
          <t>Nhân công nhóm 3</t>
        </is>
      </c>
      <c r="E229" s="8" t="inlineStr">
        <is>
          <t>công</t>
        </is>
      </c>
      <c r="F229" s="8" t="n">
        <v>27.22</v>
      </c>
      <c r="G229" s="8" t="n">
        <v>427000</v>
      </c>
      <c r="H229" s="8" t="n">
        <v>1</v>
      </c>
      <c r="I229" s="8" t="n">
        <v>11622940</v>
      </c>
    </row>
    <row r="230">
      <c r="A230" s="8" t="n">
        <v>10</v>
      </c>
      <c r="B230" s="11" t="inlineStr">
        <is>
          <t>BC.14101</t>
        </is>
      </c>
      <c r="C230" s="8" t="inlineStr">
        <is>
          <t>Bảo ôn ống đồng D6.4 dày 19mm</t>
        </is>
      </c>
      <c r="D230" s="12">
        <f>HYPERLINK("tt38://pl3/212", "👉 Phụ lục III - Trang 212 (Khớp nhóm BC.1410)")</f>
        <v/>
      </c>
      <c r="E230" s="8" t="inlineStr">
        <is>
          <t>100m</t>
        </is>
      </c>
      <c r="F230" s="8" t="n">
        <v>1</v>
      </c>
      <c r="G230" s="8" t="inlineStr"/>
      <c r="H230" s="8" t="inlineStr"/>
      <c r="I230" s="8" t="inlineStr"/>
    </row>
    <row r="231">
      <c r="A231" s="8" t="inlineStr"/>
      <c r="B231" s="8" t="inlineStr"/>
      <c r="C231" s="8" t="inlineStr">
        <is>
          <t>a) Vật liệu</t>
        </is>
      </c>
      <c r="E231" s="8" t="inlineStr"/>
      <c r="F231" s="8" t="inlineStr"/>
      <c r="G231" s="8" t="inlineStr"/>
      <c r="H231" s="8" t="inlineStr"/>
      <c r="I231" s="8" t="n">
        <v>1889588.94</v>
      </c>
    </row>
    <row r="232">
      <c r="A232" s="8" t="inlineStr"/>
      <c r="B232" s="8" t="inlineStr">
        <is>
          <t>A33.085201</t>
        </is>
      </c>
      <c r="C232" s="8" t="inlineStr">
        <is>
          <t>Bảo ôn ống đồng D6.4 dày 19mm</t>
        </is>
      </c>
      <c r="E232" s="8" t="inlineStr">
        <is>
          <t>m</t>
        </is>
      </c>
      <c r="F232" s="8" t="n">
        <v>100.5</v>
      </c>
      <c r="G232" s="8" t="n">
        <v>17600</v>
      </c>
      <c r="H232" s="8" t="n">
        <v>1</v>
      </c>
      <c r="I232" s="8" t="n">
        <v>1768800</v>
      </c>
    </row>
    <row r="233">
      <c r="A233" s="8" t="inlineStr"/>
      <c r="B233" s="8" t="inlineStr">
        <is>
          <t>A33.1143</t>
        </is>
      </c>
      <c r="C233" s="8" t="inlineStr">
        <is>
          <t>Băng cuốn bảo ôn</t>
        </is>
      </c>
      <c r="E233" s="8" t="inlineStr">
        <is>
          <t>cuộn</t>
        </is>
      </c>
      <c r="F233" s="8" t="n">
        <v>8.039999999999999</v>
      </c>
      <c r="G233" s="8" t="n">
        <v>15000</v>
      </c>
      <c r="H233" s="8" t="n">
        <v>1</v>
      </c>
      <c r="I233" s="8" t="n">
        <v>120600</v>
      </c>
    </row>
    <row r="234">
      <c r="A234" s="8" t="inlineStr"/>
      <c r="B234" s="8" t="inlineStr">
        <is>
          <t>Z999</t>
        </is>
      </c>
      <c r="C234" s="8" t="inlineStr">
        <is>
          <t>Vật liệu khác</t>
        </is>
      </c>
      <c r="E234" s="8" t="inlineStr">
        <is>
          <t>%</t>
        </is>
      </c>
      <c r="F234" s="8" t="n">
        <v>0.01</v>
      </c>
      <c r="G234" s="8" t="n">
        <v>1889400</v>
      </c>
      <c r="H234" s="8" t="inlineStr"/>
      <c r="I234" s="8" t="n">
        <v>188.94</v>
      </c>
    </row>
    <row r="235">
      <c r="A235" s="8" t="inlineStr"/>
      <c r="B235" s="8" t="inlineStr"/>
      <c r="C235" s="8" t="inlineStr">
        <is>
          <t>Cộng</t>
        </is>
      </c>
      <c r="E235" s="8" t="inlineStr"/>
      <c r="F235" s="8" t="inlineStr"/>
      <c r="G235" s="8" t="inlineStr"/>
      <c r="H235" s="8" t="inlineStr"/>
      <c r="I235" s="8" t="n">
        <v>1889588.94</v>
      </c>
    </row>
    <row r="236">
      <c r="A236" s="8" t="inlineStr"/>
      <c r="B236" s="8" t="inlineStr"/>
      <c r="C236" s="8" t="inlineStr">
        <is>
          <t>b) Nhân công</t>
        </is>
      </c>
      <c r="E236" s="8" t="inlineStr"/>
      <c r="F236" s="8" t="inlineStr"/>
      <c r="G236" s="8" t="inlineStr"/>
      <c r="H236" s="8" t="inlineStr"/>
      <c r="I236" s="8" t="n">
        <v>1942850</v>
      </c>
    </row>
    <row r="237">
      <c r="A237" s="8" t="inlineStr"/>
      <c r="B237" s="8" t="inlineStr">
        <is>
          <t>N3</t>
        </is>
      </c>
      <c r="C237" s="8" t="inlineStr">
        <is>
          <t>Nhân công nhóm 3</t>
        </is>
      </c>
      <c r="E237" s="8" t="inlineStr">
        <is>
          <t>công</t>
        </is>
      </c>
      <c r="F237" s="8" t="n">
        <v>4.55</v>
      </c>
      <c r="G237" s="8" t="n">
        <v>427000</v>
      </c>
      <c r="H237" s="8" t="n">
        <v>1</v>
      </c>
      <c r="I237" s="8" t="n">
        <v>1942850</v>
      </c>
    </row>
    <row r="238">
      <c r="A238" s="8" t="n">
        <v>11</v>
      </c>
      <c r="B238" s="11" t="inlineStr">
        <is>
          <t>BC.14102</t>
        </is>
      </c>
      <c r="C238" s="8" t="inlineStr">
        <is>
          <t>Bảo ôn ống đồng D9.5 dày 19mm</t>
        </is>
      </c>
      <c r="D238" s="12">
        <f>HYPERLINK("tt38://pl3/212", "👉 Phụ lục III - Trang 212 (Khớp nhóm BC.1410)")</f>
        <v/>
      </c>
      <c r="E238" s="8" t="inlineStr">
        <is>
          <t>100m</t>
        </is>
      </c>
      <c r="F238" s="8" t="n">
        <v>1</v>
      </c>
      <c r="G238" s="8" t="inlineStr"/>
      <c r="H238" s="8" t="inlineStr"/>
      <c r="I238" s="8" t="inlineStr"/>
    </row>
    <row r="239">
      <c r="A239" s="8" t="inlineStr"/>
      <c r="B239" s="8" t="inlineStr"/>
      <c r="C239" s="8" t="inlineStr">
        <is>
          <t>a) Vật liệu</t>
        </is>
      </c>
      <c r="E239" s="8" t="inlineStr"/>
      <c r="F239" s="8" t="inlineStr"/>
      <c r="G239" s="8" t="inlineStr"/>
      <c r="H239" s="8" t="inlineStr"/>
      <c r="I239" s="8" t="n">
        <v>2038403.82</v>
      </c>
    </row>
    <row r="240">
      <c r="A240" s="8" t="inlineStr"/>
      <c r="B240" s="8" t="inlineStr">
        <is>
          <t>A33.085202</t>
        </is>
      </c>
      <c r="C240" s="8" t="inlineStr">
        <is>
          <t>Bảo ôn ống đồng D9.5 dày 19mm</t>
        </is>
      </c>
      <c r="E240" s="8" t="inlineStr">
        <is>
          <t>m</t>
        </is>
      </c>
      <c r="F240" s="8" t="n">
        <v>100.5</v>
      </c>
      <c r="G240" s="8" t="n">
        <v>18500</v>
      </c>
      <c r="H240" s="8" t="n">
        <v>1</v>
      </c>
      <c r="I240" s="8" t="n">
        <v>1859250</v>
      </c>
    </row>
    <row r="241">
      <c r="A241" s="8" t="inlineStr"/>
      <c r="B241" s="8" t="inlineStr">
        <is>
          <t>A33.1143</t>
        </is>
      </c>
      <c r="C241" s="8" t="inlineStr">
        <is>
          <t>Băng cuốn bảo ôn</t>
        </is>
      </c>
      <c r="E241" s="8" t="inlineStr">
        <is>
          <t>cuộn</t>
        </is>
      </c>
      <c r="F241" s="8" t="n">
        <v>11.93</v>
      </c>
      <c r="G241" s="8" t="n">
        <v>15000</v>
      </c>
      <c r="H241" s="8" t="n">
        <v>1</v>
      </c>
      <c r="I241" s="8" t="n">
        <v>178950</v>
      </c>
    </row>
    <row r="242">
      <c r="A242" s="8" t="inlineStr"/>
      <c r="B242" s="8" t="inlineStr">
        <is>
          <t>Z999</t>
        </is>
      </c>
      <c r="C242" s="8" t="inlineStr">
        <is>
          <t>Vật liệu khác</t>
        </is>
      </c>
      <c r="E242" s="8" t="inlineStr">
        <is>
          <t>%</t>
        </is>
      </c>
      <c r="F242" s="8" t="n">
        <v>0.01</v>
      </c>
      <c r="G242" s="8" t="n">
        <v>2038200</v>
      </c>
      <c r="H242" s="8" t="inlineStr"/>
      <c r="I242" s="8" t="n">
        <v>203.82</v>
      </c>
    </row>
    <row r="243">
      <c r="A243" s="8" t="inlineStr"/>
      <c r="B243" s="8" t="inlineStr"/>
      <c r="C243" s="8" t="inlineStr">
        <is>
          <t>Cộng</t>
        </is>
      </c>
      <c r="E243" s="8" t="inlineStr"/>
      <c r="F243" s="8" t="inlineStr"/>
      <c r="G243" s="8" t="inlineStr"/>
      <c r="H243" s="8" t="inlineStr"/>
      <c r="I243" s="8" t="n">
        <v>2038403.82</v>
      </c>
    </row>
    <row r="244">
      <c r="A244" s="8" t="inlineStr"/>
      <c r="B244" s="8" t="inlineStr"/>
      <c r="C244" s="8" t="inlineStr">
        <is>
          <t>b) Nhân công</t>
        </is>
      </c>
      <c r="E244" s="8" t="inlineStr"/>
      <c r="F244" s="8" t="inlineStr"/>
      <c r="G244" s="8" t="inlineStr"/>
      <c r="H244" s="8" t="inlineStr"/>
      <c r="I244" s="8" t="n">
        <v>2036790</v>
      </c>
    </row>
    <row r="245">
      <c r="A245" s="8" t="inlineStr"/>
      <c r="B245" s="8" t="inlineStr">
        <is>
          <t>N3</t>
        </is>
      </c>
      <c r="C245" s="8" t="inlineStr">
        <is>
          <t>Nhân công nhóm 3</t>
        </is>
      </c>
      <c r="E245" s="8" t="inlineStr">
        <is>
          <t>công</t>
        </is>
      </c>
      <c r="F245" s="8" t="n">
        <v>4.77</v>
      </c>
      <c r="G245" s="8" t="n">
        <v>427000</v>
      </c>
      <c r="H245" s="8" t="n">
        <v>1</v>
      </c>
      <c r="I245" s="8" t="n">
        <v>2036790</v>
      </c>
    </row>
    <row r="246">
      <c r="A246" s="8" t="n">
        <v>12</v>
      </c>
      <c r="B246" s="11" t="inlineStr">
        <is>
          <t>BC.14103</t>
        </is>
      </c>
      <c r="C246" s="8" t="inlineStr">
        <is>
          <t>Bảo ôn ống đồng D12.7 dày 19mm</t>
        </is>
      </c>
      <c r="D246" s="12">
        <f>HYPERLINK("tt38://pl3/212", "👉 Phụ lục III - Trang 212 (Khớp nhóm BC.1410)")</f>
        <v/>
      </c>
      <c r="E246" s="8" t="inlineStr">
        <is>
          <t>100m</t>
        </is>
      </c>
      <c r="F246" s="8" t="n">
        <v>1</v>
      </c>
      <c r="G246" s="8" t="inlineStr"/>
      <c r="H246" s="8" t="inlineStr"/>
      <c r="I246" s="8" t="inlineStr"/>
    </row>
    <row r="247">
      <c r="A247" s="8" t="inlineStr"/>
      <c r="B247" s="8" t="inlineStr"/>
      <c r="C247" s="8" t="inlineStr">
        <is>
          <t>a) Vật liệu</t>
        </is>
      </c>
      <c r="E247" s="8" t="inlineStr"/>
      <c r="F247" s="8" t="inlineStr"/>
      <c r="G247" s="8" t="inlineStr"/>
      <c r="H247" s="8" t="inlineStr"/>
      <c r="I247" s="8" t="n">
        <v>2349984.975</v>
      </c>
    </row>
    <row r="248">
      <c r="A248" s="8" t="inlineStr"/>
      <c r="B248" s="8" t="inlineStr">
        <is>
          <t>A33.085203</t>
        </is>
      </c>
      <c r="C248" s="8" t="inlineStr">
        <is>
          <t>Bảo ôn ống đồng D12.7 dày 19mm</t>
        </is>
      </c>
      <c r="E248" s="8" t="inlineStr">
        <is>
          <t>m</t>
        </is>
      </c>
      <c r="F248" s="8" t="n">
        <v>100.5</v>
      </c>
      <c r="G248" s="8" t="n">
        <v>21000</v>
      </c>
      <c r="H248" s="8" t="n">
        <v>1</v>
      </c>
      <c r="I248" s="8" t="n">
        <v>2110500</v>
      </c>
    </row>
    <row r="249">
      <c r="A249" s="8" t="inlineStr"/>
      <c r="B249" s="8" t="inlineStr">
        <is>
          <t>A33.1143</t>
        </is>
      </c>
      <c r="C249" s="8" t="inlineStr">
        <is>
          <t>Băng cuốn bảo ôn</t>
        </is>
      </c>
      <c r="E249" s="8" t="inlineStr">
        <is>
          <t>cuộn</t>
        </is>
      </c>
      <c r="F249" s="8" t="n">
        <v>15.95</v>
      </c>
      <c r="G249" s="8" t="n">
        <v>15000</v>
      </c>
      <c r="H249" s="8" t="n">
        <v>1</v>
      </c>
      <c r="I249" s="8" t="n">
        <v>239250</v>
      </c>
    </row>
    <row r="250">
      <c r="A250" s="8" t="inlineStr"/>
      <c r="B250" s="8" t="inlineStr">
        <is>
          <t>Z999</t>
        </is>
      </c>
      <c r="C250" s="8" t="inlineStr">
        <is>
          <t>Vật liệu khác</t>
        </is>
      </c>
      <c r="E250" s="8" t="inlineStr">
        <is>
          <t>%</t>
        </is>
      </c>
      <c r="F250" s="8" t="n">
        <v>0.01</v>
      </c>
      <c r="G250" s="8" t="n">
        <v>2349750</v>
      </c>
      <c r="H250" s="8" t="inlineStr"/>
      <c r="I250" s="8" t="n">
        <v>234.975</v>
      </c>
    </row>
    <row r="251">
      <c r="A251" s="8" t="inlineStr"/>
      <c r="B251" s="8" t="inlineStr"/>
      <c r="C251" s="8" t="inlineStr">
        <is>
          <t>Cộng</t>
        </is>
      </c>
      <c r="E251" s="8" t="inlineStr"/>
      <c r="F251" s="8" t="inlineStr"/>
      <c r="G251" s="8" t="inlineStr"/>
      <c r="H251" s="8" t="inlineStr"/>
      <c r="I251" s="8" t="n">
        <v>2349984.975</v>
      </c>
    </row>
    <row r="252">
      <c r="A252" s="8" t="inlineStr"/>
      <c r="B252" s="8" t="inlineStr"/>
      <c r="C252" s="8" t="inlineStr">
        <is>
          <t>b) Nhân công</t>
        </is>
      </c>
      <c r="E252" s="8" t="inlineStr"/>
      <c r="F252" s="8" t="inlineStr"/>
      <c r="G252" s="8" t="inlineStr"/>
      <c r="H252" s="8" t="inlineStr"/>
      <c r="I252" s="8" t="n">
        <v>2143540</v>
      </c>
    </row>
    <row r="253">
      <c r="A253" s="8" t="inlineStr"/>
      <c r="B253" s="8" t="inlineStr">
        <is>
          <t>N3</t>
        </is>
      </c>
      <c r="C253" s="8" t="inlineStr">
        <is>
          <t>Nhân công nhóm 3</t>
        </is>
      </c>
      <c r="E253" s="8" t="inlineStr">
        <is>
          <t>công</t>
        </is>
      </c>
      <c r="F253" s="8" t="n">
        <v>5.02</v>
      </c>
      <c r="G253" s="8" t="n">
        <v>427000</v>
      </c>
      <c r="H253" s="8" t="n">
        <v>1</v>
      </c>
      <c r="I253" s="8" t="n">
        <v>2143540</v>
      </c>
    </row>
    <row r="254">
      <c r="A254" s="8" t="n">
        <v>13</v>
      </c>
      <c r="B254" s="11" t="inlineStr">
        <is>
          <t>BC.14104</t>
        </is>
      </c>
      <c r="C254" s="8" t="inlineStr">
        <is>
          <t>Bảo ôn ống đồng D15.9 dày 19mm</t>
        </is>
      </c>
      <c r="D254" s="12">
        <f>HYPERLINK("tt38://pl3/212", "👉 Phụ lục III - Trang 212 (Khớp nhóm BC.1410)")</f>
        <v/>
      </c>
      <c r="E254" s="8" t="inlineStr">
        <is>
          <t>100m</t>
        </is>
      </c>
      <c r="F254" s="8" t="n">
        <v>1</v>
      </c>
      <c r="G254" s="8" t="inlineStr"/>
      <c r="H254" s="8" t="inlineStr"/>
      <c r="I254" s="8" t="inlineStr"/>
    </row>
    <row r="255">
      <c r="A255" s="8" t="inlineStr"/>
      <c r="B255" s="8" t="inlineStr"/>
      <c r="C255" s="8" t="inlineStr">
        <is>
          <t>a) Vật liệu</t>
        </is>
      </c>
      <c r="E255" s="8" t="inlineStr"/>
      <c r="F255" s="8" t="inlineStr"/>
      <c r="G255" s="8" t="inlineStr"/>
      <c r="H255" s="8" t="inlineStr"/>
      <c r="I255" s="8" t="n">
        <v>2601260.1</v>
      </c>
    </row>
    <row r="256">
      <c r="A256" s="8" t="inlineStr"/>
      <c r="B256" s="8" t="inlineStr">
        <is>
          <t>A33.085204</t>
        </is>
      </c>
      <c r="C256" s="8" t="inlineStr">
        <is>
          <t>Bảo ôn ống đồng D15.9 dày 19mm</t>
        </is>
      </c>
      <c r="E256" s="8" t="inlineStr">
        <is>
          <t>m</t>
        </is>
      </c>
      <c r="F256" s="8" t="n">
        <v>100.5</v>
      </c>
      <c r="G256" s="8" t="n">
        <v>22900</v>
      </c>
      <c r="H256" s="8" t="n">
        <v>1</v>
      </c>
      <c r="I256" s="8" t="n">
        <v>2301450</v>
      </c>
    </row>
    <row r="257">
      <c r="A257" s="8" t="inlineStr"/>
      <c r="B257" s="8" t="inlineStr">
        <is>
          <t>A33.1143</t>
        </is>
      </c>
      <c r="C257" s="8" t="inlineStr">
        <is>
          <t>Băng cuốn bảo ôn</t>
        </is>
      </c>
      <c r="E257" s="8" t="inlineStr">
        <is>
          <t>cuộn</t>
        </is>
      </c>
      <c r="F257" s="8" t="n">
        <v>19.97</v>
      </c>
      <c r="G257" s="8" t="n">
        <v>15000</v>
      </c>
      <c r="H257" s="8" t="n">
        <v>1</v>
      </c>
      <c r="I257" s="8" t="n">
        <v>299550</v>
      </c>
    </row>
    <row r="258">
      <c r="A258" s="8" t="inlineStr"/>
      <c r="B258" s="8" t="inlineStr">
        <is>
          <t>Z999</t>
        </is>
      </c>
      <c r="C258" s="8" t="inlineStr">
        <is>
          <t>Vật liệu khác</t>
        </is>
      </c>
      <c r="E258" s="8" t="inlineStr">
        <is>
          <t>%</t>
        </is>
      </c>
      <c r="F258" s="8" t="n">
        <v>0.01</v>
      </c>
      <c r="G258" s="8" t="n">
        <v>2601000</v>
      </c>
      <c r="H258" s="8" t="inlineStr"/>
      <c r="I258" s="8" t="n">
        <v>260.1</v>
      </c>
    </row>
    <row r="259">
      <c r="A259" s="8" t="inlineStr"/>
      <c r="B259" s="8" t="inlineStr"/>
      <c r="C259" s="8" t="inlineStr">
        <is>
          <t>Cộng</t>
        </is>
      </c>
      <c r="E259" s="8" t="inlineStr"/>
      <c r="F259" s="8" t="inlineStr"/>
      <c r="G259" s="8" t="inlineStr"/>
      <c r="H259" s="8" t="inlineStr"/>
      <c r="I259" s="8" t="n">
        <v>2601260.1</v>
      </c>
    </row>
    <row r="260">
      <c r="A260" s="8" t="inlineStr"/>
      <c r="B260" s="8" t="inlineStr"/>
      <c r="C260" s="8" t="inlineStr">
        <is>
          <t>b) Nhân công</t>
        </is>
      </c>
      <c r="E260" s="8" t="inlineStr"/>
      <c r="F260" s="8" t="inlineStr"/>
      <c r="G260" s="8" t="inlineStr"/>
      <c r="H260" s="8" t="inlineStr"/>
      <c r="I260" s="8" t="n">
        <v>2280180</v>
      </c>
    </row>
    <row r="261">
      <c r="A261" s="8" t="inlineStr"/>
      <c r="B261" s="8" t="inlineStr">
        <is>
          <t>N3</t>
        </is>
      </c>
      <c r="C261" s="8" t="inlineStr">
        <is>
          <t>Nhân công nhóm 3</t>
        </is>
      </c>
      <c r="E261" s="8" t="inlineStr">
        <is>
          <t>công</t>
        </is>
      </c>
      <c r="F261" s="8" t="n">
        <v>5.34</v>
      </c>
      <c r="G261" s="8" t="n">
        <v>427000</v>
      </c>
      <c r="H261" s="8" t="n">
        <v>1</v>
      </c>
      <c r="I261" s="8" t="n">
        <v>2280180</v>
      </c>
    </row>
    <row r="262">
      <c r="A262" s="8" t="n">
        <v>14</v>
      </c>
      <c r="B262" s="11" t="inlineStr">
        <is>
          <t>BC.14105</t>
        </is>
      </c>
      <c r="C262" s="8" t="inlineStr">
        <is>
          <t>Bảo ôn ống đồng D19.1 dày 19mm</t>
        </is>
      </c>
      <c r="D262" s="12">
        <f>HYPERLINK("tt38://pl3/212", "👉 Phụ lục III - Trang 212 (Khớp nhóm BC.1410)")</f>
        <v/>
      </c>
      <c r="E262" s="8" t="inlineStr">
        <is>
          <t>100m</t>
        </is>
      </c>
      <c r="F262" s="8" t="n">
        <v>1</v>
      </c>
      <c r="G262" s="8" t="inlineStr"/>
      <c r="H262" s="8" t="inlineStr"/>
      <c r="I262" s="8" t="inlineStr"/>
    </row>
    <row r="263">
      <c r="A263" s="8" t="inlineStr"/>
      <c r="B263" s="8" t="inlineStr"/>
      <c r="C263" s="8" t="inlineStr">
        <is>
          <t>a) Vật liệu</t>
        </is>
      </c>
      <c r="E263" s="8" t="inlineStr"/>
      <c r="F263" s="8" t="inlineStr"/>
      <c r="G263" s="8" t="inlineStr"/>
      <c r="H263" s="8" t="inlineStr"/>
      <c r="I263" s="8" t="n">
        <v>2902790.25</v>
      </c>
    </row>
    <row r="264">
      <c r="A264" s="8" t="inlineStr"/>
      <c r="B264" s="8" t="inlineStr">
        <is>
          <t>A33.085205</t>
        </is>
      </c>
      <c r="C264" s="8" t="inlineStr">
        <is>
          <t>Bảo ôn ống đồng D19.1 dày 19mm</t>
        </is>
      </c>
      <c r="E264" s="8" t="inlineStr">
        <is>
          <t>m</t>
        </is>
      </c>
      <c r="F264" s="8" t="n">
        <v>100.5</v>
      </c>
      <c r="G264" s="8" t="n">
        <v>25300</v>
      </c>
      <c r="H264" s="8" t="n">
        <v>1</v>
      </c>
      <c r="I264" s="8" t="n">
        <v>2542650</v>
      </c>
    </row>
    <row r="265">
      <c r="A265" s="8" t="inlineStr"/>
      <c r="B265" s="8" t="inlineStr">
        <is>
          <t>A33.1143</t>
        </is>
      </c>
      <c r="C265" s="8" t="inlineStr">
        <is>
          <t>Băng cuốn bảo ôn</t>
        </is>
      </c>
      <c r="E265" s="8" t="inlineStr">
        <is>
          <t>cuộn</t>
        </is>
      </c>
      <c r="F265" s="8" t="n">
        <v>23.99</v>
      </c>
      <c r="G265" s="8" t="n">
        <v>15000</v>
      </c>
      <c r="H265" s="8" t="n">
        <v>1</v>
      </c>
      <c r="I265" s="8" t="n">
        <v>359850</v>
      </c>
    </row>
    <row r="266">
      <c r="A266" s="8" t="inlineStr"/>
      <c r="B266" s="8" t="inlineStr">
        <is>
          <t>Z999</t>
        </is>
      </c>
      <c r="C266" s="8" t="inlineStr">
        <is>
          <t>Vật liệu khác</t>
        </is>
      </c>
      <c r="E266" s="8" t="inlineStr">
        <is>
          <t>%</t>
        </is>
      </c>
      <c r="F266" s="8" t="n">
        <v>0.01</v>
      </c>
      <c r="G266" s="8" t="n">
        <v>2902500</v>
      </c>
      <c r="H266" s="8" t="inlineStr"/>
      <c r="I266" s="8" t="n">
        <v>290.25</v>
      </c>
    </row>
    <row r="267">
      <c r="A267" s="8" t="inlineStr"/>
      <c r="B267" s="8" t="inlineStr"/>
      <c r="C267" s="8" t="inlineStr">
        <is>
          <t>Cộng</t>
        </is>
      </c>
      <c r="E267" s="8" t="inlineStr"/>
      <c r="F267" s="8" t="inlineStr"/>
      <c r="G267" s="8" t="inlineStr"/>
      <c r="H267" s="8" t="inlineStr"/>
      <c r="I267" s="8" t="n">
        <v>2902790.25</v>
      </c>
    </row>
    <row r="268">
      <c r="A268" s="8" t="inlineStr"/>
      <c r="B268" s="8" t="inlineStr"/>
      <c r="C268" s="8" t="inlineStr">
        <is>
          <t>b) Nhân công</t>
        </is>
      </c>
      <c r="E268" s="8" t="inlineStr"/>
      <c r="F268" s="8" t="inlineStr"/>
      <c r="G268" s="8" t="inlineStr"/>
      <c r="H268" s="8" t="inlineStr"/>
      <c r="I268" s="8" t="n">
        <v>2365580</v>
      </c>
    </row>
    <row r="269">
      <c r="A269" s="8" t="inlineStr"/>
      <c r="B269" s="8" t="inlineStr">
        <is>
          <t>N3</t>
        </is>
      </c>
      <c r="C269" s="8" t="inlineStr">
        <is>
          <t>Nhân công nhóm 3</t>
        </is>
      </c>
      <c r="E269" s="8" t="inlineStr">
        <is>
          <t>công</t>
        </is>
      </c>
      <c r="F269" s="8" t="n">
        <v>5.54</v>
      </c>
      <c r="G269" s="8" t="n">
        <v>427000</v>
      </c>
      <c r="H269" s="8" t="n">
        <v>1</v>
      </c>
      <c r="I269" s="8" t="n">
        <v>2365580</v>
      </c>
    </row>
    <row r="270">
      <c r="A270" s="8" t="n">
        <v>15</v>
      </c>
      <c r="B270" s="11" t="inlineStr">
        <is>
          <t>BC.14106</t>
        </is>
      </c>
      <c r="C270" s="8" t="inlineStr">
        <is>
          <t>Bảo ôn ống đồng D22.2 dày 19mm</t>
        </is>
      </c>
      <c r="D270" s="12">
        <f>HYPERLINK("tt38://pl3/212", "👉 Phụ lục III - Trang 212 (Khớp nhóm BC.1410)")</f>
        <v/>
      </c>
      <c r="E270" s="8" t="inlineStr">
        <is>
          <t>100m</t>
        </is>
      </c>
      <c r="F270" s="8" t="n">
        <v>1</v>
      </c>
      <c r="G270" s="8" t="inlineStr"/>
      <c r="H270" s="8" t="inlineStr"/>
      <c r="I270" s="8" t="inlineStr"/>
    </row>
    <row r="271">
      <c r="A271" s="8" t="inlineStr"/>
      <c r="B271" s="8" t="inlineStr"/>
      <c r="C271" s="8" t="inlineStr">
        <is>
          <t>a) Vật liệu</t>
        </is>
      </c>
      <c r="E271" s="8" t="inlineStr"/>
      <c r="F271" s="8" t="inlineStr"/>
      <c r="G271" s="8" t="inlineStr"/>
      <c r="H271" s="8" t="inlineStr"/>
      <c r="I271" s="8" t="n">
        <v>3152115.18</v>
      </c>
    </row>
    <row r="272">
      <c r="A272" s="8" t="inlineStr"/>
      <c r="B272" s="8" t="inlineStr">
        <is>
          <t>A33.085206</t>
        </is>
      </c>
      <c r="C272" s="8" t="inlineStr">
        <is>
          <t>Bảo ôn ống đồng D22.2 dày 19mm</t>
        </is>
      </c>
      <c r="E272" s="8" t="inlineStr">
        <is>
          <t>m</t>
        </is>
      </c>
      <c r="F272" s="8" t="n">
        <v>100.5</v>
      </c>
      <c r="G272" s="8" t="n">
        <v>27200</v>
      </c>
      <c r="H272" s="8" t="n">
        <v>1</v>
      </c>
      <c r="I272" s="8" t="n">
        <v>2733600</v>
      </c>
    </row>
    <row r="273">
      <c r="A273" s="8" t="inlineStr"/>
      <c r="B273" s="8" t="inlineStr">
        <is>
          <t>A33.1143</t>
        </is>
      </c>
      <c r="C273" s="8" t="inlineStr">
        <is>
          <t>Băng cuốn bảo ôn</t>
        </is>
      </c>
      <c r="E273" s="8" t="inlineStr">
        <is>
          <t>cuộn</t>
        </is>
      </c>
      <c r="F273" s="8" t="n">
        <v>27.88</v>
      </c>
      <c r="G273" s="8" t="n">
        <v>15000</v>
      </c>
      <c r="H273" s="8" t="n">
        <v>1</v>
      </c>
      <c r="I273" s="8" t="n">
        <v>418200</v>
      </c>
    </row>
    <row r="274">
      <c r="A274" s="8" t="inlineStr"/>
      <c r="B274" s="8" t="inlineStr">
        <is>
          <t>Z999</t>
        </is>
      </c>
      <c r="C274" s="8" t="inlineStr">
        <is>
          <t>Vật liệu khác</t>
        </is>
      </c>
      <c r="E274" s="8" t="inlineStr">
        <is>
          <t>%</t>
        </is>
      </c>
      <c r="F274" s="8" t="n">
        <v>0.01</v>
      </c>
      <c r="G274" s="8" t="n">
        <v>3151800</v>
      </c>
      <c r="H274" s="8" t="inlineStr"/>
      <c r="I274" s="8" t="n">
        <v>315.18</v>
      </c>
    </row>
    <row r="275">
      <c r="A275" s="8" t="inlineStr"/>
      <c r="B275" s="8" t="inlineStr"/>
      <c r="C275" s="8" t="inlineStr">
        <is>
          <t>Cộng</t>
        </is>
      </c>
      <c r="E275" s="8" t="inlineStr"/>
      <c r="F275" s="8" t="inlineStr"/>
      <c r="G275" s="8" t="inlineStr"/>
      <c r="H275" s="8" t="inlineStr"/>
      <c r="I275" s="8" t="n">
        <v>3152115.18</v>
      </c>
    </row>
    <row r="276">
      <c r="A276" s="8" t="inlineStr"/>
      <c r="B276" s="8" t="inlineStr"/>
      <c r="C276" s="8" t="inlineStr">
        <is>
          <t>b) Nhân công</t>
        </is>
      </c>
      <c r="E276" s="8" t="inlineStr"/>
      <c r="F276" s="8" t="inlineStr"/>
      <c r="G276" s="8" t="inlineStr"/>
      <c r="H276" s="8" t="inlineStr"/>
      <c r="I276" s="8" t="n">
        <v>2493680</v>
      </c>
    </row>
    <row r="277">
      <c r="A277" s="8" t="inlineStr"/>
      <c r="B277" s="8" t="inlineStr">
        <is>
          <t>N3</t>
        </is>
      </c>
      <c r="C277" s="8" t="inlineStr">
        <is>
          <t>Nhân công nhóm 3</t>
        </is>
      </c>
      <c r="E277" s="8" t="inlineStr">
        <is>
          <t>công</t>
        </is>
      </c>
      <c r="F277" s="8" t="n">
        <v>5.84</v>
      </c>
      <c r="G277" s="8" t="n">
        <v>427000</v>
      </c>
      <c r="H277" s="8" t="n">
        <v>1</v>
      </c>
      <c r="I277" s="8" t="n">
        <v>2493680</v>
      </c>
    </row>
    <row r="278">
      <c r="A278" s="8" t="n">
        <v>16</v>
      </c>
      <c r="B278" s="11" t="inlineStr">
        <is>
          <t>BC.14108</t>
        </is>
      </c>
      <c r="C278" s="8" t="inlineStr">
        <is>
          <t>Bảo ôn ống đồng D28.6 dày 19mm</t>
        </is>
      </c>
      <c r="D278" s="12">
        <f>HYPERLINK("tt38://pl3/212", "👉 Phụ lục III - Trang 212 (Khớp nhóm BC.1410)")</f>
        <v/>
      </c>
      <c r="E278" s="8" t="inlineStr">
        <is>
          <t>100m</t>
        </is>
      </c>
      <c r="F278" s="8" t="n">
        <v>1</v>
      </c>
      <c r="G278" s="8" t="inlineStr"/>
      <c r="H278" s="8" t="inlineStr"/>
      <c r="I278" s="8" t="inlineStr"/>
    </row>
    <row r="279">
      <c r="A279" s="8" t="inlineStr"/>
      <c r="B279" s="8" t="inlineStr"/>
      <c r="C279" s="8" t="inlineStr">
        <is>
          <t>a) Vật liệu</t>
        </is>
      </c>
      <c r="E279" s="8" t="inlineStr"/>
      <c r="F279" s="8" t="inlineStr"/>
      <c r="G279" s="8" t="inlineStr"/>
      <c r="H279" s="8" t="inlineStr"/>
      <c r="I279" s="8" t="n">
        <v>3855685.53</v>
      </c>
    </row>
    <row r="280">
      <c r="A280" s="8" t="inlineStr"/>
      <c r="B280" s="8" t="inlineStr">
        <is>
          <t>A33.085208</t>
        </is>
      </c>
      <c r="C280" s="8" t="inlineStr">
        <is>
          <t>Bảo ôn ống đồng D28.6 dày 19mm</t>
        </is>
      </c>
      <c r="E280" s="8" t="inlineStr">
        <is>
          <t>m</t>
        </is>
      </c>
      <c r="F280" s="8" t="n">
        <v>100.5</v>
      </c>
      <c r="G280" s="8" t="n">
        <v>33000</v>
      </c>
      <c r="H280" s="8" t="n">
        <v>1</v>
      </c>
      <c r="I280" s="8" t="n">
        <v>3316500</v>
      </c>
    </row>
    <row r="281">
      <c r="A281" s="8" t="inlineStr"/>
      <c r="B281" s="8" t="inlineStr">
        <is>
          <t>A33.1143</t>
        </is>
      </c>
      <c r="C281" s="8" t="inlineStr">
        <is>
          <t>Băng cuốn bảo ôn</t>
        </is>
      </c>
      <c r="E281" s="8" t="inlineStr">
        <is>
          <t>cuộn</t>
        </is>
      </c>
      <c r="F281" s="8" t="n">
        <v>35.92</v>
      </c>
      <c r="G281" s="8" t="n">
        <v>15000</v>
      </c>
      <c r="H281" s="8" t="n">
        <v>1</v>
      </c>
      <c r="I281" s="8" t="n">
        <v>538800</v>
      </c>
    </row>
    <row r="282">
      <c r="A282" s="8" t="inlineStr"/>
      <c r="B282" s="8" t="inlineStr">
        <is>
          <t>Z999</t>
        </is>
      </c>
      <c r="C282" s="8" t="inlineStr">
        <is>
          <t>Vật liệu khác</t>
        </is>
      </c>
      <c r="E282" s="8" t="inlineStr">
        <is>
          <t>%</t>
        </is>
      </c>
      <c r="F282" s="8" t="n">
        <v>0.01</v>
      </c>
      <c r="G282" s="8" t="n">
        <v>3855300</v>
      </c>
      <c r="H282" s="8" t="inlineStr"/>
      <c r="I282" s="8" t="n">
        <v>385.53</v>
      </c>
    </row>
    <row r="283">
      <c r="A283" s="8" t="inlineStr"/>
      <c r="B283" s="8" t="inlineStr"/>
      <c r="C283" s="8" t="inlineStr">
        <is>
          <t>Cộng</t>
        </is>
      </c>
      <c r="E283" s="8" t="inlineStr"/>
      <c r="F283" s="8" t="inlineStr"/>
      <c r="G283" s="8" t="inlineStr"/>
      <c r="H283" s="8" t="inlineStr"/>
      <c r="I283" s="8" t="n">
        <v>3855685.53</v>
      </c>
    </row>
    <row r="284">
      <c r="A284" s="8" t="inlineStr"/>
      <c r="B284" s="8" t="inlineStr"/>
      <c r="C284" s="8" t="inlineStr">
        <is>
          <t>b) Nhân công</t>
        </is>
      </c>
      <c r="E284" s="8" t="inlineStr"/>
      <c r="F284" s="8" t="inlineStr"/>
      <c r="G284" s="8" t="inlineStr"/>
      <c r="H284" s="8" t="inlineStr"/>
      <c r="I284" s="8" t="n">
        <v>2732800</v>
      </c>
    </row>
    <row r="285">
      <c r="A285" s="8" t="inlineStr"/>
      <c r="B285" s="8" t="inlineStr">
        <is>
          <t>N3</t>
        </is>
      </c>
      <c r="C285" s="8" t="inlineStr">
        <is>
          <t>Nhân công nhóm 3</t>
        </is>
      </c>
      <c r="E285" s="8" t="inlineStr">
        <is>
          <t>công</t>
        </is>
      </c>
      <c r="F285" s="8" t="n">
        <v>6.4</v>
      </c>
      <c r="G285" s="8" t="n">
        <v>427000</v>
      </c>
      <c r="H285" s="8" t="n">
        <v>1</v>
      </c>
      <c r="I285" s="8" t="n">
        <v>2732800</v>
      </c>
    </row>
    <row r="286">
      <c r="A286" s="8" t="n">
        <v>17</v>
      </c>
      <c r="B286" s="11" t="inlineStr">
        <is>
          <t>BC.14110</t>
        </is>
      </c>
      <c r="C286" s="8" t="inlineStr">
        <is>
          <t>Bảo ôn ống đồng D34.9 dày 19mm</t>
        </is>
      </c>
      <c r="D286" s="12">
        <f>HYPERLINK("tt38://pl3/212", "👉 Phụ lục III - Trang 212 (Khớp nhóm BC.141)")</f>
        <v/>
      </c>
      <c r="E286" s="8" t="inlineStr">
        <is>
          <t>100m</t>
        </is>
      </c>
      <c r="F286" s="8" t="n">
        <v>1</v>
      </c>
      <c r="G286" s="8" t="inlineStr"/>
      <c r="H286" s="8" t="inlineStr"/>
      <c r="I286" s="8" t="inlineStr"/>
    </row>
    <row r="287">
      <c r="A287" s="8" t="inlineStr"/>
      <c r="B287" s="8" t="inlineStr"/>
      <c r="C287" s="8" t="inlineStr">
        <is>
          <t>a) Vật liệu</t>
        </is>
      </c>
      <c r="E287" s="8" t="inlineStr"/>
      <c r="F287" s="8" t="inlineStr"/>
      <c r="G287" s="8" t="inlineStr"/>
      <c r="H287" s="8" t="inlineStr"/>
      <c r="I287" s="8" t="n">
        <v>4858835.835</v>
      </c>
    </row>
    <row r="288">
      <c r="A288" s="8" t="inlineStr"/>
      <c r="B288" s="8" t="inlineStr">
        <is>
          <t>A33.085210</t>
        </is>
      </c>
      <c r="C288" s="8" t="inlineStr">
        <is>
          <t>Bảo ôn ống đồng D34.9 dày 19mm</t>
        </is>
      </c>
      <c r="E288" s="8" t="inlineStr">
        <is>
          <t>m</t>
        </is>
      </c>
      <c r="F288" s="8" t="n">
        <v>100.5</v>
      </c>
      <c r="G288" s="8" t="n">
        <v>41800</v>
      </c>
      <c r="H288" s="8" t="n">
        <v>1</v>
      </c>
      <c r="I288" s="8" t="n">
        <v>4200900</v>
      </c>
    </row>
    <row r="289">
      <c r="A289" s="8" t="inlineStr"/>
      <c r="B289" s="8" t="inlineStr">
        <is>
          <t>A33.1143</t>
        </is>
      </c>
      <c r="C289" s="8" t="inlineStr">
        <is>
          <t>Băng cuốn bảo ôn</t>
        </is>
      </c>
      <c r="E289" s="8" t="inlineStr">
        <is>
          <t>cuộn</t>
        </is>
      </c>
      <c r="F289" s="8" t="n">
        <v>43.83</v>
      </c>
      <c r="G289" s="8" t="n">
        <v>15000</v>
      </c>
      <c r="H289" s="8" t="n">
        <v>1</v>
      </c>
      <c r="I289" s="8" t="n">
        <v>657450</v>
      </c>
    </row>
    <row r="290">
      <c r="A290" s="8" t="inlineStr"/>
      <c r="B290" s="8" t="inlineStr">
        <is>
          <t>Z999</t>
        </is>
      </c>
      <c r="C290" s="8" t="inlineStr">
        <is>
          <t>Vật liệu khác</t>
        </is>
      </c>
      <c r="E290" s="8" t="inlineStr">
        <is>
          <t>%</t>
        </is>
      </c>
      <c r="F290" s="8" t="n">
        <v>0.01</v>
      </c>
      <c r="G290" s="8" t="n">
        <v>4858350</v>
      </c>
      <c r="H290" s="8" t="inlineStr"/>
      <c r="I290" s="8" t="n">
        <v>485.835</v>
      </c>
    </row>
    <row r="291">
      <c r="A291" s="8" t="inlineStr"/>
      <c r="B291" s="8" t="inlineStr"/>
      <c r="C291" s="8" t="inlineStr">
        <is>
          <t>Cộng</t>
        </is>
      </c>
      <c r="E291" s="8" t="inlineStr"/>
      <c r="F291" s="8" t="inlineStr"/>
      <c r="G291" s="8" t="inlineStr"/>
      <c r="H291" s="8" t="inlineStr"/>
      <c r="I291" s="8" t="n">
        <v>4858835.835</v>
      </c>
    </row>
    <row r="292">
      <c r="A292" s="8" t="inlineStr"/>
      <c r="B292" s="8" t="inlineStr"/>
      <c r="C292" s="8" t="inlineStr">
        <is>
          <t>b) Nhân công</t>
        </is>
      </c>
      <c r="E292" s="8" t="inlineStr"/>
      <c r="F292" s="8" t="inlineStr"/>
      <c r="G292" s="8" t="inlineStr"/>
      <c r="H292" s="8" t="inlineStr"/>
      <c r="I292" s="8" t="n">
        <v>2822470</v>
      </c>
    </row>
    <row r="293">
      <c r="A293" s="8" t="inlineStr"/>
      <c r="B293" s="8" t="inlineStr">
        <is>
          <t>N3</t>
        </is>
      </c>
      <c r="C293" s="8" t="inlineStr">
        <is>
          <t>Nhân công nhóm 3</t>
        </is>
      </c>
      <c r="E293" s="8" t="inlineStr">
        <is>
          <t>công</t>
        </is>
      </c>
      <c r="F293" s="8" t="n">
        <v>6.61</v>
      </c>
      <c r="G293" s="8" t="n">
        <v>427000</v>
      </c>
      <c r="H293" s="8" t="n">
        <v>1</v>
      </c>
      <c r="I293" s="8" t="n">
        <v>2822470</v>
      </c>
    </row>
    <row r="294">
      <c r="A294" s="8" t="n">
        <v>18</v>
      </c>
      <c r="B294" s="11" t="inlineStr">
        <is>
          <t>BC.14112</t>
        </is>
      </c>
      <c r="C294" s="8" t="inlineStr">
        <is>
          <t>Bảo ôn ống đồng D41.3 dày 19mm</t>
        </is>
      </c>
      <c r="D294" s="12">
        <f>HYPERLINK("tt38://pl3/212", "👉 Phụ lục III - Trang 212 (Khớp nhóm BC.141)")</f>
        <v/>
      </c>
      <c r="E294" s="8" t="inlineStr">
        <is>
          <t>100m</t>
        </is>
      </c>
      <c r="F294" s="8" t="n">
        <v>1</v>
      </c>
      <c r="G294" s="8" t="inlineStr"/>
      <c r="H294" s="8" t="inlineStr"/>
      <c r="I294" s="8" t="inlineStr"/>
    </row>
    <row r="295">
      <c r="A295" s="8" t="inlineStr"/>
      <c r="B295" s="8" t="inlineStr"/>
      <c r="C295" s="8" t="inlineStr">
        <is>
          <t>a) Vật liệu</t>
        </is>
      </c>
      <c r="E295" s="8" t="inlineStr"/>
      <c r="F295" s="8" t="inlineStr"/>
      <c r="G295" s="8" t="inlineStr"/>
      <c r="H295" s="8" t="inlineStr"/>
      <c r="I295" s="8" t="n">
        <v>5612661.21</v>
      </c>
    </row>
    <row r="296">
      <c r="A296" s="8" t="inlineStr"/>
      <c r="B296" s="8" t="inlineStr">
        <is>
          <t>A33.085212</t>
        </is>
      </c>
      <c r="C296" s="8" t="inlineStr">
        <is>
          <t>Bảo ôn ống đồng D41.3 dày 19mm</t>
        </is>
      </c>
      <c r="E296" s="8" t="inlineStr">
        <is>
          <t>m</t>
        </is>
      </c>
      <c r="F296" s="8" t="n">
        <v>100.5</v>
      </c>
      <c r="G296" s="8" t="n">
        <v>48100</v>
      </c>
      <c r="H296" s="8" t="n">
        <v>1</v>
      </c>
      <c r="I296" s="8" t="n">
        <v>4834050</v>
      </c>
    </row>
    <row r="297">
      <c r="A297" s="8" t="inlineStr"/>
      <c r="B297" s="8" t="inlineStr">
        <is>
          <t>A33.1143</t>
        </is>
      </c>
      <c r="C297" s="8" t="inlineStr">
        <is>
          <t>Băng cuốn bảo ôn</t>
        </is>
      </c>
      <c r="E297" s="8" t="inlineStr">
        <is>
          <t>cuộn</t>
        </is>
      </c>
      <c r="F297" s="8" t="n">
        <v>51.87</v>
      </c>
      <c r="G297" s="8" t="n">
        <v>15000</v>
      </c>
      <c r="H297" s="8" t="n">
        <v>1</v>
      </c>
      <c r="I297" s="8" t="n">
        <v>778050</v>
      </c>
    </row>
    <row r="298">
      <c r="A298" s="8" t="inlineStr"/>
      <c r="B298" s="8" t="inlineStr">
        <is>
          <t>Z999</t>
        </is>
      </c>
      <c r="C298" s="8" t="inlineStr">
        <is>
          <t>Vật liệu khác</t>
        </is>
      </c>
      <c r="E298" s="8" t="inlineStr">
        <is>
          <t>%</t>
        </is>
      </c>
      <c r="F298" s="8" t="n">
        <v>0.01</v>
      </c>
      <c r="G298" s="8" t="n">
        <v>5612100</v>
      </c>
      <c r="H298" s="8" t="inlineStr"/>
      <c r="I298" s="8" t="n">
        <v>561.21</v>
      </c>
    </row>
    <row r="299">
      <c r="A299" s="8" t="inlineStr"/>
      <c r="B299" s="8" t="inlineStr"/>
      <c r="C299" s="8" t="inlineStr">
        <is>
          <t>Cộng</t>
        </is>
      </c>
      <c r="E299" s="8" t="inlineStr"/>
      <c r="F299" s="8" t="inlineStr"/>
      <c r="G299" s="8" t="inlineStr"/>
      <c r="H299" s="8" t="inlineStr"/>
      <c r="I299" s="8" t="n">
        <v>5612661.21</v>
      </c>
    </row>
    <row r="300">
      <c r="A300" s="8" t="inlineStr"/>
      <c r="B300" s="8" t="inlineStr"/>
      <c r="C300" s="8" t="inlineStr">
        <is>
          <t>b) Nhân công</t>
        </is>
      </c>
      <c r="E300" s="8" t="inlineStr"/>
      <c r="F300" s="8" t="inlineStr"/>
      <c r="G300" s="8" t="inlineStr"/>
      <c r="H300" s="8" t="inlineStr"/>
      <c r="I300" s="8" t="n">
        <v>2971920</v>
      </c>
    </row>
    <row r="301">
      <c r="A301" s="8" t="inlineStr"/>
      <c r="B301" s="8" t="inlineStr">
        <is>
          <t>N3</t>
        </is>
      </c>
      <c r="C301" s="8" t="inlineStr">
        <is>
          <t>Nhân công nhóm 3</t>
        </is>
      </c>
      <c r="E301" s="8" t="inlineStr">
        <is>
          <t>công</t>
        </is>
      </c>
      <c r="F301" s="8" t="n">
        <v>6.96</v>
      </c>
      <c r="G301" s="8" t="n">
        <v>427000</v>
      </c>
      <c r="H301" s="8" t="n">
        <v>1</v>
      </c>
      <c r="I301" s="8" t="n">
        <v>2971920</v>
      </c>
    </row>
    <row r="302">
      <c r="A302" s="8" t="inlineStr"/>
      <c r="B302" s="8" t="inlineStr">
        <is>
          <t>*</t>
        </is>
      </c>
      <c r="C302" s="8" t="inlineStr">
        <is>
          <t>Ống nước ngưng</t>
        </is>
      </c>
      <c r="E302" s="8" t="inlineStr"/>
      <c r="F302" s="8" t="inlineStr"/>
      <c r="G302" s="8" t="inlineStr"/>
      <c r="H302" s="8" t="inlineStr"/>
      <c r="I302" s="8" t="inlineStr"/>
    </row>
    <row r="303">
      <c r="A303" s="8" t="n">
        <v>19</v>
      </c>
      <c r="B303" s="11" t="inlineStr">
        <is>
          <t>BB.41101</t>
        </is>
      </c>
      <c r="C303" s="8" t="inlineStr">
        <is>
          <t>Ống uPVC_D21</t>
        </is>
      </c>
      <c r="D303" s="12">
        <f>HYPERLINK("tt38://pl3/71", "👉 Phụ lục III - Trang 71 (Khớp nhóm BB.4110)")</f>
        <v/>
      </c>
      <c r="E303" s="8" t="inlineStr">
        <is>
          <t>100m</t>
        </is>
      </c>
      <c r="F303" s="8" t="n">
        <v>1</v>
      </c>
      <c r="G303" s="8" t="inlineStr"/>
      <c r="H303" s="8" t="inlineStr"/>
      <c r="I303" s="8" t="inlineStr"/>
    </row>
    <row r="304">
      <c r="A304" s="8" t="inlineStr"/>
      <c r="B304" s="8" t="inlineStr"/>
      <c r="C304" s="8" t="inlineStr">
        <is>
          <t>a) Vật liệu</t>
        </is>
      </c>
      <c r="E304" s="8" t="inlineStr"/>
      <c r="F304" s="8" t="inlineStr"/>
      <c r="G304" s="8" t="inlineStr"/>
      <c r="H304" s="8" t="inlineStr"/>
      <c r="I304" s="8" t="n">
        <v>851525.144</v>
      </c>
    </row>
    <row r="305">
      <c r="A305" s="8" t="inlineStr"/>
      <c r="B305" s="8" t="inlineStr">
        <is>
          <t>A33.0332</t>
        </is>
      </c>
      <c r="C305" s="8" t="inlineStr">
        <is>
          <t>Ống uPVC_D21</t>
        </is>
      </c>
      <c r="E305" s="8" t="inlineStr">
        <is>
          <t>m</t>
        </is>
      </c>
      <c r="F305" s="8" t="n">
        <v>101</v>
      </c>
      <c r="G305" s="8" t="n">
        <v>8400</v>
      </c>
      <c r="H305" s="8" t="n">
        <v>1</v>
      </c>
      <c r="I305" s="8" t="n">
        <v>848400</v>
      </c>
    </row>
    <row r="306">
      <c r="A306" s="8" t="inlineStr"/>
      <c r="B306" s="8" t="inlineStr">
        <is>
          <t>A33.0345</t>
        </is>
      </c>
      <c r="C306" s="8" t="inlineStr">
        <is>
          <t>Cồn rửa</t>
        </is>
      </c>
      <c r="E306" s="8" t="inlineStr">
        <is>
          <t>kg</t>
        </is>
      </c>
      <c r="F306" s="8" t="n">
        <v>0.11</v>
      </c>
      <c r="G306" s="8" t="n">
        <v>12000</v>
      </c>
      <c r="H306" s="8" t="n">
        <v>1</v>
      </c>
      <c r="I306" s="8" t="n">
        <v>1320</v>
      </c>
    </row>
    <row r="307">
      <c r="A307" s="8" t="inlineStr"/>
      <c r="B307" s="8" t="inlineStr">
        <is>
          <t>A33.0346</t>
        </is>
      </c>
      <c r="C307" s="8" t="inlineStr">
        <is>
          <t>Nhựa dán</t>
        </is>
      </c>
      <c r="E307" s="8" t="inlineStr">
        <is>
          <t>kg</t>
        </is>
      </c>
      <c r="F307" s="8" t="n">
        <v>0.02</v>
      </c>
      <c r="G307" s="8" t="n">
        <v>86000</v>
      </c>
      <c r="H307" s="8" t="n">
        <v>1</v>
      </c>
      <c r="I307" s="8" t="n">
        <v>1720</v>
      </c>
    </row>
    <row r="308">
      <c r="A308" s="8" t="inlineStr"/>
      <c r="B308" s="8" t="inlineStr">
        <is>
          <t>Z999</t>
        </is>
      </c>
      <c r="C308" s="8" t="inlineStr">
        <is>
          <t>Vật liệu khác</t>
        </is>
      </c>
      <c r="E308" s="8" t="inlineStr">
        <is>
          <t>%</t>
        </is>
      </c>
      <c r="F308" s="8" t="n">
        <v>0.01</v>
      </c>
      <c r="G308" s="8" t="n">
        <v>851440</v>
      </c>
      <c r="H308" s="8" t="inlineStr"/>
      <c r="I308" s="8" t="n">
        <v>85.14399999999999</v>
      </c>
    </row>
    <row r="309">
      <c r="A309" s="8" t="inlineStr"/>
      <c r="B309" s="8" t="inlineStr"/>
      <c r="C309" s="8" t="inlineStr">
        <is>
          <t>Cộng</t>
        </is>
      </c>
      <c r="E309" s="8" t="inlineStr"/>
      <c r="F309" s="8" t="inlineStr"/>
      <c r="G309" s="8" t="inlineStr"/>
      <c r="H309" s="8" t="inlineStr"/>
      <c r="I309" s="8" t="n">
        <v>851525.144</v>
      </c>
    </row>
    <row r="310">
      <c r="A310" s="8" t="inlineStr"/>
      <c r="B310" s="8" t="inlineStr"/>
      <c r="C310" s="8" t="inlineStr">
        <is>
          <t>b) Nhân công</t>
        </is>
      </c>
      <c r="E310" s="8" t="inlineStr"/>
      <c r="F310" s="8" t="inlineStr"/>
      <c r="G310" s="8" t="inlineStr"/>
      <c r="H310" s="8" t="inlineStr"/>
      <c r="I310" s="8" t="n">
        <v>1063230</v>
      </c>
    </row>
    <row r="311">
      <c r="A311" s="8" t="inlineStr"/>
      <c r="B311" s="8" t="inlineStr">
        <is>
          <t>N3</t>
        </is>
      </c>
      <c r="C311" s="8" t="inlineStr">
        <is>
          <t>Nhân công nhóm 3</t>
        </is>
      </c>
      <c r="E311" s="8" t="inlineStr">
        <is>
          <t>công</t>
        </is>
      </c>
      <c r="F311" s="8" t="n">
        <v>2.49</v>
      </c>
      <c r="G311" s="8" t="n">
        <v>427000</v>
      </c>
      <c r="H311" s="8" t="n">
        <v>1</v>
      </c>
      <c r="I311" s="8" t="n">
        <v>1063230</v>
      </c>
    </row>
    <row r="312">
      <c r="A312" s="8" t="n">
        <v>20</v>
      </c>
      <c r="B312" s="11" t="inlineStr">
        <is>
          <t>BB.41102</t>
        </is>
      </c>
      <c r="C312" s="8" t="inlineStr">
        <is>
          <t>Ống uPVC_D27</t>
        </is>
      </c>
      <c r="D312" s="12">
        <f>HYPERLINK("tt38://pl3/71", "👉 Phụ lục III - Trang 71 (Khớp nhóm BB.4110)")</f>
        <v/>
      </c>
      <c r="E312" s="8" t="inlineStr">
        <is>
          <t>100m</t>
        </is>
      </c>
      <c r="F312" s="8" t="n">
        <v>1</v>
      </c>
      <c r="G312" s="8" t="inlineStr"/>
      <c r="H312" s="8" t="inlineStr"/>
      <c r="I312" s="8" t="inlineStr"/>
    </row>
    <row r="313">
      <c r="A313" s="8" t="inlineStr"/>
      <c r="B313" s="8" t="inlineStr"/>
      <c r="C313" s="8" t="inlineStr">
        <is>
          <t>a) Vật liệu</t>
        </is>
      </c>
      <c r="E313" s="8" t="inlineStr"/>
      <c r="F313" s="8" t="inlineStr"/>
      <c r="G313" s="8" t="inlineStr"/>
      <c r="H313" s="8" t="inlineStr"/>
      <c r="I313" s="8" t="n">
        <v>1165756.564</v>
      </c>
    </row>
    <row r="314">
      <c r="A314" s="8" t="inlineStr"/>
      <c r="B314" s="8" t="inlineStr">
        <is>
          <t>A33.0333</t>
        </is>
      </c>
      <c r="C314" s="8" t="inlineStr">
        <is>
          <t>Ống uPVC_D27</t>
        </is>
      </c>
      <c r="E314" s="8" t="inlineStr">
        <is>
          <t>m</t>
        </is>
      </c>
      <c r="F314" s="8" t="n">
        <v>101</v>
      </c>
      <c r="G314" s="8" t="n">
        <v>11500</v>
      </c>
      <c r="H314" s="8" t="n">
        <v>1</v>
      </c>
      <c r="I314" s="8" t="n">
        <v>1161500</v>
      </c>
    </row>
    <row r="315">
      <c r="A315" s="8" t="inlineStr"/>
      <c r="B315" s="8" t="inlineStr">
        <is>
          <t>A33.0345</t>
        </is>
      </c>
      <c r="C315" s="8" t="inlineStr">
        <is>
          <t>Cồn rửa</t>
        </is>
      </c>
      <c r="E315" s="8" t="inlineStr">
        <is>
          <t>kg</t>
        </is>
      </c>
      <c r="F315" s="8" t="n">
        <v>0.13</v>
      </c>
      <c r="G315" s="8" t="n">
        <v>12000</v>
      </c>
      <c r="H315" s="8" t="n">
        <v>1</v>
      </c>
      <c r="I315" s="8" t="n">
        <v>1560</v>
      </c>
    </row>
    <row r="316">
      <c r="A316" s="8" t="inlineStr"/>
      <c r="B316" s="8" t="inlineStr">
        <is>
          <t>A33.0346</t>
        </is>
      </c>
      <c r="C316" s="8" t="inlineStr">
        <is>
          <t>Nhựa dán</t>
        </is>
      </c>
      <c r="E316" s="8" t="inlineStr">
        <is>
          <t>kg</t>
        </is>
      </c>
      <c r="F316" s="8" t="n">
        <v>0.03</v>
      </c>
      <c r="G316" s="8" t="n">
        <v>86000</v>
      </c>
      <c r="H316" s="8" t="n">
        <v>1</v>
      </c>
      <c r="I316" s="8" t="n">
        <v>2580</v>
      </c>
    </row>
    <row r="317">
      <c r="A317" s="8" t="inlineStr"/>
      <c r="B317" s="8" t="inlineStr">
        <is>
          <t>Z999</t>
        </is>
      </c>
      <c r="C317" s="8" t="inlineStr">
        <is>
          <t>Vật liệu khác</t>
        </is>
      </c>
      <c r="E317" s="8" t="inlineStr">
        <is>
          <t>%</t>
        </is>
      </c>
      <c r="F317" s="8" t="n">
        <v>0.01</v>
      </c>
      <c r="G317" s="8" t="n">
        <v>1165640</v>
      </c>
      <c r="H317" s="8" t="inlineStr"/>
      <c r="I317" s="8" t="n">
        <v>116.564</v>
      </c>
    </row>
    <row r="318">
      <c r="A318" s="8" t="inlineStr"/>
      <c r="B318" s="8" t="inlineStr"/>
      <c r="C318" s="8" t="inlineStr">
        <is>
          <t>Cộng</t>
        </is>
      </c>
      <c r="E318" s="8" t="inlineStr"/>
      <c r="F318" s="8" t="inlineStr"/>
      <c r="G318" s="8" t="inlineStr"/>
      <c r="H318" s="8" t="inlineStr"/>
      <c r="I318" s="8" t="n">
        <v>1165756.564</v>
      </c>
    </row>
    <row r="319">
      <c r="A319" s="8" t="inlineStr"/>
      <c r="B319" s="8" t="inlineStr"/>
      <c r="C319" s="8" t="inlineStr">
        <is>
          <t>b) Nhân công</t>
        </is>
      </c>
      <c r="E319" s="8" t="inlineStr"/>
      <c r="F319" s="8" t="inlineStr"/>
      <c r="G319" s="8" t="inlineStr"/>
      <c r="H319" s="8" t="inlineStr"/>
      <c r="I319" s="8" t="n">
        <v>1246840</v>
      </c>
    </row>
    <row r="320">
      <c r="A320" s="8" t="inlineStr"/>
      <c r="B320" s="8" t="inlineStr">
        <is>
          <t>N3</t>
        </is>
      </c>
      <c r="C320" s="8" t="inlineStr">
        <is>
          <t>Nhân công nhóm 3</t>
        </is>
      </c>
      <c r="E320" s="8" t="inlineStr">
        <is>
          <t>công</t>
        </is>
      </c>
      <c r="F320" s="8" t="n">
        <v>2.92</v>
      </c>
      <c r="G320" s="8" t="n">
        <v>427000</v>
      </c>
      <c r="H320" s="8" t="n">
        <v>1</v>
      </c>
      <c r="I320" s="8" t="n">
        <v>1246840</v>
      </c>
    </row>
    <row r="321">
      <c r="A321" s="8" t="n">
        <v>21</v>
      </c>
      <c r="B321" s="11" t="inlineStr">
        <is>
          <t>BB.41103</t>
        </is>
      </c>
      <c r="C321" s="8" t="inlineStr">
        <is>
          <t>Ống uPVC_D34</t>
        </is>
      </c>
      <c r="D321" s="12">
        <f>HYPERLINK("tt38://pl3/71", "👉 Phụ lục III - Trang 71 (Khớp nhóm BB.4110)")</f>
        <v/>
      </c>
      <c r="E321" s="8" t="inlineStr">
        <is>
          <t>100m</t>
        </is>
      </c>
      <c r="F321" s="8" t="n">
        <v>1</v>
      </c>
      <c r="G321" s="8" t="inlineStr"/>
      <c r="H321" s="8" t="inlineStr"/>
      <c r="I321" s="8" t="inlineStr"/>
    </row>
    <row r="322">
      <c r="A322" s="8" t="inlineStr"/>
      <c r="B322" s="8" t="inlineStr"/>
      <c r="C322" s="8" t="inlineStr">
        <is>
          <t>a) Vật liệu</t>
        </is>
      </c>
      <c r="E322" s="8" t="inlineStr"/>
      <c r="F322" s="8" t="inlineStr"/>
      <c r="G322" s="8" t="inlineStr"/>
      <c r="H322" s="8" t="inlineStr"/>
      <c r="I322" s="8" t="n">
        <v>1469542.9396</v>
      </c>
    </row>
    <row r="323">
      <c r="A323" s="8" t="inlineStr"/>
      <c r="B323" s="8" t="inlineStr">
        <is>
          <t>A33.0334</t>
        </is>
      </c>
      <c r="C323" s="8" t="inlineStr">
        <is>
          <t>Ống uPVC_D34</t>
        </is>
      </c>
      <c r="E323" s="8" t="inlineStr">
        <is>
          <t>m</t>
        </is>
      </c>
      <c r="F323" s="8" t="n">
        <v>101</v>
      </c>
      <c r="G323" s="8" t="n">
        <v>14500</v>
      </c>
      <c r="H323" s="8" t="n">
        <v>1</v>
      </c>
      <c r="I323" s="8" t="n">
        <v>1464500</v>
      </c>
    </row>
    <row r="324">
      <c r="A324" s="8" t="inlineStr"/>
      <c r="B324" s="8" t="inlineStr">
        <is>
          <t>A33.0345</t>
        </is>
      </c>
      <c r="C324" s="8" t="inlineStr">
        <is>
          <t>Cồn rửa</t>
        </is>
      </c>
      <c r="E324" s="8" t="inlineStr">
        <is>
          <t>kg</t>
        </is>
      </c>
      <c r="F324" s="8" t="n">
        <v>0.15</v>
      </c>
      <c r="G324" s="8" t="n">
        <v>12000</v>
      </c>
      <c r="H324" s="8" t="n">
        <v>1</v>
      </c>
      <c r="I324" s="8" t="n">
        <v>1800</v>
      </c>
    </row>
    <row r="325">
      <c r="A325" s="8" t="inlineStr"/>
      <c r="B325" s="8" t="inlineStr">
        <is>
          <t>A33.0346</t>
        </is>
      </c>
      <c r="C325" s="8" t="inlineStr">
        <is>
          <t>Nhựa dán</t>
        </is>
      </c>
      <c r="E325" s="8" t="inlineStr">
        <is>
          <t>kg</t>
        </is>
      </c>
      <c r="F325" s="8" t="n">
        <v>0.036</v>
      </c>
      <c r="G325" s="8" t="n">
        <v>86000</v>
      </c>
      <c r="H325" s="8" t="n">
        <v>1</v>
      </c>
      <c r="I325" s="8" t="n">
        <v>3096</v>
      </c>
    </row>
    <row r="326">
      <c r="A326" s="8" t="inlineStr"/>
      <c r="B326" s="8" t="inlineStr">
        <is>
          <t>Z999</t>
        </is>
      </c>
      <c r="C326" s="8" t="inlineStr">
        <is>
          <t>Vật liệu khác</t>
        </is>
      </c>
      <c r="E326" s="8" t="inlineStr">
        <is>
          <t>%</t>
        </is>
      </c>
      <c r="F326" s="8" t="n">
        <v>0.01</v>
      </c>
      <c r="G326" s="8" t="n">
        <v>1469396</v>
      </c>
      <c r="H326" s="8" t="inlineStr"/>
      <c r="I326" s="8" t="n">
        <v>146.9396</v>
      </c>
    </row>
    <row r="327">
      <c r="A327" s="8" t="inlineStr"/>
      <c r="B327" s="8" t="inlineStr"/>
      <c r="C327" s="8" t="inlineStr">
        <is>
          <t>Cộng</t>
        </is>
      </c>
      <c r="E327" s="8" t="inlineStr"/>
      <c r="F327" s="8" t="inlineStr"/>
      <c r="G327" s="8" t="inlineStr"/>
      <c r="H327" s="8" t="inlineStr"/>
      <c r="I327" s="8" t="n">
        <v>1469542.9396</v>
      </c>
    </row>
    <row r="328">
      <c r="A328" s="8" t="inlineStr"/>
      <c r="B328" s="8" t="inlineStr"/>
      <c r="C328" s="8" t="inlineStr">
        <is>
          <t>b) Nhân công</t>
        </is>
      </c>
      <c r="E328" s="8" t="inlineStr"/>
      <c r="F328" s="8" t="inlineStr"/>
      <c r="G328" s="8" t="inlineStr"/>
      <c r="H328" s="8" t="inlineStr"/>
      <c r="I328" s="8" t="n">
        <v>1498770</v>
      </c>
    </row>
    <row r="329">
      <c r="A329" s="8" t="inlineStr"/>
      <c r="B329" s="8" t="inlineStr">
        <is>
          <t>N3</t>
        </is>
      </c>
      <c r="C329" s="8" t="inlineStr">
        <is>
          <t>Nhân công nhóm 3</t>
        </is>
      </c>
      <c r="E329" s="8" t="inlineStr">
        <is>
          <t>công</t>
        </is>
      </c>
      <c r="F329" s="8" t="n">
        <v>3.51</v>
      </c>
      <c r="G329" s="8" t="n">
        <v>427000</v>
      </c>
      <c r="H329" s="8" t="n">
        <v>1</v>
      </c>
      <c r="I329" s="8" t="n">
        <v>1498770</v>
      </c>
    </row>
    <row r="330">
      <c r="A330" s="8" t="n">
        <v>22</v>
      </c>
      <c r="B330" s="11" t="inlineStr">
        <is>
          <t>BB.41104</t>
        </is>
      </c>
      <c r="C330" s="8" t="inlineStr">
        <is>
          <t>Ống uPVC_D42</t>
        </is>
      </c>
      <c r="D330" s="12">
        <f>HYPERLINK("tt38://pl3/71", "👉 Phụ lục III - Trang 71 (Khớp nhóm BB.4110)")</f>
        <v/>
      </c>
      <c r="E330" s="8" t="inlineStr">
        <is>
          <t>100m</t>
        </is>
      </c>
      <c r="F330" s="8" t="n">
        <v>1</v>
      </c>
      <c r="G330" s="8" t="inlineStr"/>
      <c r="H330" s="8" t="inlineStr"/>
      <c r="I330" s="8" t="inlineStr"/>
    </row>
    <row r="331">
      <c r="A331" s="8" t="inlineStr"/>
      <c r="B331" s="8" t="inlineStr"/>
      <c r="C331" s="8" t="inlineStr">
        <is>
          <t>a) Vật liệu</t>
        </is>
      </c>
      <c r="E331" s="8" t="inlineStr"/>
      <c r="F331" s="8" t="inlineStr"/>
      <c r="G331" s="8" t="inlineStr"/>
      <c r="H331" s="8" t="inlineStr"/>
      <c r="I331" s="8" t="n">
        <v>2288858.863</v>
      </c>
    </row>
    <row r="332">
      <c r="A332" s="8" t="inlineStr"/>
      <c r="B332" s="8" t="inlineStr">
        <is>
          <t>A33.0335</t>
        </is>
      </c>
      <c r="C332" s="8" t="inlineStr">
        <is>
          <t>Ống uPVC_D42</t>
        </is>
      </c>
      <c r="E332" s="8" t="inlineStr">
        <is>
          <t>m</t>
        </is>
      </c>
      <c r="F332" s="8" t="n">
        <v>101</v>
      </c>
      <c r="G332" s="8" t="n">
        <v>22600</v>
      </c>
      <c r="H332" s="8" t="n">
        <v>1</v>
      </c>
      <c r="I332" s="8" t="n">
        <v>2282600</v>
      </c>
    </row>
    <row r="333">
      <c r="A333" s="8" t="inlineStr"/>
      <c r="B333" s="8" t="inlineStr">
        <is>
          <t>A33.0345</t>
        </is>
      </c>
      <c r="C333" s="8" t="inlineStr">
        <is>
          <t>Cồn rửa</t>
        </is>
      </c>
      <c r="E333" s="8" t="inlineStr">
        <is>
          <t>kg</t>
        </is>
      </c>
      <c r="F333" s="8" t="n">
        <v>0.18</v>
      </c>
      <c r="G333" s="8" t="n">
        <v>12000</v>
      </c>
      <c r="H333" s="8" t="n">
        <v>1</v>
      </c>
      <c r="I333" s="8" t="n">
        <v>2160</v>
      </c>
    </row>
    <row r="334">
      <c r="A334" s="8" t="inlineStr"/>
      <c r="B334" s="8" t="inlineStr">
        <is>
          <t>A33.0346</t>
        </is>
      </c>
      <c r="C334" s="8" t="inlineStr">
        <is>
          <t>Nhựa dán</t>
        </is>
      </c>
      <c r="E334" s="8" t="inlineStr">
        <is>
          <t>kg</t>
        </is>
      </c>
      <c r="F334" s="8" t="n">
        <v>0.045</v>
      </c>
      <c r="G334" s="8" t="n">
        <v>86000</v>
      </c>
      <c r="H334" s="8" t="n">
        <v>1</v>
      </c>
      <c r="I334" s="8" t="n">
        <v>3870</v>
      </c>
    </row>
    <row r="335">
      <c r="A335" s="8" t="inlineStr"/>
      <c r="B335" s="8" t="inlineStr">
        <is>
          <t>Z999</t>
        </is>
      </c>
      <c r="C335" s="8" t="inlineStr">
        <is>
          <t>Vật liệu khác</t>
        </is>
      </c>
      <c r="E335" s="8" t="inlineStr">
        <is>
          <t>%</t>
        </is>
      </c>
      <c r="F335" s="8" t="n">
        <v>0.01</v>
      </c>
      <c r="G335" s="8" t="n">
        <v>2288630</v>
      </c>
      <c r="H335" s="8" t="inlineStr"/>
      <c r="I335" s="8" t="n">
        <v>228.863</v>
      </c>
    </row>
    <row r="336">
      <c r="A336" s="8" t="inlineStr"/>
      <c r="B336" s="8" t="inlineStr"/>
      <c r="C336" s="8" t="inlineStr">
        <is>
          <t>Cộng</t>
        </is>
      </c>
      <c r="E336" s="8" t="inlineStr"/>
      <c r="F336" s="8" t="inlineStr"/>
      <c r="G336" s="8" t="inlineStr"/>
      <c r="H336" s="8" t="inlineStr"/>
      <c r="I336" s="8" t="n">
        <v>2288858.863</v>
      </c>
    </row>
    <row r="337">
      <c r="A337" s="8" t="inlineStr"/>
      <c r="B337" s="8" t="inlineStr"/>
      <c r="C337" s="8" t="inlineStr">
        <is>
          <t>b) Nhân công</t>
        </is>
      </c>
      <c r="E337" s="8" t="inlineStr"/>
      <c r="F337" s="8" t="inlineStr"/>
      <c r="G337" s="8" t="inlineStr"/>
      <c r="H337" s="8" t="inlineStr"/>
      <c r="I337" s="8" t="n">
        <v>1870260</v>
      </c>
    </row>
    <row r="338">
      <c r="A338" s="8" t="inlineStr"/>
      <c r="B338" s="8" t="inlineStr">
        <is>
          <t>N3</t>
        </is>
      </c>
      <c r="C338" s="8" t="inlineStr">
        <is>
          <t>Nhân công nhóm 3</t>
        </is>
      </c>
      <c r="E338" s="8" t="inlineStr">
        <is>
          <t>công</t>
        </is>
      </c>
      <c r="F338" s="8" t="n">
        <v>4.38</v>
      </c>
      <c r="G338" s="8" t="n">
        <v>427000</v>
      </c>
      <c r="H338" s="8" t="n">
        <v>1</v>
      </c>
      <c r="I338" s="8" t="n">
        <v>1870260</v>
      </c>
    </row>
    <row r="339">
      <c r="A339" s="8" t="n">
        <v>23</v>
      </c>
      <c r="B339" s="11" t="inlineStr">
        <is>
          <t>BB.41105</t>
        </is>
      </c>
      <c r="C339" s="8" t="inlineStr">
        <is>
          <t>Ống uPVC_D48</t>
        </is>
      </c>
      <c r="D339" s="12">
        <f>HYPERLINK("tt38://pl3/71", "👉 Phụ lục III - Trang 71 (Khớp nhóm BB.4110)")</f>
        <v/>
      </c>
      <c r="E339" s="8" t="inlineStr">
        <is>
          <t>100m</t>
        </is>
      </c>
      <c r="F339" s="8" t="n">
        <v>1</v>
      </c>
      <c r="G339" s="8" t="inlineStr"/>
      <c r="H339" s="8" t="inlineStr"/>
      <c r="I339" s="8" t="inlineStr"/>
    </row>
    <row r="340">
      <c r="A340" s="8" t="inlineStr"/>
      <c r="B340" s="8" t="inlineStr"/>
      <c r="C340" s="8" t="inlineStr">
        <is>
          <t>a) Vật liệu</t>
        </is>
      </c>
      <c r="E340" s="8" t="inlineStr"/>
      <c r="F340" s="8" t="inlineStr"/>
      <c r="G340" s="8" t="inlineStr"/>
      <c r="H340" s="8" t="inlineStr"/>
      <c r="I340" s="8" t="n">
        <v>2765496.522</v>
      </c>
    </row>
    <row r="341">
      <c r="A341" s="8" t="inlineStr"/>
      <c r="B341" s="8" t="inlineStr">
        <is>
          <t>A33.0336</t>
        </is>
      </c>
      <c r="C341" s="8" t="inlineStr">
        <is>
          <t>Ống uPVC_D48</t>
        </is>
      </c>
      <c r="E341" s="8" t="inlineStr">
        <is>
          <t>m</t>
        </is>
      </c>
      <c r="F341" s="8" t="n">
        <v>101</v>
      </c>
      <c r="G341" s="8" t="n">
        <v>27300</v>
      </c>
      <c r="H341" s="8" t="n">
        <v>1</v>
      </c>
      <c r="I341" s="8" t="n">
        <v>2757300</v>
      </c>
    </row>
    <row r="342">
      <c r="A342" s="8" t="inlineStr"/>
      <c r="B342" s="8" t="inlineStr">
        <is>
          <t>A33.0345</t>
        </is>
      </c>
      <c r="C342" s="8" t="inlineStr">
        <is>
          <t>Cồn rửa</t>
        </is>
      </c>
      <c r="E342" s="8" t="inlineStr">
        <is>
          <t>kg</t>
        </is>
      </c>
      <c r="F342" s="8" t="n">
        <v>0.23</v>
      </c>
      <c r="G342" s="8" t="n">
        <v>12000</v>
      </c>
      <c r="H342" s="8" t="n">
        <v>1</v>
      </c>
      <c r="I342" s="8" t="n">
        <v>2760</v>
      </c>
    </row>
    <row r="343">
      <c r="A343" s="8" t="inlineStr"/>
      <c r="B343" s="8" t="inlineStr">
        <is>
          <t>A33.0346</t>
        </is>
      </c>
      <c r="C343" s="8" t="inlineStr">
        <is>
          <t>Nhựa dán</t>
        </is>
      </c>
      <c r="E343" s="8" t="inlineStr">
        <is>
          <t>kg</t>
        </is>
      </c>
      <c r="F343" s="8" t="n">
        <v>0.06</v>
      </c>
      <c r="G343" s="8" t="n">
        <v>86000</v>
      </c>
      <c r="H343" s="8" t="n">
        <v>1</v>
      </c>
      <c r="I343" s="8" t="n">
        <v>5160</v>
      </c>
    </row>
    <row r="344">
      <c r="A344" s="8" t="inlineStr"/>
      <c r="B344" s="8" t="inlineStr">
        <is>
          <t>Z999</t>
        </is>
      </c>
      <c r="C344" s="8" t="inlineStr">
        <is>
          <t>Vật liệu khác</t>
        </is>
      </c>
      <c r="E344" s="8" t="inlineStr">
        <is>
          <t>%</t>
        </is>
      </c>
      <c r="F344" s="8" t="n">
        <v>0.01</v>
      </c>
      <c r="G344" s="8" t="n">
        <v>2765220</v>
      </c>
      <c r="H344" s="8" t="inlineStr"/>
      <c r="I344" s="8" t="n">
        <v>276.522</v>
      </c>
    </row>
    <row r="345">
      <c r="A345" s="8" t="inlineStr"/>
      <c r="B345" s="8" t="inlineStr"/>
      <c r="C345" s="8" t="inlineStr">
        <is>
          <t>Cộng</t>
        </is>
      </c>
      <c r="E345" s="8" t="inlineStr"/>
      <c r="F345" s="8" t="inlineStr"/>
      <c r="G345" s="8" t="inlineStr"/>
      <c r="H345" s="8" t="inlineStr"/>
      <c r="I345" s="8" t="n">
        <v>2765496.522</v>
      </c>
    </row>
    <row r="346">
      <c r="A346" s="8" t="inlineStr"/>
      <c r="B346" s="8" t="inlineStr"/>
      <c r="C346" s="8" t="inlineStr">
        <is>
          <t>b) Nhân công</t>
        </is>
      </c>
      <c r="E346" s="8" t="inlineStr"/>
      <c r="F346" s="8" t="inlineStr"/>
      <c r="G346" s="8" t="inlineStr"/>
      <c r="H346" s="8" t="inlineStr"/>
      <c r="I346" s="8" t="n">
        <v>2339960</v>
      </c>
    </row>
    <row r="347">
      <c r="A347" s="8" t="inlineStr"/>
      <c r="B347" s="8" t="inlineStr">
        <is>
          <t>N3</t>
        </is>
      </c>
      <c r="C347" s="8" t="inlineStr">
        <is>
          <t>Nhân công nhóm 3</t>
        </is>
      </c>
      <c r="E347" s="8" t="inlineStr">
        <is>
          <t>công</t>
        </is>
      </c>
      <c r="F347" s="8" t="n">
        <v>5.48</v>
      </c>
      <c r="G347" s="8" t="n">
        <v>427000</v>
      </c>
      <c r="H347" s="8" t="n">
        <v>1</v>
      </c>
      <c r="I347" s="8" t="n">
        <v>2339960</v>
      </c>
    </row>
    <row r="348">
      <c r="A348" s="8" t="n">
        <v>24</v>
      </c>
      <c r="B348" s="11" t="inlineStr">
        <is>
          <t>BC.13102</t>
        </is>
      </c>
      <c r="C348" s="8" t="inlineStr">
        <is>
          <t>Bảo ôn ống uPVC D21 dày 13mm</t>
        </is>
      </c>
      <c r="D348" s="12">
        <f>HYPERLINK("tt38://pl3/204", "👉 Phụ lục III - Trang 204 (Khớp nhóm BC.1310)")</f>
        <v/>
      </c>
      <c r="E348" s="8" t="inlineStr">
        <is>
          <t>100m</t>
        </is>
      </c>
      <c r="F348" s="8" t="n">
        <v>1</v>
      </c>
      <c r="G348" s="8" t="inlineStr"/>
      <c r="H348" s="8" t="inlineStr"/>
      <c r="I348" s="8" t="inlineStr"/>
    </row>
    <row r="349">
      <c r="A349" s="8" t="inlineStr"/>
      <c r="B349" s="8" t="inlineStr"/>
      <c r="C349" s="8" t="inlineStr">
        <is>
          <t>a) Vật liệu</t>
        </is>
      </c>
      <c r="E349" s="8" t="inlineStr"/>
      <c r="F349" s="8" t="inlineStr"/>
      <c r="G349" s="8" t="inlineStr"/>
      <c r="H349" s="8" t="inlineStr"/>
      <c r="I349" s="8" t="n">
        <v>1627726.1</v>
      </c>
    </row>
    <row r="350">
      <c r="A350" s="8" t="inlineStr"/>
      <c r="B350" s="8" t="inlineStr">
        <is>
          <t>A33.1140</t>
        </is>
      </c>
      <c r="C350" s="8" t="inlineStr">
        <is>
          <t>Bảo ôn ống uPVC D21 dày 13mm</t>
        </is>
      </c>
      <c r="E350" s="8" t="inlineStr">
        <is>
          <t>m</t>
        </is>
      </c>
      <c r="F350" s="8" t="n">
        <v>101</v>
      </c>
      <c r="G350" s="8" t="n">
        <v>16100</v>
      </c>
      <c r="H350" s="8" t="n">
        <v>1</v>
      </c>
      <c r="I350" s="8" t="n">
        <v>1626100</v>
      </c>
    </row>
    <row r="351">
      <c r="A351" s="8" t="inlineStr"/>
      <c r="B351" s="8" t="inlineStr">
        <is>
          <t>Z999</t>
        </is>
      </c>
      <c r="C351" s="8" t="inlineStr">
        <is>
          <t>Vật liệu khác</t>
        </is>
      </c>
      <c r="E351" s="8" t="inlineStr">
        <is>
          <t>%</t>
        </is>
      </c>
      <c r="F351" s="8" t="n">
        <v>0.1</v>
      </c>
      <c r="G351" s="8" t="n">
        <v>1626100</v>
      </c>
      <c r="H351" s="8" t="inlineStr"/>
      <c r="I351" s="8" t="n">
        <v>1626.1</v>
      </c>
    </row>
    <row r="352">
      <c r="A352" s="8" t="inlineStr"/>
      <c r="B352" s="8" t="inlineStr"/>
      <c r="C352" s="8" t="inlineStr">
        <is>
          <t>Cộng</t>
        </is>
      </c>
      <c r="E352" s="8" t="inlineStr"/>
      <c r="F352" s="8" t="inlineStr"/>
      <c r="G352" s="8" t="inlineStr"/>
      <c r="H352" s="8" t="inlineStr"/>
      <c r="I352" s="8" t="n">
        <v>1627726.1</v>
      </c>
    </row>
    <row r="353">
      <c r="A353" s="8" t="inlineStr"/>
      <c r="B353" s="8" t="inlineStr"/>
      <c r="C353" s="8" t="inlineStr">
        <is>
          <t>b) Nhân công</t>
        </is>
      </c>
      <c r="E353" s="8" t="inlineStr"/>
      <c r="F353" s="8" t="inlineStr"/>
      <c r="G353" s="8" t="inlineStr"/>
      <c r="H353" s="8" t="inlineStr"/>
      <c r="I353" s="8" t="n">
        <v>3407460</v>
      </c>
    </row>
    <row r="354">
      <c r="A354" s="8" t="inlineStr"/>
      <c r="B354" s="8" t="inlineStr">
        <is>
          <t>N3</t>
        </is>
      </c>
      <c r="C354" s="8" t="inlineStr">
        <is>
          <t>Nhân công nhóm 3</t>
        </is>
      </c>
      <c r="E354" s="8" t="inlineStr">
        <is>
          <t>công</t>
        </is>
      </c>
      <c r="F354" s="8" t="n">
        <v>7.98</v>
      </c>
      <c r="G354" s="8" t="n">
        <v>427000</v>
      </c>
      <c r="H354" s="8" t="n">
        <v>1</v>
      </c>
      <c r="I354" s="8" t="n">
        <v>3407460</v>
      </c>
    </row>
    <row r="355">
      <c r="A355" s="8" t="n">
        <v>25</v>
      </c>
      <c r="B355" s="11" t="inlineStr">
        <is>
          <t>BC.13103</t>
        </is>
      </c>
      <c r="C355" s="8" t="inlineStr">
        <is>
          <t>Bảo ôn ống uPVC D27 dày 13mm</t>
        </is>
      </c>
      <c r="D355" s="12">
        <f>HYPERLINK("tt38://pl3/204", "👉 Phụ lục III - Trang 204 (Khớp nhóm BC.1310)")</f>
        <v/>
      </c>
      <c r="E355" s="8" t="inlineStr">
        <is>
          <t>100m</t>
        </is>
      </c>
      <c r="F355" s="8" t="n">
        <v>1</v>
      </c>
      <c r="G355" s="8" t="inlineStr"/>
      <c r="H355" s="8" t="inlineStr"/>
      <c r="I355" s="8" t="inlineStr"/>
    </row>
    <row r="356">
      <c r="A356" s="8" t="inlineStr"/>
      <c r="B356" s="8" t="inlineStr"/>
      <c r="C356" s="8" t="inlineStr">
        <is>
          <t>a) Vật liệu</t>
        </is>
      </c>
      <c r="E356" s="8" t="inlineStr"/>
      <c r="F356" s="8" t="inlineStr"/>
      <c r="G356" s="8" t="inlineStr"/>
      <c r="H356" s="8" t="inlineStr"/>
      <c r="I356" s="8" t="n">
        <v>1971469.5</v>
      </c>
    </row>
    <row r="357">
      <c r="A357" s="8" t="inlineStr"/>
      <c r="B357" s="8" t="inlineStr">
        <is>
          <t>A33.1140</t>
        </is>
      </c>
      <c r="C357" s="8" t="inlineStr">
        <is>
          <t>Bảo ôn ống uPVC D27 dày 13mm</t>
        </is>
      </c>
      <c r="E357" s="8" t="inlineStr">
        <is>
          <t>m</t>
        </is>
      </c>
      <c r="F357" s="8" t="n">
        <v>101</v>
      </c>
      <c r="G357" s="8" t="n">
        <v>19500</v>
      </c>
      <c r="H357" s="8" t="n">
        <v>1</v>
      </c>
      <c r="I357" s="8" t="n">
        <v>1969500</v>
      </c>
    </row>
    <row r="358">
      <c r="A358" s="8" t="inlineStr"/>
      <c r="B358" s="8" t="inlineStr">
        <is>
          <t>Z999</t>
        </is>
      </c>
      <c r="C358" s="8" t="inlineStr">
        <is>
          <t>Vật liệu khác</t>
        </is>
      </c>
      <c r="E358" s="8" t="inlineStr">
        <is>
          <t>%</t>
        </is>
      </c>
      <c r="F358" s="8" t="n">
        <v>0.1</v>
      </c>
      <c r="G358" s="8" t="n">
        <v>1969500</v>
      </c>
      <c r="H358" s="8" t="inlineStr"/>
      <c r="I358" s="8" t="n">
        <v>1969.5</v>
      </c>
    </row>
    <row r="359">
      <c r="A359" s="8" t="inlineStr"/>
      <c r="B359" s="8" t="inlineStr"/>
      <c r="C359" s="8" t="inlineStr">
        <is>
          <t>Cộng</t>
        </is>
      </c>
      <c r="E359" s="8" t="inlineStr"/>
      <c r="F359" s="8" t="inlineStr"/>
      <c r="G359" s="8" t="inlineStr"/>
      <c r="H359" s="8" t="inlineStr"/>
      <c r="I359" s="8" t="n">
        <v>1971469.5</v>
      </c>
    </row>
    <row r="360">
      <c r="A360" s="8" t="inlineStr"/>
      <c r="B360" s="8" t="inlineStr"/>
      <c r="C360" s="8" t="inlineStr">
        <is>
          <t>b) Nhân công</t>
        </is>
      </c>
      <c r="E360" s="8" t="inlineStr"/>
      <c r="F360" s="8" t="inlineStr"/>
      <c r="G360" s="8" t="inlineStr"/>
      <c r="H360" s="8" t="inlineStr"/>
      <c r="I360" s="8" t="n">
        <v>3655120</v>
      </c>
    </row>
    <row r="361">
      <c r="A361" s="8" t="inlineStr"/>
      <c r="B361" s="8" t="inlineStr">
        <is>
          <t>N3</t>
        </is>
      </c>
      <c r="C361" s="8" t="inlineStr">
        <is>
          <t>Nhân công nhóm 3</t>
        </is>
      </c>
      <c r="E361" s="8" t="inlineStr">
        <is>
          <t>công</t>
        </is>
      </c>
      <c r="F361" s="8" t="n">
        <v>8.56</v>
      </c>
      <c r="G361" s="8" t="n">
        <v>427000</v>
      </c>
      <c r="H361" s="8" t="n">
        <v>1</v>
      </c>
      <c r="I361" s="8" t="n">
        <v>3655120</v>
      </c>
    </row>
    <row r="362">
      <c r="A362" s="8" t="n">
        <v>26</v>
      </c>
      <c r="B362" s="11" t="inlineStr">
        <is>
          <t>BC.13104</t>
        </is>
      </c>
      <c r="C362" s="8" t="inlineStr">
        <is>
          <t>Bảo ôn ống uPVC D34 dày 13mm</t>
        </is>
      </c>
      <c r="D362" s="12">
        <f>HYPERLINK("tt38://pl3/204", "👉 Phụ lục III - Trang 204 (Khớp nhóm BC.1310)")</f>
        <v/>
      </c>
      <c r="E362" s="8" t="inlineStr">
        <is>
          <t>100m</t>
        </is>
      </c>
      <c r="F362" s="8" t="n">
        <v>1</v>
      </c>
      <c r="G362" s="8" t="inlineStr"/>
      <c r="H362" s="8" t="inlineStr"/>
      <c r="I362" s="8" t="inlineStr"/>
    </row>
    <row r="363">
      <c r="A363" s="8" t="inlineStr"/>
      <c r="B363" s="8" t="inlineStr"/>
      <c r="C363" s="8" t="inlineStr">
        <is>
          <t>a) Vật liệu</t>
        </is>
      </c>
      <c r="E363" s="8" t="inlineStr"/>
      <c r="F363" s="8" t="inlineStr"/>
      <c r="G363" s="8" t="inlineStr"/>
      <c r="H363" s="8" t="inlineStr"/>
      <c r="I363" s="8" t="n">
        <v>2315212.9</v>
      </c>
    </row>
    <row r="364">
      <c r="A364" s="8" t="inlineStr"/>
      <c r="B364" s="8" t="inlineStr">
        <is>
          <t>A33.1140</t>
        </is>
      </c>
      <c r="C364" s="8" t="inlineStr">
        <is>
          <t>Bảo ôn ống uPVC D34 dày 13mm</t>
        </is>
      </c>
      <c r="E364" s="8" t="inlineStr">
        <is>
          <t>m</t>
        </is>
      </c>
      <c r="F364" s="8" t="n">
        <v>101</v>
      </c>
      <c r="G364" s="8" t="n">
        <v>22900</v>
      </c>
      <c r="H364" s="8" t="n">
        <v>1</v>
      </c>
      <c r="I364" s="8" t="n">
        <v>2312900</v>
      </c>
    </row>
    <row r="365">
      <c r="A365" s="8" t="inlineStr"/>
      <c r="B365" s="8" t="inlineStr">
        <is>
          <t>Z999</t>
        </is>
      </c>
      <c r="C365" s="8" t="inlineStr">
        <is>
          <t>Vật liệu khác</t>
        </is>
      </c>
      <c r="E365" s="8" t="inlineStr">
        <is>
          <t>%</t>
        </is>
      </c>
      <c r="F365" s="8" t="n">
        <v>0.1</v>
      </c>
      <c r="G365" s="8" t="n">
        <v>2312900</v>
      </c>
      <c r="H365" s="8" t="inlineStr"/>
      <c r="I365" s="8" t="n">
        <v>2312.9</v>
      </c>
    </row>
    <row r="366">
      <c r="A366" s="8" t="inlineStr"/>
      <c r="B366" s="8" t="inlineStr"/>
      <c r="C366" s="8" t="inlineStr">
        <is>
          <t>Cộng</t>
        </is>
      </c>
      <c r="E366" s="8" t="inlineStr"/>
      <c r="F366" s="8" t="inlineStr"/>
      <c r="G366" s="8" t="inlineStr"/>
      <c r="H366" s="8" t="inlineStr"/>
      <c r="I366" s="8" t="n">
        <v>2315212.9</v>
      </c>
    </row>
    <row r="367">
      <c r="A367" s="8" t="inlineStr"/>
      <c r="B367" s="8" t="inlineStr"/>
      <c r="C367" s="8" t="inlineStr">
        <is>
          <t>b) Nhân công</t>
        </is>
      </c>
      <c r="E367" s="8" t="inlineStr"/>
      <c r="F367" s="8" t="inlineStr"/>
      <c r="G367" s="8" t="inlineStr"/>
      <c r="H367" s="8" t="inlineStr"/>
      <c r="I367" s="8" t="n">
        <v>3885700</v>
      </c>
    </row>
    <row r="368">
      <c r="A368" s="8" t="inlineStr"/>
      <c r="B368" s="8" t="inlineStr">
        <is>
          <t>N3</t>
        </is>
      </c>
      <c r="C368" s="8" t="inlineStr">
        <is>
          <t>Nhân công nhóm 3</t>
        </is>
      </c>
      <c r="E368" s="8" t="inlineStr">
        <is>
          <t>công</t>
        </is>
      </c>
      <c r="F368" s="8" t="n">
        <v>9.1</v>
      </c>
      <c r="G368" s="8" t="n">
        <v>427000</v>
      </c>
      <c r="H368" s="8" t="n">
        <v>1</v>
      </c>
      <c r="I368" s="8" t="n">
        <v>3885700</v>
      </c>
    </row>
    <row r="369">
      <c r="A369" s="8" t="n">
        <v>27</v>
      </c>
      <c r="B369" s="11" t="inlineStr">
        <is>
          <t>BC.13105</t>
        </is>
      </c>
      <c r="C369" s="8" t="inlineStr">
        <is>
          <t>Bảo ôn ống uPVC D42 dày 13mm</t>
        </is>
      </c>
      <c r="D369" s="12">
        <f>HYPERLINK("tt38://pl3/204", "👉 Phụ lục III - Trang 204 (Khớp nhóm BC.1310)")</f>
        <v/>
      </c>
      <c r="E369" s="8" t="inlineStr">
        <is>
          <t>100m</t>
        </is>
      </c>
      <c r="F369" s="8" t="n">
        <v>1</v>
      </c>
      <c r="G369" s="8" t="inlineStr"/>
      <c r="H369" s="8" t="inlineStr"/>
      <c r="I369" s="8" t="inlineStr"/>
    </row>
    <row r="370">
      <c r="A370" s="8" t="inlineStr"/>
      <c r="B370" s="8" t="inlineStr"/>
      <c r="C370" s="8" t="inlineStr">
        <is>
          <t>a) Vật liệu</t>
        </is>
      </c>
      <c r="E370" s="8" t="inlineStr"/>
      <c r="F370" s="8" t="inlineStr"/>
      <c r="G370" s="8" t="inlineStr"/>
      <c r="H370" s="8" t="inlineStr"/>
      <c r="I370" s="8" t="n">
        <v>2952149.2</v>
      </c>
    </row>
    <row r="371">
      <c r="A371" s="8" t="inlineStr"/>
      <c r="B371" s="8" t="inlineStr">
        <is>
          <t>A33.1140</t>
        </is>
      </c>
      <c r="C371" s="8" t="inlineStr">
        <is>
          <t>Bảo ôn ống uPVC D42 dày 13mm</t>
        </is>
      </c>
      <c r="E371" s="8" t="inlineStr">
        <is>
          <t>m</t>
        </is>
      </c>
      <c r="F371" s="8" t="n">
        <v>101</v>
      </c>
      <c r="G371" s="8" t="n">
        <v>29200</v>
      </c>
      <c r="H371" s="8" t="n">
        <v>1</v>
      </c>
      <c r="I371" s="8" t="n">
        <v>2949200</v>
      </c>
    </row>
    <row r="372">
      <c r="A372" s="8" t="inlineStr"/>
      <c r="B372" s="8" t="inlineStr">
        <is>
          <t>Z999</t>
        </is>
      </c>
      <c r="C372" s="8" t="inlineStr">
        <is>
          <t>Vật liệu khác</t>
        </is>
      </c>
      <c r="E372" s="8" t="inlineStr">
        <is>
          <t>%</t>
        </is>
      </c>
      <c r="F372" s="8" t="n">
        <v>0.1</v>
      </c>
      <c r="G372" s="8" t="n">
        <v>2949200</v>
      </c>
      <c r="H372" s="8" t="inlineStr"/>
      <c r="I372" s="8" t="n">
        <v>2949.2</v>
      </c>
    </row>
    <row r="373">
      <c r="A373" s="8" t="inlineStr"/>
      <c r="B373" s="8" t="inlineStr"/>
      <c r="C373" s="8" t="inlineStr">
        <is>
          <t>Cộng</t>
        </is>
      </c>
      <c r="E373" s="8" t="inlineStr"/>
      <c r="F373" s="8" t="inlineStr"/>
      <c r="G373" s="8" t="inlineStr"/>
      <c r="H373" s="8" t="inlineStr"/>
      <c r="I373" s="8" t="n">
        <v>2952149.2</v>
      </c>
    </row>
    <row r="374">
      <c r="A374" s="8" t="inlineStr"/>
      <c r="B374" s="8" t="inlineStr"/>
      <c r="C374" s="8" t="inlineStr">
        <is>
          <t>b) Nhân công</t>
        </is>
      </c>
      <c r="E374" s="8" t="inlineStr"/>
      <c r="F374" s="8" t="inlineStr"/>
      <c r="G374" s="8" t="inlineStr"/>
      <c r="H374" s="8" t="inlineStr"/>
      <c r="I374" s="8" t="n">
        <v>4270000</v>
      </c>
    </row>
    <row r="375">
      <c r="A375" s="8" t="inlineStr"/>
      <c r="B375" s="8" t="inlineStr">
        <is>
          <t>N3</t>
        </is>
      </c>
      <c r="C375" s="8" t="inlineStr">
        <is>
          <t>Nhân công nhóm 3</t>
        </is>
      </c>
      <c r="E375" s="8" t="inlineStr">
        <is>
          <t>công</t>
        </is>
      </c>
      <c r="F375" s="8" t="n">
        <v>10</v>
      </c>
      <c r="G375" s="8" t="n">
        <v>427000</v>
      </c>
      <c r="H375" s="8" t="n">
        <v>1</v>
      </c>
      <c r="I375" s="8" t="n">
        <v>4270000</v>
      </c>
    </row>
    <row r="376">
      <c r="A376" s="8" t="n">
        <v>28</v>
      </c>
      <c r="B376" s="11" t="inlineStr">
        <is>
          <t>BC.13106</t>
        </is>
      </c>
      <c r="C376" s="8" t="inlineStr">
        <is>
          <t>Bảo ôn ống uPVC D48 dày 13mm</t>
        </is>
      </c>
      <c r="D376" s="12">
        <f>HYPERLINK("tt38://pl3/204", "👉 Phụ lục III - Trang 204 (Khớp nhóm BC.1310)")</f>
        <v/>
      </c>
      <c r="E376" s="8" t="inlineStr">
        <is>
          <t>100m</t>
        </is>
      </c>
      <c r="F376" s="8" t="n">
        <v>1</v>
      </c>
      <c r="G376" s="8" t="inlineStr"/>
      <c r="H376" s="8" t="inlineStr"/>
      <c r="I376" s="8" t="inlineStr"/>
    </row>
    <row r="377">
      <c r="A377" s="8" t="inlineStr"/>
      <c r="B377" s="8" t="inlineStr"/>
      <c r="C377" s="8" t="inlineStr">
        <is>
          <t>a) Vật liệu</t>
        </is>
      </c>
      <c r="E377" s="8" t="inlineStr"/>
      <c r="F377" s="8" t="inlineStr"/>
      <c r="G377" s="8" t="inlineStr"/>
      <c r="H377" s="8" t="inlineStr"/>
      <c r="I377" s="8" t="n">
        <v>3245342.1</v>
      </c>
    </row>
    <row r="378">
      <c r="A378" s="8" t="inlineStr"/>
      <c r="B378" s="8" t="inlineStr">
        <is>
          <t>A33.1140</t>
        </is>
      </c>
      <c r="C378" s="8" t="inlineStr">
        <is>
          <t>Bảo ôn ống uPVC D48 dày 13mm</t>
        </is>
      </c>
      <c r="E378" s="8" t="inlineStr">
        <is>
          <t>m</t>
        </is>
      </c>
      <c r="F378" s="8" t="n">
        <v>101</v>
      </c>
      <c r="G378" s="8" t="n">
        <v>32100</v>
      </c>
      <c r="H378" s="8" t="n">
        <v>1</v>
      </c>
      <c r="I378" s="8" t="n">
        <v>3242100</v>
      </c>
    </row>
    <row r="379">
      <c r="A379" s="8" t="inlineStr"/>
      <c r="B379" s="8" t="inlineStr">
        <is>
          <t>Z999</t>
        </is>
      </c>
      <c r="C379" s="8" t="inlineStr">
        <is>
          <t>Vật liệu khác</t>
        </is>
      </c>
      <c r="E379" s="8" t="inlineStr">
        <is>
          <t>%</t>
        </is>
      </c>
      <c r="F379" s="8" t="n">
        <v>0.1</v>
      </c>
      <c r="G379" s="8" t="n">
        <v>3242100</v>
      </c>
      <c r="H379" s="8" t="inlineStr"/>
      <c r="I379" s="8" t="n">
        <v>3242.1</v>
      </c>
    </row>
    <row r="380">
      <c r="A380" s="8" t="inlineStr"/>
      <c r="B380" s="8" t="inlineStr"/>
      <c r="C380" s="8" t="inlineStr">
        <is>
          <t>Cộng</t>
        </is>
      </c>
      <c r="E380" s="8" t="inlineStr"/>
      <c r="F380" s="8" t="inlineStr"/>
      <c r="G380" s="8" t="inlineStr"/>
      <c r="H380" s="8" t="inlineStr"/>
      <c r="I380" s="8" t="n">
        <v>3245342.1</v>
      </c>
    </row>
    <row r="381">
      <c r="A381" s="8" t="inlineStr"/>
      <c r="B381" s="8" t="inlineStr"/>
      <c r="C381" s="8" t="inlineStr">
        <is>
          <t>b) Nhân công</t>
        </is>
      </c>
      <c r="E381" s="8" t="inlineStr"/>
      <c r="F381" s="8" t="inlineStr"/>
      <c r="G381" s="8" t="inlineStr"/>
      <c r="H381" s="8" t="inlineStr"/>
      <c r="I381" s="8" t="n">
        <v>4526200</v>
      </c>
    </row>
    <row r="382">
      <c r="A382" s="8" t="inlineStr"/>
      <c r="B382" s="8" t="inlineStr">
        <is>
          <t>N3</t>
        </is>
      </c>
      <c r="C382" s="8" t="inlineStr">
        <is>
          <t>Nhân công nhóm 3</t>
        </is>
      </c>
      <c r="E382" s="8" t="inlineStr">
        <is>
          <t>công</t>
        </is>
      </c>
      <c r="F382" s="8" t="n">
        <v>10.6</v>
      </c>
      <c r="G382" s="8" t="n">
        <v>427000</v>
      </c>
      <c r="H382" s="8" t="n">
        <v>1</v>
      </c>
      <c r="I382" s="8" t="n">
        <v>4526200</v>
      </c>
    </row>
    <row r="383">
      <c r="A383" s="8" t="inlineStr"/>
      <c r="B383" s="8" t="inlineStr">
        <is>
          <t>*</t>
        </is>
      </c>
      <c r="C383" s="8" t="inlineStr">
        <is>
          <t>Dây điện</t>
        </is>
      </c>
      <c r="E383" s="8" t="inlineStr"/>
      <c r="F383" s="8" t="inlineStr"/>
      <c r="G383" s="8" t="inlineStr"/>
      <c r="H383" s="8" t="inlineStr"/>
      <c r="I383" s="8" t="inlineStr"/>
    </row>
    <row r="384">
      <c r="A384" s="8" t="n">
        <v>29</v>
      </c>
      <c r="B384" s="11" t="inlineStr">
        <is>
          <t>BA.16201</t>
        </is>
      </c>
      <c r="C384" s="8" t="inlineStr">
        <is>
          <t>Dây điện_Cu/PVC_2x(1x0.75)mm2</t>
        </is>
      </c>
      <c r="D384" s="12">
        <f>HYPERLINK("tt38://pl3/14", "👉 Phụ lục III - Trang 14 (Khớp nhóm BA.1620)")</f>
        <v/>
      </c>
      <c r="E384" s="8" t="inlineStr">
        <is>
          <t>m</t>
        </is>
      </c>
      <c r="F384" s="8" t="n">
        <v>1</v>
      </c>
      <c r="G384" s="8" t="inlineStr"/>
      <c r="H384" s="8" t="inlineStr"/>
      <c r="I384" s="8" t="inlineStr"/>
    </row>
    <row r="385">
      <c r="A385" s="8" t="inlineStr"/>
      <c r="B385" s="8" t="inlineStr"/>
      <c r="C385" s="8" t="inlineStr">
        <is>
          <t>a) Vật liệu</t>
        </is>
      </c>
      <c r="E385" s="8" t="inlineStr"/>
      <c r="F385" s="8" t="inlineStr"/>
      <c r="G385" s="8" t="inlineStr"/>
      <c r="H385" s="8" t="inlineStr"/>
      <c r="I385" s="8" t="n">
        <v>9006.9174</v>
      </c>
    </row>
    <row r="386">
      <c r="A386" s="8" t="inlineStr"/>
      <c r="B386" s="8" t="inlineStr">
        <is>
          <t>A33.0074</t>
        </is>
      </c>
      <c r="C386" s="8" t="inlineStr">
        <is>
          <t>Dây điện_Cu/PVC_2x(1x0.75)mm2</t>
        </is>
      </c>
      <c r="E386" s="8" t="inlineStr">
        <is>
          <t>m</t>
        </is>
      </c>
      <c r="F386" s="8" t="n">
        <v>1.01</v>
      </c>
      <c r="G386" s="8" t="n">
        <v>8658</v>
      </c>
      <c r="H386" s="8" t="n">
        <v>1</v>
      </c>
      <c r="I386" s="8" t="n">
        <v>8744.58</v>
      </c>
    </row>
    <row r="387">
      <c r="A387" s="8" t="inlineStr"/>
      <c r="B387" s="8" t="inlineStr">
        <is>
          <t>Z999</t>
        </is>
      </c>
      <c r="C387" s="8" t="inlineStr">
        <is>
          <t>Vật liệu khác</t>
        </is>
      </c>
      <c r="E387" s="8" t="inlineStr">
        <is>
          <t>%</t>
        </is>
      </c>
      <c r="F387" s="8" t="n">
        <v>3</v>
      </c>
      <c r="G387" s="8" t="n">
        <v>8744.58</v>
      </c>
      <c r="H387" s="8" t="inlineStr"/>
      <c r="I387" s="8" t="n">
        <v>262.3374</v>
      </c>
    </row>
    <row r="388">
      <c r="A388" s="8" t="inlineStr"/>
      <c r="B388" s="8" t="inlineStr"/>
      <c r="C388" s="8" t="inlineStr">
        <is>
          <t>Cộng</t>
        </is>
      </c>
      <c r="E388" s="8" t="inlineStr"/>
      <c r="F388" s="8" t="inlineStr"/>
      <c r="G388" s="8" t="inlineStr"/>
      <c r="H388" s="8" t="inlineStr"/>
      <c r="I388" s="8" t="n">
        <v>9006.9174</v>
      </c>
    </row>
    <row r="389">
      <c r="A389" s="8" t="inlineStr"/>
      <c r="B389" s="8" t="inlineStr"/>
      <c r="C389" s="8" t="inlineStr">
        <is>
          <t>b) Nhân công</t>
        </is>
      </c>
      <c r="E389" s="8" t="inlineStr"/>
      <c r="F389" s="8" t="inlineStr"/>
      <c r="G389" s="8" t="inlineStr"/>
      <c r="H389" s="8" t="inlineStr"/>
      <c r="I389" s="8" t="n">
        <v>9821</v>
      </c>
    </row>
    <row r="390">
      <c r="A390" s="8" t="inlineStr"/>
      <c r="B390" s="8" t="inlineStr">
        <is>
          <t>N3</t>
        </is>
      </c>
      <c r="C390" s="8" t="inlineStr">
        <is>
          <t>Nhân công nhóm 3</t>
        </is>
      </c>
      <c r="E390" s="8" t="inlineStr">
        <is>
          <t>công</t>
        </is>
      </c>
      <c r="F390" s="8" t="n">
        <v>0.023</v>
      </c>
      <c r="G390" s="8" t="n">
        <v>427000</v>
      </c>
      <c r="H390" s="8" t="n">
        <v>1</v>
      </c>
      <c r="I390" s="8" t="n">
        <v>9821</v>
      </c>
    </row>
    <row r="391">
      <c r="A391" s="8" t="n">
        <v>30</v>
      </c>
      <c r="B391" s="11" t="inlineStr">
        <is>
          <t>BA.16202</t>
        </is>
      </c>
      <c r="C391" s="8" t="inlineStr">
        <is>
          <t>Dây điện_Cu/PVC_2x(1x1.5)mm2</t>
        </is>
      </c>
      <c r="D391" s="12">
        <f>HYPERLINK("tt38://pl3/14", "👉 Phụ lục III - Trang 14 (Khớp nhóm BA.1620)")</f>
        <v/>
      </c>
      <c r="E391" s="8" t="inlineStr">
        <is>
          <t>m</t>
        </is>
      </c>
      <c r="F391" s="8" t="n">
        <v>1</v>
      </c>
      <c r="G391" s="8" t="inlineStr"/>
      <c r="H391" s="8" t="inlineStr"/>
      <c r="I391" s="8" t="inlineStr"/>
    </row>
    <row r="392">
      <c r="A392" s="8" t="inlineStr"/>
      <c r="B392" s="8" t="inlineStr"/>
      <c r="C392" s="8" t="inlineStr">
        <is>
          <t>a) Vật liệu</t>
        </is>
      </c>
      <c r="E392" s="8" t="inlineStr"/>
      <c r="F392" s="8" t="inlineStr"/>
      <c r="G392" s="8" t="inlineStr"/>
      <c r="H392" s="8" t="inlineStr"/>
      <c r="I392" s="8" t="n">
        <v>15661.7165</v>
      </c>
    </row>
    <row r="393">
      <c r="A393" s="8" t="inlineStr"/>
      <c r="B393" s="8" t="inlineStr">
        <is>
          <t>A33.0075</t>
        </is>
      </c>
      <c r="C393" s="8" t="inlineStr">
        <is>
          <t>Dây điện_Cu/PVC_2x(1x1.5)mm2</t>
        </is>
      </c>
      <c r="E393" s="8" t="inlineStr">
        <is>
          <t>m</t>
        </is>
      </c>
      <c r="F393" s="8" t="n">
        <v>1.01</v>
      </c>
      <c r="G393" s="8" t="n">
        <v>15055</v>
      </c>
      <c r="H393" s="8" t="n">
        <v>1</v>
      </c>
      <c r="I393" s="8" t="n">
        <v>15205.55</v>
      </c>
    </row>
    <row r="394">
      <c r="A394" s="8" t="inlineStr"/>
      <c r="B394" s="8" t="inlineStr">
        <is>
          <t>Z999</t>
        </is>
      </c>
      <c r="C394" s="8" t="inlineStr">
        <is>
          <t>Vật liệu khác</t>
        </is>
      </c>
      <c r="E394" s="8" t="inlineStr">
        <is>
          <t>%</t>
        </is>
      </c>
      <c r="F394" s="8" t="n">
        <v>3</v>
      </c>
      <c r="G394" s="8" t="n">
        <v>15205.55</v>
      </c>
      <c r="H394" s="8" t="inlineStr"/>
      <c r="I394" s="8" t="n">
        <v>456.1664999999999</v>
      </c>
    </row>
    <row r="395">
      <c r="A395" s="8" t="inlineStr"/>
      <c r="B395" s="8" t="inlineStr"/>
      <c r="C395" s="8" t="inlineStr">
        <is>
          <t>Cộng</t>
        </is>
      </c>
      <c r="E395" s="8" t="inlineStr"/>
      <c r="F395" s="8" t="inlineStr"/>
      <c r="G395" s="8" t="inlineStr"/>
      <c r="H395" s="8" t="inlineStr"/>
      <c r="I395" s="8" t="n">
        <v>15661.7165</v>
      </c>
    </row>
    <row r="396">
      <c r="A396" s="8" t="inlineStr"/>
      <c r="B396" s="8" t="inlineStr"/>
      <c r="C396" s="8" t="inlineStr">
        <is>
          <t>b) Nhân công</t>
        </is>
      </c>
      <c r="E396" s="8" t="inlineStr"/>
      <c r="F396" s="8" t="inlineStr"/>
      <c r="G396" s="8" t="inlineStr"/>
      <c r="H396" s="8" t="inlineStr"/>
      <c r="I396" s="8" t="n">
        <v>11956</v>
      </c>
    </row>
    <row r="397">
      <c r="A397" s="8" t="inlineStr"/>
      <c r="B397" s="8" t="inlineStr">
        <is>
          <t>N3</t>
        </is>
      </c>
      <c r="C397" s="8" t="inlineStr">
        <is>
          <t>Nhân công nhóm 3</t>
        </is>
      </c>
      <c r="E397" s="8" t="inlineStr">
        <is>
          <t>công</t>
        </is>
      </c>
      <c r="F397" s="8" t="n">
        <v>0.028</v>
      </c>
      <c r="G397" s="8" t="n">
        <v>427000</v>
      </c>
      <c r="H397" s="8" t="n">
        <v>1</v>
      </c>
      <c r="I397" s="8" t="n">
        <v>11956</v>
      </c>
    </row>
    <row r="398">
      <c r="A398" s="8" t="n">
        <v>31</v>
      </c>
      <c r="B398" s="11" t="inlineStr">
        <is>
          <t>BA.16202</t>
        </is>
      </c>
      <c r="C398" s="8" t="inlineStr">
        <is>
          <t>Dây điện_Cu/PVC_2x(1x2.5)mm2</t>
        </is>
      </c>
      <c r="D398" s="12">
        <f>HYPERLINK("tt38://pl3/14", "👉 Phụ lục III - Trang 14 (Khớp nhóm BA.1620)")</f>
        <v/>
      </c>
      <c r="E398" s="8" t="inlineStr">
        <is>
          <t>m</t>
        </is>
      </c>
      <c r="F398" s="8" t="n">
        <v>1</v>
      </c>
      <c r="G398" s="8" t="inlineStr"/>
      <c r="H398" s="8" t="inlineStr"/>
      <c r="I398" s="8" t="inlineStr"/>
    </row>
    <row r="399">
      <c r="A399" s="8" t="inlineStr"/>
      <c r="B399" s="8" t="inlineStr"/>
      <c r="C399" s="8" t="inlineStr">
        <is>
          <t>a) Vật liệu</t>
        </is>
      </c>
      <c r="E399" s="8" t="inlineStr"/>
      <c r="F399" s="8" t="inlineStr"/>
      <c r="G399" s="8" t="inlineStr"/>
      <c r="H399" s="8" t="inlineStr"/>
      <c r="I399" s="8" t="n">
        <v>25582.0173</v>
      </c>
    </row>
    <row r="400">
      <c r="A400" s="8" t="inlineStr"/>
      <c r="B400" s="8" t="inlineStr">
        <is>
          <t>A33.0075</t>
        </is>
      </c>
      <c r="C400" s="8" t="inlineStr">
        <is>
          <t>Dây điện_Cu/PVC_2x(1x2.5)mm2</t>
        </is>
      </c>
      <c r="E400" s="8" t="inlineStr">
        <is>
          <t>m</t>
        </is>
      </c>
      <c r="F400" s="8" t="n">
        <v>1.01</v>
      </c>
      <c r="G400" s="8" t="n">
        <v>24591</v>
      </c>
      <c r="H400" s="8" t="n">
        <v>1</v>
      </c>
      <c r="I400" s="8" t="n">
        <v>24836.91</v>
      </c>
    </row>
    <row r="401">
      <c r="A401" s="8" t="inlineStr"/>
      <c r="B401" s="8" t="inlineStr">
        <is>
          <t>Z999</t>
        </is>
      </c>
      <c r="C401" s="8" t="inlineStr">
        <is>
          <t>Vật liệu khác</t>
        </is>
      </c>
      <c r="E401" s="8" t="inlineStr">
        <is>
          <t>%</t>
        </is>
      </c>
      <c r="F401" s="8" t="n">
        <v>3</v>
      </c>
      <c r="G401" s="8" t="n">
        <v>24836.91</v>
      </c>
      <c r="H401" s="8" t="inlineStr"/>
      <c r="I401" s="8" t="n">
        <v>745.1073</v>
      </c>
    </row>
    <row r="402">
      <c r="A402" s="8" t="inlineStr"/>
      <c r="B402" s="8" t="inlineStr"/>
      <c r="C402" s="8" t="inlineStr">
        <is>
          <t>Cộng</t>
        </is>
      </c>
      <c r="E402" s="8" t="inlineStr"/>
      <c r="F402" s="8" t="inlineStr"/>
      <c r="G402" s="8" t="inlineStr"/>
      <c r="H402" s="8" t="inlineStr"/>
      <c r="I402" s="8" t="n">
        <v>25582.0173</v>
      </c>
    </row>
    <row r="403">
      <c r="A403" s="8" t="inlineStr"/>
      <c r="B403" s="8" t="inlineStr"/>
      <c r="C403" s="8" t="inlineStr">
        <is>
          <t>b) Nhân công</t>
        </is>
      </c>
      <c r="E403" s="8" t="inlineStr"/>
      <c r="F403" s="8" t="inlineStr"/>
      <c r="G403" s="8" t="inlineStr"/>
      <c r="H403" s="8" t="inlineStr"/>
      <c r="I403" s="8" t="n">
        <v>11956</v>
      </c>
    </row>
    <row r="404">
      <c r="A404" s="8" t="inlineStr"/>
      <c r="B404" s="8" t="inlineStr">
        <is>
          <t>N3</t>
        </is>
      </c>
      <c r="C404" s="8" t="inlineStr">
        <is>
          <t>Nhân công nhóm 3</t>
        </is>
      </c>
      <c r="E404" s="8" t="inlineStr">
        <is>
          <t>công</t>
        </is>
      </c>
      <c r="F404" s="8" t="n">
        <v>0.028</v>
      </c>
      <c r="G404" s="8" t="n">
        <v>427000</v>
      </c>
      <c r="H404" s="8" t="n">
        <v>1</v>
      </c>
      <c r="I404" s="8" t="n">
        <v>11956</v>
      </c>
    </row>
    <row r="405">
      <c r="A405" s="8" t="n">
        <v>32</v>
      </c>
      <c r="B405" s="11" t="inlineStr">
        <is>
          <t>BA.16202</t>
        </is>
      </c>
      <c r="C405" s="8" t="inlineStr">
        <is>
          <t>Dây điện_Cu/PVC_2x(1x4.0)mm2</t>
        </is>
      </c>
      <c r="D405" s="12">
        <f>HYPERLINK("tt38://pl3/14", "👉 Phụ lục III - Trang 14 (Khớp nhóm BA.1620)")</f>
        <v/>
      </c>
      <c r="E405" s="8" t="inlineStr">
        <is>
          <t>m</t>
        </is>
      </c>
      <c r="F405" s="8" t="n">
        <v>1</v>
      </c>
      <c r="G405" s="8" t="inlineStr"/>
      <c r="H405" s="8" t="inlineStr"/>
      <c r="I405" s="8" t="inlineStr"/>
    </row>
    <row r="406">
      <c r="A406" s="8" t="inlineStr"/>
      <c r="B406" s="8" t="inlineStr"/>
      <c r="C406" s="8" t="inlineStr">
        <is>
          <t>a) Vật liệu</t>
        </is>
      </c>
      <c r="E406" s="8" t="inlineStr"/>
      <c r="F406" s="8" t="inlineStr"/>
      <c r="G406" s="8" t="inlineStr"/>
      <c r="H406" s="8" t="inlineStr"/>
      <c r="I406" s="8" t="n">
        <v>40875.4676</v>
      </c>
    </row>
    <row r="407">
      <c r="A407" s="8" t="inlineStr"/>
      <c r="B407" s="8" t="inlineStr">
        <is>
          <t>A33.0075</t>
        </is>
      </c>
      <c r="C407" s="8" t="inlineStr">
        <is>
          <t>Dây điện_Cu/PVC_2x(1x4.0)mm2</t>
        </is>
      </c>
      <c r="E407" s="8" t="inlineStr">
        <is>
          <t>m</t>
        </is>
      </c>
      <c r="F407" s="8" t="n">
        <v>1.01</v>
      </c>
      <c r="G407" s="8" t="n">
        <v>39292</v>
      </c>
      <c r="H407" s="8" t="n">
        <v>1</v>
      </c>
      <c r="I407" s="8" t="n">
        <v>39684.92</v>
      </c>
    </row>
    <row r="408">
      <c r="A408" s="8" t="inlineStr"/>
      <c r="B408" s="8" t="inlineStr">
        <is>
          <t>Z999</t>
        </is>
      </c>
      <c r="C408" s="8" t="inlineStr">
        <is>
          <t>Vật liệu khác</t>
        </is>
      </c>
      <c r="E408" s="8" t="inlineStr">
        <is>
          <t>%</t>
        </is>
      </c>
      <c r="F408" s="8" t="n">
        <v>3</v>
      </c>
      <c r="G408" s="8" t="n">
        <v>39684.92</v>
      </c>
      <c r="H408" s="8" t="inlineStr"/>
      <c r="I408" s="8" t="n">
        <v>1190.5476</v>
      </c>
    </row>
    <row r="409">
      <c r="A409" s="8" t="inlineStr"/>
      <c r="B409" s="8" t="inlineStr"/>
      <c r="C409" s="8" t="inlineStr">
        <is>
          <t>Cộng</t>
        </is>
      </c>
      <c r="E409" s="8" t="inlineStr"/>
      <c r="F409" s="8" t="inlineStr"/>
      <c r="G409" s="8" t="inlineStr"/>
      <c r="H409" s="8" t="inlineStr"/>
      <c r="I409" s="8" t="n">
        <v>40875.4676</v>
      </c>
    </row>
    <row r="410">
      <c r="A410" s="8" t="inlineStr"/>
      <c r="B410" s="8" t="inlineStr"/>
      <c r="C410" s="8" t="inlineStr">
        <is>
          <t>b) Nhân công</t>
        </is>
      </c>
      <c r="E410" s="8" t="inlineStr"/>
      <c r="F410" s="8" t="inlineStr"/>
      <c r="G410" s="8" t="inlineStr"/>
      <c r="H410" s="8" t="inlineStr"/>
      <c r="I410" s="8" t="n">
        <v>11956</v>
      </c>
    </row>
    <row r="411">
      <c r="A411" s="8" t="inlineStr"/>
      <c r="B411" s="8" t="inlineStr">
        <is>
          <t>N3</t>
        </is>
      </c>
      <c r="C411" s="8" t="inlineStr">
        <is>
          <t>Nhân công nhóm 3</t>
        </is>
      </c>
      <c r="E411" s="8" t="inlineStr">
        <is>
          <t>công</t>
        </is>
      </c>
      <c r="F411" s="8" t="n">
        <v>0.028</v>
      </c>
      <c r="G411" s="8" t="n">
        <v>427000</v>
      </c>
      <c r="H411" s="8" t="n">
        <v>1</v>
      </c>
      <c r="I411" s="8" t="n">
        <v>11956</v>
      </c>
    </row>
  </sheetData>
  <hyperlinks>
    <hyperlink xmlns:r="http://schemas.openxmlformats.org/officeDocument/2006/relationships" ref="B5" r:id="rId1"/>
    <hyperlink xmlns:r="http://schemas.openxmlformats.org/officeDocument/2006/relationships" ref="D5" r:id="rId2"/>
    <hyperlink xmlns:r="http://schemas.openxmlformats.org/officeDocument/2006/relationships" ref="B27" r:id="rId3"/>
    <hyperlink xmlns:r="http://schemas.openxmlformats.org/officeDocument/2006/relationships" ref="D27" r:id="rId4"/>
    <hyperlink xmlns:r="http://schemas.openxmlformats.org/officeDocument/2006/relationships" ref="B36" r:id="rId5"/>
    <hyperlink xmlns:r="http://schemas.openxmlformats.org/officeDocument/2006/relationships" ref="D36" r:id="rId6"/>
    <hyperlink xmlns:r="http://schemas.openxmlformats.org/officeDocument/2006/relationships" ref="B45" r:id="rId7"/>
    <hyperlink xmlns:r="http://schemas.openxmlformats.org/officeDocument/2006/relationships" ref="D45" r:id="rId8"/>
    <hyperlink xmlns:r="http://schemas.openxmlformats.org/officeDocument/2006/relationships" ref="B54" r:id="rId9"/>
    <hyperlink xmlns:r="http://schemas.openxmlformats.org/officeDocument/2006/relationships" ref="D54" r:id="rId10"/>
    <hyperlink xmlns:r="http://schemas.openxmlformats.org/officeDocument/2006/relationships" ref="B63" r:id="rId11"/>
    <hyperlink xmlns:r="http://schemas.openxmlformats.org/officeDocument/2006/relationships" ref="D63" r:id="rId12"/>
    <hyperlink xmlns:r="http://schemas.openxmlformats.org/officeDocument/2006/relationships" ref="B72" r:id="rId13"/>
    <hyperlink xmlns:r="http://schemas.openxmlformats.org/officeDocument/2006/relationships" ref="D72" r:id="rId14"/>
    <hyperlink xmlns:r="http://schemas.openxmlformats.org/officeDocument/2006/relationships" ref="B81" r:id="rId15"/>
    <hyperlink xmlns:r="http://schemas.openxmlformats.org/officeDocument/2006/relationships" ref="D81" r:id="rId16"/>
    <hyperlink xmlns:r="http://schemas.openxmlformats.org/officeDocument/2006/relationships" ref="B90" r:id="rId17"/>
    <hyperlink xmlns:r="http://schemas.openxmlformats.org/officeDocument/2006/relationships" ref="D90" r:id="rId18"/>
    <hyperlink xmlns:r="http://schemas.openxmlformats.org/officeDocument/2006/relationships" ref="B99" r:id="rId19"/>
    <hyperlink xmlns:r="http://schemas.openxmlformats.org/officeDocument/2006/relationships" ref="D99" r:id="rId20"/>
    <hyperlink xmlns:r="http://schemas.openxmlformats.org/officeDocument/2006/relationships" ref="B108" r:id="rId21"/>
    <hyperlink xmlns:r="http://schemas.openxmlformats.org/officeDocument/2006/relationships" ref="D108" r:id="rId22"/>
    <hyperlink xmlns:r="http://schemas.openxmlformats.org/officeDocument/2006/relationships" ref="B117" r:id="rId23"/>
    <hyperlink xmlns:r="http://schemas.openxmlformats.org/officeDocument/2006/relationships" ref="D117" r:id="rId24"/>
    <hyperlink xmlns:r="http://schemas.openxmlformats.org/officeDocument/2006/relationships" ref="B131" r:id="rId25"/>
    <hyperlink xmlns:r="http://schemas.openxmlformats.org/officeDocument/2006/relationships" ref="D131" r:id="rId26"/>
    <hyperlink xmlns:r="http://schemas.openxmlformats.org/officeDocument/2006/relationships" ref="B142" r:id="rId27"/>
    <hyperlink xmlns:r="http://schemas.openxmlformats.org/officeDocument/2006/relationships" ref="D142" r:id="rId28"/>
    <hyperlink xmlns:r="http://schemas.openxmlformats.org/officeDocument/2006/relationships" ref="B153" r:id="rId29"/>
    <hyperlink xmlns:r="http://schemas.openxmlformats.org/officeDocument/2006/relationships" ref="D153" r:id="rId30"/>
    <hyperlink xmlns:r="http://schemas.openxmlformats.org/officeDocument/2006/relationships" ref="B164" r:id="rId31"/>
    <hyperlink xmlns:r="http://schemas.openxmlformats.org/officeDocument/2006/relationships" ref="D164" r:id="rId32"/>
    <hyperlink xmlns:r="http://schemas.openxmlformats.org/officeDocument/2006/relationships" ref="B175" r:id="rId33"/>
    <hyperlink xmlns:r="http://schemas.openxmlformats.org/officeDocument/2006/relationships" ref="D175" r:id="rId34"/>
    <hyperlink xmlns:r="http://schemas.openxmlformats.org/officeDocument/2006/relationships" ref="B186" r:id="rId35"/>
    <hyperlink xmlns:r="http://schemas.openxmlformats.org/officeDocument/2006/relationships" ref="D186" r:id="rId36"/>
    <hyperlink xmlns:r="http://schemas.openxmlformats.org/officeDocument/2006/relationships" ref="B197" r:id="rId37"/>
    <hyperlink xmlns:r="http://schemas.openxmlformats.org/officeDocument/2006/relationships" ref="D197" r:id="rId38"/>
    <hyperlink xmlns:r="http://schemas.openxmlformats.org/officeDocument/2006/relationships" ref="B208" r:id="rId39"/>
    <hyperlink xmlns:r="http://schemas.openxmlformats.org/officeDocument/2006/relationships" ref="D208" r:id="rId40"/>
    <hyperlink xmlns:r="http://schemas.openxmlformats.org/officeDocument/2006/relationships" ref="B219" r:id="rId41"/>
    <hyperlink xmlns:r="http://schemas.openxmlformats.org/officeDocument/2006/relationships" ref="D219" r:id="rId42"/>
    <hyperlink xmlns:r="http://schemas.openxmlformats.org/officeDocument/2006/relationships" ref="B230" r:id="rId43"/>
    <hyperlink xmlns:r="http://schemas.openxmlformats.org/officeDocument/2006/relationships" ref="D230" r:id="rId44"/>
    <hyperlink xmlns:r="http://schemas.openxmlformats.org/officeDocument/2006/relationships" ref="B238" r:id="rId45"/>
    <hyperlink xmlns:r="http://schemas.openxmlformats.org/officeDocument/2006/relationships" ref="D238" r:id="rId46"/>
    <hyperlink xmlns:r="http://schemas.openxmlformats.org/officeDocument/2006/relationships" ref="B246" r:id="rId47"/>
    <hyperlink xmlns:r="http://schemas.openxmlformats.org/officeDocument/2006/relationships" ref="D246" r:id="rId48"/>
    <hyperlink xmlns:r="http://schemas.openxmlformats.org/officeDocument/2006/relationships" ref="B254" r:id="rId49"/>
    <hyperlink xmlns:r="http://schemas.openxmlformats.org/officeDocument/2006/relationships" ref="D254" r:id="rId50"/>
    <hyperlink xmlns:r="http://schemas.openxmlformats.org/officeDocument/2006/relationships" ref="B262" r:id="rId51"/>
    <hyperlink xmlns:r="http://schemas.openxmlformats.org/officeDocument/2006/relationships" ref="D262" r:id="rId52"/>
    <hyperlink xmlns:r="http://schemas.openxmlformats.org/officeDocument/2006/relationships" ref="B270" r:id="rId53"/>
    <hyperlink xmlns:r="http://schemas.openxmlformats.org/officeDocument/2006/relationships" ref="D270" r:id="rId54"/>
    <hyperlink xmlns:r="http://schemas.openxmlformats.org/officeDocument/2006/relationships" ref="B278" r:id="rId55"/>
    <hyperlink xmlns:r="http://schemas.openxmlformats.org/officeDocument/2006/relationships" ref="D278" r:id="rId56"/>
    <hyperlink xmlns:r="http://schemas.openxmlformats.org/officeDocument/2006/relationships" ref="B286" r:id="rId57"/>
    <hyperlink xmlns:r="http://schemas.openxmlformats.org/officeDocument/2006/relationships" ref="D286" r:id="rId58"/>
    <hyperlink xmlns:r="http://schemas.openxmlformats.org/officeDocument/2006/relationships" ref="B294" r:id="rId59"/>
    <hyperlink xmlns:r="http://schemas.openxmlformats.org/officeDocument/2006/relationships" ref="D294" r:id="rId60"/>
    <hyperlink xmlns:r="http://schemas.openxmlformats.org/officeDocument/2006/relationships" ref="B303" r:id="rId61"/>
    <hyperlink xmlns:r="http://schemas.openxmlformats.org/officeDocument/2006/relationships" ref="D303" r:id="rId62"/>
    <hyperlink xmlns:r="http://schemas.openxmlformats.org/officeDocument/2006/relationships" ref="B312" r:id="rId63"/>
    <hyperlink xmlns:r="http://schemas.openxmlformats.org/officeDocument/2006/relationships" ref="D312" r:id="rId64"/>
    <hyperlink xmlns:r="http://schemas.openxmlformats.org/officeDocument/2006/relationships" ref="B321" r:id="rId65"/>
    <hyperlink xmlns:r="http://schemas.openxmlformats.org/officeDocument/2006/relationships" ref="D321" r:id="rId66"/>
    <hyperlink xmlns:r="http://schemas.openxmlformats.org/officeDocument/2006/relationships" ref="B330" r:id="rId67"/>
    <hyperlink xmlns:r="http://schemas.openxmlformats.org/officeDocument/2006/relationships" ref="D330" r:id="rId68"/>
    <hyperlink xmlns:r="http://schemas.openxmlformats.org/officeDocument/2006/relationships" ref="B339" r:id="rId69"/>
    <hyperlink xmlns:r="http://schemas.openxmlformats.org/officeDocument/2006/relationships" ref="D339" r:id="rId70"/>
    <hyperlink xmlns:r="http://schemas.openxmlformats.org/officeDocument/2006/relationships" ref="B348" r:id="rId71"/>
    <hyperlink xmlns:r="http://schemas.openxmlformats.org/officeDocument/2006/relationships" ref="D348" r:id="rId72"/>
    <hyperlink xmlns:r="http://schemas.openxmlformats.org/officeDocument/2006/relationships" ref="B355" r:id="rId73"/>
    <hyperlink xmlns:r="http://schemas.openxmlformats.org/officeDocument/2006/relationships" ref="D355" r:id="rId74"/>
    <hyperlink xmlns:r="http://schemas.openxmlformats.org/officeDocument/2006/relationships" ref="B362" r:id="rId75"/>
    <hyperlink xmlns:r="http://schemas.openxmlformats.org/officeDocument/2006/relationships" ref="D362" r:id="rId76"/>
    <hyperlink xmlns:r="http://schemas.openxmlformats.org/officeDocument/2006/relationships" ref="B369" r:id="rId77"/>
    <hyperlink xmlns:r="http://schemas.openxmlformats.org/officeDocument/2006/relationships" ref="D369" r:id="rId78"/>
    <hyperlink xmlns:r="http://schemas.openxmlformats.org/officeDocument/2006/relationships" ref="B376" r:id="rId79"/>
    <hyperlink xmlns:r="http://schemas.openxmlformats.org/officeDocument/2006/relationships" ref="D376" r:id="rId80"/>
    <hyperlink xmlns:r="http://schemas.openxmlformats.org/officeDocument/2006/relationships" ref="B384" r:id="rId81"/>
    <hyperlink xmlns:r="http://schemas.openxmlformats.org/officeDocument/2006/relationships" ref="D384" r:id="rId82"/>
    <hyperlink xmlns:r="http://schemas.openxmlformats.org/officeDocument/2006/relationships" ref="B391" r:id="rId83"/>
    <hyperlink xmlns:r="http://schemas.openxmlformats.org/officeDocument/2006/relationships" ref="D391" r:id="rId84"/>
    <hyperlink xmlns:r="http://schemas.openxmlformats.org/officeDocument/2006/relationships" ref="B398" r:id="rId85"/>
    <hyperlink xmlns:r="http://schemas.openxmlformats.org/officeDocument/2006/relationships" ref="D398" r:id="rId86"/>
    <hyperlink xmlns:r="http://schemas.openxmlformats.org/officeDocument/2006/relationships" ref="B405" r:id="rId87"/>
    <hyperlink xmlns:r="http://schemas.openxmlformats.org/officeDocument/2006/relationships" ref="D405" r:id="rId88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50" customWidth="1" min="1" max="1"/>
    <col width="44" customWidth="1" min="2" max="2"/>
    <col width="38" customWidth="1" min="3" max="3"/>
    <col width="12" customWidth="1" min="4" max="4"/>
    <col width="12" customWidth="1" min="5" max="5"/>
    <col width="15" customWidth="1" min="6" max="6"/>
    <col width="19" customWidth="1" min="7" max="7"/>
    <col width="18" customWidth="1" min="8" max="8"/>
    <col width="12" customWidth="1" min="9" max="9"/>
    <col width="28" customWidth="1" min="10" max="10"/>
    <col width="29" customWidth="1" min="11" max="11"/>
  </cols>
  <sheetData>
    <row r="1">
      <c r="A1" s="8" t="inlineStr">
        <is>
          <t>BẢNG TỔNG HỢP CHI PHÍ BỒI THƯỜNG, HỖ TRỢ VÀ TÁI ĐỊNH CƯ</t>
        </is>
      </c>
      <c r="B1" s="8" t="inlineStr"/>
      <c r="D1" s="8" t="inlineStr"/>
      <c r="E1" s="8" t="inlineStr"/>
      <c r="F1" s="8" t="inlineStr"/>
      <c r="G1" s="8" t="inlineStr"/>
      <c r="H1" s="8" t="inlineStr"/>
      <c r="I1" s="8" t="inlineStr"/>
      <c r="J1" s="8" t="inlineStr"/>
      <c r="K1" s="8" t="inlineStr"/>
    </row>
    <row r="2">
      <c r="A2" s="8" t="inlineStr">
        <is>
          <t>DỰ ÁN: XÂY DỰNG NHÀ Ở CHO LỰC LƯỢNG VŨ TRANG CÔNG AN NHÂN DÂN TẠI Ô ĐẤT NO1 THUỘC LÔ ĐẤT D12 KHU ĐÔ THỊ MỚI CẦU GIẤY,
 PHƯỜNG CẦU GIẤY, THÀNH PHỐ HÀ NỘI</t>
        </is>
      </c>
      <c r="B2" s="8" t="inlineStr"/>
      <c r="D2" s="8" t="inlineStr"/>
      <c r="E2" s="8" t="inlineStr"/>
      <c r="F2" s="8" t="inlineStr"/>
      <c r="G2" s="8" t="inlineStr"/>
      <c r="H2" s="8" t="inlineStr"/>
      <c r="I2" s="8" t="inlineStr"/>
      <c r="J2" s="8" t="inlineStr"/>
      <c r="K2" s="8" t="inlineStr"/>
    </row>
    <row r="3">
      <c r="A3" s="8" t="inlineStr"/>
      <c r="B3" s="8" t="inlineStr"/>
      <c r="D3" s="8" t="inlineStr"/>
      <c r="E3" s="8" t="inlineStr"/>
      <c r="F3" s="8" t="inlineStr"/>
      <c r="G3" s="8" t="inlineStr"/>
      <c r="H3" s="8" t="inlineStr"/>
      <c r="I3" s="8" t="inlineStr"/>
      <c r="J3" s="8" t="inlineStr"/>
      <c r="K3" s="8" t="inlineStr"/>
    </row>
    <row r="4">
      <c r="A4" s="8" t="inlineStr">
        <is>
          <t>STT</t>
        </is>
      </c>
      <c r="B4" s="8" t="inlineStr">
        <is>
          <t>Nội dung công việc</t>
        </is>
      </c>
      <c r="D4" s="8" t="inlineStr">
        <is>
          <t>Đơn vị</t>
        </is>
      </c>
      <c r="E4" s="8" t="inlineStr">
        <is>
          <t>Số lượng</t>
        </is>
      </c>
      <c r="F4" s="8" t="inlineStr">
        <is>
          <t>Đơn giá
(đ)</t>
        </is>
      </c>
      <c r="G4" s="8" t="inlineStr">
        <is>
          <t>Hệ số điều chỉnh</t>
        </is>
      </c>
      <c r="H4" s="8" t="inlineStr">
        <is>
          <t>Thành tiền
(đ)</t>
        </is>
      </c>
      <c r="I4" s="8" t="inlineStr"/>
      <c r="J4" s="8" t="inlineStr">
        <is>
          <t>Thành tiền
sau thuế
(đ)</t>
        </is>
      </c>
      <c r="K4" s="8" t="inlineStr">
        <is>
          <t>Ghi chú, Nguồn gốc xuất xứ</t>
        </is>
      </c>
    </row>
    <row r="5">
      <c r="A5" s="8" t="inlineStr"/>
      <c r="B5" s="8" t="inlineStr"/>
      <c r="D5" s="8" t="inlineStr"/>
      <c r="E5" s="8" t="inlineStr"/>
      <c r="F5" s="8" t="inlineStr"/>
      <c r="G5" s="8" t="inlineStr"/>
      <c r="H5" s="8" t="inlineStr"/>
      <c r="I5" s="8" t="inlineStr"/>
      <c r="J5" s="8" t="inlineStr"/>
      <c r="K5" s="8" t="inlineStr"/>
    </row>
    <row r="6">
      <c r="A6" s="8" t="inlineStr">
        <is>
          <t>1</t>
        </is>
      </c>
      <c r="B6" s="8" t="inlineStr">
        <is>
          <t>Chi phí bồi thường, hỗ trợ và tái định cư</t>
        </is>
      </c>
      <c r="D6" s="8" t="inlineStr"/>
      <c r="E6" s="8" t="inlineStr"/>
      <c r="F6" s="8" t="inlineStr"/>
      <c r="G6" s="8" t="inlineStr"/>
      <c r="H6" s="8" t="n">
        <v>0</v>
      </c>
      <c r="I6" s="8" t="inlineStr"/>
      <c r="J6" s="8" t="inlineStr"/>
      <c r="K6" s="8" t="inlineStr"/>
    </row>
    <row r="7">
      <c r="A7" s="8" t="inlineStr"/>
      <c r="B7" s="8" t="inlineStr"/>
      <c r="D7" s="8" t="inlineStr"/>
      <c r="E7" s="8" t="inlineStr"/>
      <c r="F7" s="8" t="inlineStr"/>
      <c r="G7" s="8" t="inlineStr"/>
      <c r="H7" s="8" t="n">
        <v>0</v>
      </c>
      <c r="I7" s="8" t="inlineStr"/>
      <c r="J7" s="8" t="inlineStr"/>
      <c r="K7" s="8" t="inlineStr"/>
    </row>
    <row r="8">
      <c r="A8" s="8" t="inlineStr"/>
      <c r="B8" s="8" t="inlineStr"/>
      <c r="D8" s="8" t="inlineStr"/>
      <c r="E8" s="8" t="inlineStr"/>
      <c r="F8" s="8" t="inlineStr"/>
      <c r="G8" s="8" t="inlineStr"/>
      <c r="H8" s="8" t="n">
        <v>0</v>
      </c>
      <c r="I8" s="8" t="inlineStr"/>
      <c r="J8" s="8" t="inlineStr"/>
      <c r="K8" s="8" t="inlineStr"/>
    </row>
    <row r="9">
      <c r="A9" s="8" t="inlineStr"/>
      <c r="B9" s="8" t="inlineStr"/>
      <c r="D9" s="8" t="inlineStr"/>
      <c r="E9" s="8" t="inlineStr"/>
      <c r="F9" s="8" t="inlineStr"/>
      <c r="G9" s="8" t="inlineStr"/>
      <c r="H9" s="8" t="n">
        <v>0</v>
      </c>
      <c r="I9" s="8" t="inlineStr"/>
      <c r="J9" s="8" t="inlineStr"/>
      <c r="K9" s="8" t="inlineStr"/>
    </row>
    <row r="10">
      <c r="A10" s="8" t="inlineStr"/>
      <c r="B10" s="8" t="inlineStr"/>
      <c r="D10" s="8" t="inlineStr"/>
      <c r="E10" s="8" t="inlineStr"/>
      <c r="F10" s="8" t="inlineStr"/>
      <c r="G10" s="8" t="inlineStr"/>
      <c r="H10" s="8" t="n">
        <v>0</v>
      </c>
      <c r="I10" s="8" t="inlineStr"/>
      <c r="J10" s="8" t="inlineStr"/>
      <c r="K10" s="8" t="inlineStr"/>
    </row>
    <row r="11">
      <c r="A11" s="8" t="inlineStr"/>
      <c r="B11" s="8" t="inlineStr"/>
      <c r="D11" s="8" t="inlineStr"/>
      <c r="E11" s="8" t="inlineStr"/>
      <c r="F11" s="8" t="inlineStr"/>
      <c r="G11" s="8" t="inlineStr"/>
      <c r="H11" s="8" t="n">
        <v>0</v>
      </c>
      <c r="I11" s="8" t="inlineStr"/>
      <c r="J11" s="8" t="inlineStr"/>
      <c r="K11" s="8" t="inlineStr"/>
    </row>
    <row r="12">
      <c r="A12" s="8" t="inlineStr"/>
      <c r="B12" s="8" t="inlineStr"/>
      <c r="D12" s="8" t="inlineStr"/>
      <c r="E12" s="8" t="inlineStr"/>
      <c r="F12" s="8" t="inlineStr"/>
      <c r="G12" s="8" t="inlineStr"/>
      <c r="H12" s="8" t="n">
        <v>0</v>
      </c>
      <c r="I12" s="8" t="inlineStr"/>
      <c r="J12" s="8" t="inlineStr"/>
      <c r="K12" s="8" t="inlineStr"/>
    </row>
    <row r="13">
      <c r="A13" s="8" t="inlineStr"/>
      <c r="B13" s="8" t="inlineStr"/>
      <c r="D13" s="8" t="inlineStr"/>
      <c r="E13" s="8" t="inlineStr"/>
      <c r="F13" s="8" t="inlineStr"/>
      <c r="G13" s="8" t="inlineStr"/>
      <c r="H13" s="8" t="n">
        <v>0</v>
      </c>
      <c r="I13" s="8" t="inlineStr"/>
      <c r="J13" s="8" t="inlineStr"/>
      <c r="K13" s="8" t="inlineStr"/>
    </row>
    <row r="14">
      <c r="A14" s="8" t="inlineStr"/>
      <c r="B14" s="8" t="inlineStr"/>
      <c r="D14" s="8" t="inlineStr"/>
      <c r="E14" s="8" t="inlineStr"/>
      <c r="F14" s="8" t="inlineStr"/>
      <c r="G14" s="8" t="inlineStr"/>
      <c r="H14" s="8" t="n">
        <v>0</v>
      </c>
      <c r="I14" s="8" t="inlineStr"/>
      <c r="J14" s="8" t="inlineStr"/>
      <c r="K14" s="8" t="inlineStr"/>
    </row>
    <row r="15">
      <c r="A15" s="8" t="inlineStr"/>
      <c r="B15" s="8" t="inlineStr"/>
      <c r="D15" s="8" t="inlineStr"/>
      <c r="E15" s="8" t="inlineStr"/>
      <c r="F15" s="8" t="inlineStr"/>
      <c r="G15" s="8" t="inlineStr"/>
      <c r="H15" s="8" t="n">
        <v>0</v>
      </c>
      <c r="I15" s="8" t="inlineStr"/>
      <c r="J15" s="8" t="inlineStr"/>
      <c r="K15" s="8" t="inlineStr"/>
    </row>
    <row r="16">
      <c r="A16" s="8" t="inlineStr"/>
      <c r="B16" s="8" t="inlineStr"/>
      <c r="D16" s="8" t="inlineStr"/>
      <c r="E16" s="8" t="inlineStr"/>
      <c r="F16" s="8" t="inlineStr"/>
      <c r="G16" s="8" t="inlineStr"/>
      <c r="H16" s="8" t="n">
        <v>0</v>
      </c>
      <c r="I16" s="8" t="inlineStr"/>
      <c r="J16" s="8" t="inlineStr"/>
      <c r="K16" s="8" t="inlineStr"/>
    </row>
    <row r="17">
      <c r="A17" s="8" t="inlineStr"/>
      <c r="B17" s="8" t="inlineStr"/>
      <c r="D17" s="8" t="inlineStr"/>
      <c r="E17" s="8" t="inlineStr"/>
      <c r="F17" s="8" t="inlineStr"/>
      <c r="G17" s="8" t="inlineStr"/>
      <c r="H17" s="8" t="n">
        <v>0</v>
      </c>
      <c r="I17" s="8" t="inlineStr"/>
      <c r="J17" s="8" t="inlineStr"/>
      <c r="K17" s="8" t="inlineStr"/>
    </row>
    <row r="18">
      <c r="A18" s="8" t="inlineStr"/>
      <c r="B18" s="8" t="inlineStr"/>
      <c r="D18" s="8" t="inlineStr"/>
      <c r="E18" s="8" t="inlineStr"/>
      <c r="F18" s="8" t="inlineStr"/>
      <c r="G18" s="8" t="inlineStr"/>
      <c r="H18" s="8" t="n">
        <v>0</v>
      </c>
      <c r="I18" s="8" t="inlineStr"/>
      <c r="J18" s="8" t="inlineStr"/>
      <c r="K18" s="8" t="inlineStr"/>
    </row>
    <row r="19">
      <c r="A19" s="8" t="inlineStr"/>
      <c r="B19" s="8" t="inlineStr"/>
      <c r="D19" s="8" t="inlineStr"/>
      <c r="E19" s="8" t="inlineStr"/>
      <c r="F19" s="8" t="inlineStr"/>
      <c r="G19" s="8" t="inlineStr"/>
      <c r="H19" s="8" t="n">
        <v>0</v>
      </c>
      <c r="I19" s="8" t="inlineStr"/>
      <c r="J19" s="8" t="inlineStr"/>
      <c r="K19" s="8" t="inlineStr"/>
    </row>
    <row r="20">
      <c r="A20" s="8" t="inlineStr"/>
      <c r="B20" s="8" t="inlineStr">
        <is>
          <t>TỔNG CỘNG</t>
        </is>
      </c>
      <c r="D20" s="8" t="inlineStr"/>
      <c r="E20" s="8" t="inlineStr"/>
      <c r="F20" s="8" t="inlineStr"/>
      <c r="G20" s="8" t="inlineStr"/>
      <c r="H20" s="8" t="n">
        <v>0</v>
      </c>
      <c r="I20" s="8" t="inlineStr"/>
      <c r="J20" s="8" t="inlineStr"/>
      <c r="K20" s="8" t="inlineStr"/>
    </row>
    <row r="21">
      <c r="A21" s="8" t="inlineStr">
        <is>
          <t>Bằng chữ: Không đồng chẵn./.</t>
        </is>
      </c>
      <c r="B21" s="8" t="inlineStr"/>
      <c r="D21" s="8" t="inlineStr"/>
      <c r="E21" s="8" t="inlineStr"/>
      <c r="F21" s="8" t="inlineStr"/>
      <c r="G21" s="8" t="inlineStr"/>
      <c r="H21" s="8" t="inlineStr"/>
      <c r="I21" s="8" t="inlineStr"/>
      <c r="J21" s="8" t="inlineStr"/>
      <c r="K21" s="8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23" customWidth="1" min="3" max="3"/>
    <col width="12" customWidth="1" min="4" max="4"/>
    <col width="24" customWidth="1" min="5" max="5"/>
    <col width="26" customWidth="1" min="6" max="6"/>
    <col width="30" customWidth="1" min="7" max="7"/>
    <col width="21" customWidth="1" min="8" max="8"/>
    <col width="21" customWidth="1" min="9" max="9"/>
  </cols>
  <sheetData>
    <row r="1">
      <c r="A1" s="8" t="inlineStr">
        <is>
          <t>DỰ ÁN: XÂY DỰNG NHÀ Ở CHO LỰC LƯỢNG VŨ TRANG CÔNG AN NHÂN DÂN TẠI Ô ĐẤT NO1 THUỘC LÔ ĐẤT D12 KHU ĐÔ THỊ MỚI CẦU GIẤY,
 PHƯỜNG CẦU GIẤY, THÀNH PHỐ HÀ NỘI</t>
        </is>
      </c>
      <c r="B1" s="8" t="inlineStr"/>
      <c r="C1" s="8" t="inlineStr"/>
      <c r="D1" s="8" t="inlineStr"/>
      <c r="E1" s="8" t="inlineStr"/>
      <c r="F1" s="8" t="inlineStr"/>
      <c r="G1" s="8" t="inlineStr"/>
      <c r="H1" s="8" t="inlineStr"/>
      <c r="I1" s="8" t="inlineStr"/>
    </row>
    <row r="2">
      <c r="A2" s="8" t="inlineStr">
        <is>
          <t>CHỈ SỐ GIÁ BÌNH QUÂN</t>
        </is>
      </c>
      <c r="B2" s="8" t="inlineStr"/>
      <c r="C2" s="8" t="inlineStr"/>
      <c r="D2" s="8" t="inlineStr"/>
      <c r="E2" s="8" t="inlineStr"/>
      <c r="F2" s="8" t="inlineStr"/>
      <c r="G2" s="8" t="inlineStr"/>
      <c r="H2" s="8" t="inlineStr"/>
      <c r="I2" s="8" t="inlineStr"/>
    </row>
    <row r="3">
      <c r="A3" s="8" t="inlineStr">
        <is>
          <t>STT</t>
        </is>
      </c>
      <c r="B3" s="8" t="inlineStr">
        <is>
          <t>Thời điểm</t>
        </is>
      </c>
      <c r="C3" s="8" t="inlineStr">
        <is>
          <t>Chỉ số giá XD</t>
        </is>
      </c>
      <c r="D3" s="8" t="inlineStr"/>
      <c r="E3" s="8" t="inlineStr"/>
      <c r="F3" s="8" t="inlineStr">
        <is>
          <t>Tỷ lệ ( Isau / Itrước )</t>
        </is>
      </c>
      <c r="G3" s="8" t="inlineStr">
        <is>
          <t>Chỉ số giá XD bình quân</t>
        </is>
      </c>
      <c r="H3" s="8" t="inlineStr"/>
      <c r="I3" s="8" t="inlineStr"/>
    </row>
    <row r="4">
      <c r="A4" s="8" t="n">
        <v>1</v>
      </c>
      <c r="B4" s="8" t="inlineStr">
        <is>
          <t>2014</t>
        </is>
      </c>
      <c r="C4" s="8" t="n">
        <v>1.05</v>
      </c>
      <c r="D4" s="8" t="inlineStr"/>
      <c r="E4" s="8" t="inlineStr"/>
      <c r="F4" s="8" t="n">
        <v>1</v>
      </c>
      <c r="G4" s="8" t="n">
        <v>1.00952</v>
      </c>
      <c r="H4" s="8" t="inlineStr"/>
      <c r="I4" s="8" t="inlineStr"/>
    </row>
    <row r="5">
      <c r="A5" s="8" t="n">
        <v>2</v>
      </c>
      <c r="B5" s="8" t="inlineStr">
        <is>
          <t>2015</t>
        </is>
      </c>
      <c r="C5" s="8" t="n">
        <v>1.05</v>
      </c>
      <c r="D5" s="8" t="inlineStr"/>
      <c r="E5" s="8" t="inlineStr"/>
      <c r="F5" s="8" t="n">
        <v>1</v>
      </c>
      <c r="G5" s="8" t="inlineStr"/>
      <c r="H5" s="8" t="inlineStr"/>
      <c r="I5" s="8" t="inlineStr"/>
    </row>
    <row r="6">
      <c r="A6" s="8" t="n">
        <v>3</v>
      </c>
      <c r="B6" s="8" t="inlineStr">
        <is>
          <t>2016</t>
        </is>
      </c>
      <c r="C6" s="8" t="n">
        <v>1.05</v>
      </c>
      <c r="D6" s="8" t="inlineStr"/>
      <c r="E6" s="8" t="inlineStr"/>
      <c r="F6" s="8" t="n">
        <v>1</v>
      </c>
      <c r="G6" s="8" t="inlineStr"/>
      <c r="H6" s="8" t="inlineStr"/>
      <c r="I6" s="8" t="inlineStr"/>
    </row>
    <row r="7">
      <c r="A7" s="8" t="n">
        <v>4</v>
      </c>
      <c r="B7" s="8" t="inlineStr">
        <is>
          <t>2017</t>
        </is>
      </c>
      <c r="C7" s="8" t="n">
        <v>1.05</v>
      </c>
      <c r="D7" s="8" t="inlineStr"/>
      <c r="E7" s="8" t="inlineStr"/>
      <c r="F7" s="8" t="n">
        <v>1.04762</v>
      </c>
      <c r="G7" s="8" t="inlineStr"/>
      <c r="H7" s="8" t="inlineStr"/>
      <c r="I7" s="8" t="inlineStr"/>
    </row>
    <row r="8">
      <c r="A8" s="8" t="n">
        <v>5</v>
      </c>
      <c r="B8" s="8" t="inlineStr">
        <is>
          <t>2018</t>
        </is>
      </c>
      <c r="C8" s="8" t="n">
        <v>1.1</v>
      </c>
      <c r="D8" s="8" t="inlineStr"/>
      <c r="E8" s="8" t="inlineStr"/>
      <c r="F8" s="8" t="n">
        <v>1</v>
      </c>
      <c r="G8" s="8" t="inlineStr"/>
      <c r="H8" s="8" t="inlineStr"/>
      <c r="I8" s="8" t="inlineStr"/>
    </row>
    <row r="9">
      <c r="A9" s="8" t="inlineStr"/>
      <c r="B9" s="8" t="inlineStr"/>
      <c r="C9" s="8" t="inlineStr"/>
      <c r="D9" s="8" t="inlineStr"/>
      <c r="E9" s="8" t="inlineStr"/>
      <c r="F9" s="8" t="inlineStr"/>
      <c r="G9" s="8" t="inlineStr"/>
      <c r="H9" s="8" t="inlineStr"/>
      <c r="I9" s="8" t="inlineStr"/>
    </row>
    <row r="10">
      <c r="A10" s="8" t="inlineStr">
        <is>
          <t>CHI PHÍ DỰ PHÒNG DO YẾU TỐ TRƯỢT GIÁ</t>
        </is>
      </c>
      <c r="B10" s="8" t="inlineStr"/>
      <c r="C10" s="8" t="inlineStr"/>
      <c r="D10" s="8" t="inlineStr"/>
      <c r="E10" s="8" t="inlineStr"/>
      <c r="F10" s="8" t="inlineStr"/>
      <c r="G10" s="8" t="inlineStr"/>
      <c r="H10" s="8" t="inlineStr"/>
      <c r="I10" s="8" t="inlineStr"/>
    </row>
    <row r="11">
      <c r="A11" s="8" t="inlineStr">
        <is>
          <t>STT</t>
        </is>
      </c>
      <c r="B11" s="8" t="inlineStr">
        <is>
          <t>Năm</t>
        </is>
      </c>
      <c r="C11" s="8" t="inlineStr">
        <is>
          <t>Vốn phân bổ từng năm</t>
        </is>
      </c>
      <c r="D11" s="8" t="inlineStr">
        <is>
          <t>Lãi vay</t>
        </is>
      </c>
      <c r="E11" s="8" t="inlineStr">
        <is>
          <t>Chi phí tính dự phòng</t>
        </is>
      </c>
      <c r="F11" s="8" t="inlineStr">
        <is>
          <t>Chỉ số giá XD bình quân</t>
        </is>
      </c>
      <c r="G11" s="8" t="inlineStr">
        <is>
          <t>Mức biến động chỉ số giá XD</t>
        </is>
      </c>
      <c r="H11" s="8" t="inlineStr">
        <is>
          <t>Dự phòng từng năm</t>
        </is>
      </c>
      <c r="I11" s="8" t="inlineStr">
        <is>
          <t>Dự phòng lũy kế</t>
        </is>
      </c>
    </row>
    <row r="12">
      <c r="A12" s="8" t="inlineStr"/>
      <c r="B12" s="8" t="inlineStr"/>
      <c r="C12" s="8" t="inlineStr">
        <is>
          <t>(đ)</t>
        </is>
      </c>
      <c r="D12" s="8" t="inlineStr">
        <is>
          <t>(đ)</t>
        </is>
      </c>
      <c r="E12" s="8" t="inlineStr">
        <is>
          <t>(đ)</t>
        </is>
      </c>
      <c r="F12" s="8" t="inlineStr"/>
      <c r="G12" s="8" t="inlineStr"/>
      <c r="H12" s="8" t="inlineStr">
        <is>
          <t>(đ)</t>
        </is>
      </c>
      <c r="I12" s="8" t="inlineStr">
        <is>
          <t>(đ)</t>
        </is>
      </c>
    </row>
    <row r="13">
      <c r="A13" s="8" t="n">
        <v>1</v>
      </c>
      <c r="B13" s="8" t="inlineStr">
        <is>
          <t>2019</t>
        </is>
      </c>
      <c r="C13" s="8" t="n">
        <v>454564796</v>
      </c>
      <c r="D13" s="8" t="n">
        <v>0</v>
      </c>
      <c r="E13" s="8" t="n">
        <v>454564796</v>
      </c>
      <c r="F13" s="8" t="n">
        <v>1.00952</v>
      </c>
      <c r="G13" s="8" t="n">
        <v>0.05</v>
      </c>
      <c r="H13" s="8" t="n">
        <v>27055696.65792001</v>
      </c>
      <c r="I13" s="8" t="n">
        <v>27055696.65792001</v>
      </c>
    </row>
    <row r="14">
      <c r="A14" s="8" t="n">
        <v>2</v>
      </c>
      <c r="B14" s="8" t="inlineStr">
        <is>
          <t>2020</t>
        </is>
      </c>
      <c r="C14" s="8" t="n">
        <v>454564796</v>
      </c>
      <c r="D14" s="8" t="n">
        <v>0</v>
      </c>
      <c r="E14" s="8" t="n">
        <v>454564796</v>
      </c>
      <c r="F14" s="8" t="n">
        <v>1.00952</v>
      </c>
      <c r="G14" s="8" t="n">
        <v>0.05</v>
      </c>
      <c r="H14" s="8" t="n">
        <v>55721748.38091937</v>
      </c>
      <c r="I14" s="8" t="n">
        <v>82777445.03883938</v>
      </c>
    </row>
    <row r="15">
      <c r="A15" s="8" t="n">
        <v>3</v>
      </c>
      <c r="B15" s="8" t="inlineStr">
        <is>
          <t>2021</t>
        </is>
      </c>
      <c r="C15" s="8" t="n">
        <v>21276754988.77946</v>
      </c>
      <c r="D15" s="8" t="n">
        <v>0</v>
      </c>
      <c r="E15" s="8" t="n">
        <v>21276754988.77946</v>
      </c>
      <c r="F15" s="8" t="n">
        <v>1.00952</v>
      </c>
      <c r="G15" s="8" t="n">
        <v>0.05</v>
      </c>
      <c r="H15" s="8" t="n">
        <v>4029790768.322524</v>
      </c>
      <c r="I15" s="8" t="n">
        <v>4112568213.361363</v>
      </c>
    </row>
    <row r="16">
      <c r="A16" s="8" t="inlineStr">
        <is>
          <t>TỔNG CỘNG</t>
        </is>
      </c>
      <c r="B16" s="8" t="inlineStr"/>
      <c r="C16" s="8" t="n">
        <v>22185884580.77946</v>
      </c>
      <c r="D16" s="8" t="n">
        <v>0</v>
      </c>
      <c r="E16" s="8" t="n">
        <v>22185884580.77946</v>
      </c>
      <c r="F16" s="8" t="inlineStr"/>
      <c r="G16" s="8" t="inlineStr"/>
      <c r="H16" s="8" t="n">
        <v>4112568213.361363</v>
      </c>
      <c r="I16" s="8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P78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15" customWidth="1" min="3" max="3"/>
    <col width="12" customWidth="1" min="4" max="4"/>
    <col width="38" customWidth="1" min="5" max="5"/>
    <col width="12" customWidth="1" min="6" max="6"/>
    <col width="23" customWidth="1" min="7" max="7"/>
    <col width="21" customWidth="1" min="8" max="8"/>
    <col width="21" customWidth="1" min="9" max="9"/>
    <col width="21" customWidth="1" min="10" max="10"/>
    <col width="12" customWidth="1" min="11" max="11"/>
    <col width="15" customWidth="1" min="12" max="12"/>
    <col width="18" customWidth="1" min="13" max="13"/>
    <col width="16" customWidth="1" min="14" max="14"/>
    <col width="16" customWidth="1" min="15" max="15"/>
    <col width="50" customWidth="1" min="16" max="16"/>
  </cols>
  <sheetData>
    <row r="1">
      <c r="A1" s="8" t="inlineStr">
        <is>
          <t>BẢNG TỔNG HỢP DỰ TOÁN CÔNG TRÌNH</t>
        </is>
      </c>
      <c r="B1" s="8" t="inlineStr"/>
      <c r="C1" s="8" t="inlineStr"/>
      <c r="D1" s="8" t="inlineStr"/>
      <c r="F1" s="8" t="inlineStr"/>
      <c r="G1" s="8" t="inlineStr"/>
      <c r="H1" s="8" t="inlineStr"/>
      <c r="I1" s="8" t="inlineStr"/>
      <c r="J1" s="8" t="inlineStr"/>
      <c r="K1" s="8" t="inlineStr"/>
      <c r="L1" s="8" t="inlineStr"/>
      <c r="M1" s="8" t="inlineStr"/>
      <c r="N1" s="8" t="inlineStr"/>
      <c r="O1" s="8" t="inlineStr"/>
      <c r="P1" s="8" t="inlineStr"/>
    </row>
    <row r="2">
      <c r="A2" s="8" t="inlineStr">
        <is>
          <t>Tên công trình: DỰ ÁN: NHÀ Ở CHO LỰC LƯỢNG VŨ TRANG CÔNG AN NHÂN DÂN</t>
        </is>
      </c>
      <c r="B2" s="8" t="inlineStr"/>
      <c r="C2" s="8" t="inlineStr"/>
      <c r="D2" s="8" t="inlineStr"/>
      <c r="F2" s="8" t="inlineStr"/>
      <c r="G2" s="8" t="inlineStr"/>
      <c r="H2" s="8" t="inlineStr"/>
      <c r="I2" s="8" t="inlineStr"/>
      <c r="J2" s="8" t="inlineStr"/>
      <c r="K2" s="8" t="inlineStr"/>
      <c r="L2" s="8" t="inlineStr"/>
      <c r="M2" s="8" t="inlineStr"/>
      <c r="N2" s="8" t="inlineStr"/>
      <c r="O2" s="8" t="inlineStr"/>
      <c r="P2" s="8" t="inlineStr"/>
    </row>
    <row r="3">
      <c r="A3" s="8" t="inlineStr">
        <is>
          <t>Đơn vị tính: (đ)</t>
        </is>
      </c>
      <c r="B3" s="8" t="inlineStr"/>
      <c r="C3" s="8" t="inlineStr"/>
      <c r="D3" s="8" t="inlineStr"/>
      <c r="F3" s="8" t="inlineStr"/>
      <c r="G3" s="8" t="inlineStr"/>
      <c r="H3" s="8" t="inlineStr"/>
      <c r="I3" s="8" t="inlineStr"/>
      <c r="J3" s="8" t="inlineStr"/>
      <c r="K3" s="8" t="inlineStr"/>
      <c r="L3" s="8" t="inlineStr"/>
      <c r="M3" s="8" t="inlineStr">
        <is>
          <t>Tổng mức đầu tư</t>
        </is>
      </c>
      <c r="N3" s="8" t="inlineStr"/>
      <c r="O3" s="8" t="inlineStr"/>
      <c r="P3" s="8" t="inlineStr"/>
    </row>
    <row r="4">
      <c r="A4" s="8" t="inlineStr">
        <is>
          <t>STT</t>
        </is>
      </c>
      <c r="B4" s="8" t="inlineStr">
        <is>
          <t>NỘI DUNG CHI PHÍ</t>
        </is>
      </c>
      <c r="C4" s="8" t="inlineStr">
        <is>
          <t>Mã số</t>
        </is>
      </c>
      <c r="D4" s="8" t="inlineStr">
        <is>
          <t>ĐỊNH MỨC</t>
        </is>
      </c>
      <c r="E4" s="10" t="inlineStr">
        <is>
          <t>LINK TRA CỨU TT 38/2026/TT-BXD</t>
        </is>
      </c>
      <c r="F4" s="8" t="inlineStr">
        <is>
          <t>HỆ SỐ</t>
        </is>
      </c>
      <c r="G4" s="8" t="inlineStr">
        <is>
          <t>CÁCH TÍNH</t>
        </is>
      </c>
      <c r="H4" s="8" t="inlineStr">
        <is>
          <t>GIÁ TRỊ
TRƯỚC THUẾ</t>
        </is>
      </c>
      <c r="I4" s="8" t="inlineStr">
        <is>
          <t>THUẾ
GTGT</t>
        </is>
      </c>
      <c r="J4" s="8" t="inlineStr">
        <is>
          <t>GIÁ TRỊ
SAU THUẾ</t>
        </is>
      </c>
      <c r="K4" s="8" t="inlineStr">
        <is>
          <t>KÝ HIỆU</t>
        </is>
      </c>
      <c r="L4" s="8" t="n">
        <v>0.1</v>
      </c>
      <c r="M4" s="8" t="inlineStr">
        <is>
          <t>Dự kiến</t>
        </is>
      </c>
      <c r="N4" s="8" t="inlineStr">
        <is>
          <t>Tiền khả thi</t>
        </is>
      </c>
      <c r="O4" s="8" t="inlineStr">
        <is>
          <t>Được duyệt</t>
        </is>
      </c>
      <c r="P4" s="8" t="inlineStr">
        <is>
          <t>Ghi chú/ Hướng dẫn</t>
        </is>
      </c>
    </row>
    <row r="5">
      <c r="A5" s="8" t="inlineStr">
        <is>
          <t>1</t>
        </is>
      </c>
      <c r="B5" s="8" t="inlineStr">
        <is>
          <t>Chi phí xây dựng</t>
        </is>
      </c>
      <c r="C5" s="8" t="inlineStr">
        <is>
          <t>Gxd</t>
        </is>
      </c>
      <c r="D5" s="8" t="inlineStr"/>
      <c r="F5" s="8" t="inlineStr"/>
      <c r="G5" s="8" t="inlineStr"/>
      <c r="H5" s="8" t="n">
        <v>3302951544.194238</v>
      </c>
      <c r="I5" s="8" t="n">
        <v>330295155.1194238</v>
      </c>
      <c r="J5" s="8" t="n">
        <v>3633246699.313662</v>
      </c>
      <c r="K5" s="8" t="inlineStr">
        <is>
          <t>Gcpxd</t>
        </is>
      </c>
      <c r="L5" s="8" t="n">
        <v>1</v>
      </c>
      <c r="M5" s="8" t="n">
        <v>3273490133</v>
      </c>
      <c r="N5" s="8" t="n">
        <v>3273490133</v>
      </c>
      <c r="O5" s="8" t="n">
        <v>3273490133</v>
      </c>
      <c r="P5" s="8" t="inlineStr"/>
    </row>
    <row r="6">
      <c r="A6" s="8" t="inlineStr">
        <is>
          <t>1.1</t>
        </is>
      </c>
      <c r="B6" s="8" t="inlineStr">
        <is>
          <t>Chi phí xây dựng công trình chính, phụ trợ tạm phục vụ thi công</t>
        </is>
      </c>
      <c r="C6" s="8" t="inlineStr">
        <is>
          <t>Gxdcpt</t>
        </is>
      </c>
      <c r="D6" s="8" t="inlineStr"/>
      <c r="F6" s="8" t="inlineStr"/>
      <c r="G6" s="8" t="inlineStr"/>
      <c r="H6" s="8" t="n">
        <v>3273490133</v>
      </c>
      <c r="I6" s="8" t="n">
        <v>327349014</v>
      </c>
      <c r="J6" s="8" t="n">
        <v>3600839147</v>
      </c>
      <c r="K6" s="8" t="inlineStr">
        <is>
          <t>Gxd</t>
        </is>
      </c>
      <c r="L6" s="8" t="n">
        <v>3273490133</v>
      </c>
      <c r="M6" s="8" t="n">
        <v>3273490133</v>
      </c>
      <c r="N6" s="8" t="n">
        <v>3273490133</v>
      </c>
      <c r="O6" s="8" t="n">
        <v>3273490133</v>
      </c>
      <c r="P6" s="8" t="inlineStr"/>
    </row>
    <row r="7">
      <c r="A7" s="8" t="inlineStr"/>
      <c r="B7" s="8" t="inlineStr">
        <is>
          <t>+ HẠNG MỤC: ĐIỀU HÒA KHÔNG KHÍ &amp; THÔNG GIÓ - LẮP ĐẶT THIẾT BỊ</t>
        </is>
      </c>
      <c r="C7" s="8" t="inlineStr"/>
      <c r="D7" s="8" t="inlineStr"/>
      <c r="F7" s="8" t="inlineStr"/>
      <c r="G7" s="8" t="inlineStr"/>
      <c r="H7" s="8" t="n">
        <v>348357978</v>
      </c>
      <c r="I7" s="8" t="n">
        <v>34835798</v>
      </c>
      <c r="J7" s="8" t="n">
        <v>383193776</v>
      </c>
      <c r="K7" s="8" t="inlineStr">
        <is>
          <t>Gxd.1</t>
        </is>
      </c>
      <c r="L7" s="8" t="inlineStr"/>
      <c r="M7" s="8" t="n">
        <v>348357978</v>
      </c>
      <c r="N7" s="8" t="n">
        <v>348357978</v>
      </c>
      <c r="O7" s="8" t="n">
        <v>348357978</v>
      </c>
      <c r="P7" s="8" t="inlineStr"/>
    </row>
    <row r="8">
      <c r="A8" s="8" t="inlineStr"/>
      <c r="B8" s="8" t="inlineStr">
        <is>
          <t>+ HẠNG MỤC: ĐIỀU HÒA KHÔNG KHÍ &amp; THÔNG GIÓ - VẬT TƯ XÂY LẮP</t>
        </is>
      </c>
      <c r="C8" s="8" t="inlineStr"/>
      <c r="D8" s="8" t="inlineStr"/>
      <c r="F8" s="8" t="inlineStr"/>
      <c r="G8" s="8" t="inlineStr"/>
      <c r="H8" s="8" t="n">
        <v>2925132155</v>
      </c>
      <c r="I8" s="8" t="n">
        <v>292513216</v>
      </c>
      <c r="J8" s="8" t="n">
        <v>3217645371</v>
      </c>
      <c r="K8" s="8" t="inlineStr">
        <is>
          <t>Gxd.2</t>
        </is>
      </c>
      <c r="L8" s="8" t="inlineStr"/>
      <c r="M8" s="8" t="n">
        <v>2925132155</v>
      </c>
      <c r="N8" s="8" t="n">
        <v>2925132155</v>
      </c>
      <c r="O8" s="8" t="n">
        <v>2925132155</v>
      </c>
      <c r="P8" s="8" t="inlineStr"/>
    </row>
    <row r="9">
      <c r="A9" s="8" t="inlineStr">
        <is>
          <t>1.2</t>
        </is>
      </c>
      <c r="B9" s="8" t="inlineStr">
        <is>
          <t>Chi phí xây dựng nhà tạm tại hiện trường để ở và điều hành thi công</t>
        </is>
      </c>
      <c r="C9" s="8" t="inlineStr">
        <is>
          <t>Gxdnt</t>
        </is>
      </c>
      <c r="D9" s="8" t="inlineStr"/>
      <c r="F9" s="8" t="inlineStr"/>
      <c r="G9" s="8" t="inlineStr"/>
      <c r="H9" s="8" t="n">
        <v>29461411.1942378</v>
      </c>
      <c r="I9" s="8" t="n">
        <v>2946141.119423783</v>
      </c>
      <c r="J9" s="8" t="n">
        <v>32407552.31366159</v>
      </c>
      <c r="K9" s="8" t="inlineStr">
        <is>
          <t>Gnt</t>
        </is>
      </c>
      <c r="L9" s="8" t="n">
        <v>1</v>
      </c>
      <c r="M9" s="8" t="inlineStr"/>
      <c r="N9" s="8" t="inlineStr"/>
      <c r="O9" s="8" t="inlineStr"/>
      <c r="P9" s="8" t="inlineStr"/>
    </row>
    <row r="10">
      <c r="A10" s="8" t="inlineStr"/>
      <c r="B10" s="8" t="inlineStr">
        <is>
          <t>+ HẠNG MỤC: ĐIỀU HÒA KHÔNG KHÍ &amp; THÔNG GIÓ - LẮP ĐẶT THIẾT BỊ</t>
        </is>
      </c>
      <c r="C10" s="8" t="inlineStr"/>
      <c r="D10" s="8" t="inlineStr"/>
      <c r="F10" s="8" t="inlineStr"/>
      <c r="G10" s="8" t="inlineStr"/>
      <c r="H10" s="8" t="n">
        <v>3135221.800076347</v>
      </c>
      <c r="I10" s="8" t="n">
        <v>313522.1800076352</v>
      </c>
      <c r="J10" s="8" t="n">
        <v>3448743.980083982</v>
      </c>
      <c r="K10" s="8" t="inlineStr"/>
      <c r="L10" s="8" t="inlineStr"/>
      <c r="M10" s="8" t="inlineStr"/>
      <c r="N10" s="8" t="inlineStr"/>
      <c r="O10" s="8" t="inlineStr"/>
      <c r="P10" s="8" t="inlineStr"/>
    </row>
    <row r="11">
      <c r="A11" s="8" t="inlineStr"/>
      <c r="B11" s="8" t="inlineStr">
        <is>
          <t>+ HẠNG MỤC: ĐIỀU HÒA KHÔNG KHÍ &amp; THÔNG GIÓ - VẬT TƯ XÂY LẮP</t>
        </is>
      </c>
      <c r="C11" s="8" t="inlineStr"/>
      <c r="D11" s="8" t="inlineStr"/>
      <c r="F11" s="8" t="inlineStr"/>
      <c r="G11" s="8" t="inlineStr"/>
      <c r="H11" s="8" t="n">
        <v>26326189.39416146</v>
      </c>
      <c r="I11" s="8" t="n">
        <v>2632618.939416148</v>
      </c>
      <c r="J11" s="8" t="n">
        <v>28958808.3335776</v>
      </c>
      <c r="K11" s="8" t="inlineStr"/>
      <c r="L11" s="8" t="inlineStr"/>
      <c r="M11" s="8" t="inlineStr"/>
      <c r="N11" s="8" t="inlineStr"/>
      <c r="O11" s="8" t="inlineStr"/>
      <c r="P11" s="8" t="inlineStr"/>
    </row>
    <row r="12">
      <c r="A12" s="8" t="inlineStr">
        <is>
          <t>2</t>
        </is>
      </c>
      <c r="B12" s="8" t="inlineStr">
        <is>
          <t>Chi phí thiết bị</t>
        </is>
      </c>
      <c r="C12" s="8" t="inlineStr">
        <is>
          <t>Gtb</t>
        </is>
      </c>
      <c r="D12" s="8" t="inlineStr"/>
      <c r="F12" s="8" t="inlineStr"/>
      <c r="G12" s="8" t="inlineStr"/>
      <c r="H12" s="8" t="n">
        <v>15052011978</v>
      </c>
      <c r="I12" s="8" t="n">
        <v>1505201198</v>
      </c>
      <c r="J12" s="8" t="n">
        <v>16557213176</v>
      </c>
      <c r="K12" s="8" t="inlineStr">
        <is>
          <t>Gtb</t>
        </is>
      </c>
      <c r="L12" s="8" t="n">
        <v>1</v>
      </c>
      <c r="M12" s="8" t="n">
        <v>14703654000</v>
      </c>
      <c r="N12" s="8" t="n">
        <v>14703654000</v>
      </c>
      <c r="O12" s="8" t="n">
        <v>14703654000</v>
      </c>
      <c r="P12" s="8" t="inlineStr">
        <is>
          <t>Người dùng nhập dữ liệu mua sắm, lắp đặt, hiệu chỉnh,... thiết bị ở sheet "TH chi phí TB" hoặc Tạo và khai báo loại hạng mục "7. Lắp đặt, thí nghiệm, hiệu chỉnh, chạy thử thiết bị " bên sheet Công trình</t>
        </is>
      </c>
    </row>
    <row r="13">
      <c r="A13" s="8" t="inlineStr">
        <is>
          <t>2.1</t>
        </is>
      </c>
      <c r="B13" s="8" t="inlineStr">
        <is>
          <t>Trong đó :</t>
        </is>
      </c>
      <c r="C13" s="8" t="inlineStr">
        <is>
          <t>Gtb_CT</t>
        </is>
      </c>
      <c r="D13" s="8" t="inlineStr"/>
      <c r="F13" s="8" t="inlineStr"/>
      <c r="G13" s="8" t="inlineStr"/>
      <c r="H13" s="8" t="inlineStr"/>
      <c r="I13" s="8" t="inlineStr"/>
      <c r="J13" s="8" t="inlineStr"/>
      <c r="K13" s="8" t="inlineStr"/>
      <c r="L13" s="8" t="n">
        <v>1</v>
      </c>
      <c r="M13" s="8" t="inlineStr"/>
      <c r="N13" s="8" t="inlineStr"/>
      <c r="O13" s="8" t="inlineStr"/>
      <c r="P13" s="8" t="inlineStr"/>
    </row>
    <row r="14">
      <c r="A14" s="8" t="inlineStr"/>
      <c r="B14" s="8" t="inlineStr">
        <is>
          <t>+ Chi phí Mua sắm thiết bị</t>
        </is>
      </c>
      <c r="C14" s="8" t="inlineStr">
        <is>
          <t>Gtb_MS</t>
        </is>
      </c>
      <c r="D14" s="8" t="inlineStr"/>
      <c r="F14" s="8" t="inlineStr"/>
      <c r="G14" s="8" t="inlineStr"/>
      <c r="H14" s="8" t="n">
        <v>15052011978</v>
      </c>
      <c r="I14" s="8" t="n">
        <v>1505201198</v>
      </c>
      <c r="J14" s="8" t="n">
        <v>16557213176</v>
      </c>
      <c r="K14" s="8" t="inlineStr"/>
      <c r="L14" s="8" t="n">
        <v>1</v>
      </c>
      <c r="M14" s="8" t="inlineStr"/>
      <c r="N14" s="8" t="inlineStr"/>
      <c r="O14" s="8" t="inlineStr"/>
      <c r="P14" s="8" t="inlineStr"/>
    </row>
    <row r="15">
      <c r="A15" s="8" t="inlineStr"/>
      <c r="B15" s="8" t="inlineStr">
        <is>
          <t>+ Chi phí lắp đặt, thí nghiệm, hiệu chỉnh, đào tạo và chuyển giao thiết bị</t>
        </is>
      </c>
      <c r="C15" s="8" t="inlineStr">
        <is>
          <t>Gtb_LD</t>
        </is>
      </c>
      <c r="D15" s="8" t="inlineStr"/>
      <c r="F15" s="8" t="inlineStr"/>
      <c r="G15" s="8" t="inlineStr"/>
      <c r="H15" s="8" t="inlineStr"/>
      <c r="I15" s="8" t="inlineStr"/>
      <c r="J15" s="8" t="n">
        <v>0</v>
      </c>
      <c r="K15" s="8" t="inlineStr"/>
      <c r="L15" s="8" t="n">
        <v>1</v>
      </c>
      <c r="M15" s="8" t="inlineStr"/>
      <c r="N15" s="8" t="inlineStr"/>
      <c r="O15" s="8" t="inlineStr"/>
      <c r="P15" s="8" t="inlineStr"/>
    </row>
    <row r="16">
      <c r="A16" s="8" t="inlineStr">
        <is>
          <t>2.2</t>
        </is>
      </c>
      <c r="B16" s="8" t="inlineStr">
        <is>
          <t>Phân bổ chi phí thiết bị cho các hạng mục, công trình</t>
        </is>
      </c>
      <c r="C16" s="8" t="inlineStr">
        <is>
          <t>Gtb_PB</t>
        </is>
      </c>
      <c r="D16" s="8" t="inlineStr"/>
      <c r="F16" s="8" t="inlineStr"/>
      <c r="G16" s="8" t="inlineStr"/>
      <c r="H16" s="8" t="inlineStr"/>
      <c r="I16" s="8" t="inlineStr"/>
      <c r="J16" s="8" t="inlineStr"/>
      <c r="K16" s="8" t="inlineStr"/>
      <c r="L16" s="8" t="n">
        <v>1</v>
      </c>
      <c r="M16" s="8" t="inlineStr"/>
      <c r="N16" s="8" t="inlineStr"/>
      <c r="O16" s="8" t="inlineStr"/>
      <c r="P16" s="8" t="inlineStr"/>
    </row>
    <row r="17">
      <c r="A17" s="8" t="inlineStr"/>
      <c r="B17" s="8" t="inlineStr">
        <is>
          <t>+ HẠNG MỤC: ĐIỀU HÒA KHÔNG KHÍ &amp; THÔNG GIÓ - LẮP ĐẶT THIẾT BỊ</t>
        </is>
      </c>
      <c r="C17" s="8" t="inlineStr"/>
      <c r="D17" s="8" t="inlineStr"/>
      <c r="F17" s="8" t="inlineStr"/>
      <c r="G17" s="8" t="inlineStr"/>
      <c r="H17" s="8" t="n">
        <v>7351827000</v>
      </c>
      <c r="I17" s="8" t="n">
        <v>735182700</v>
      </c>
      <c r="J17" s="8" t="n">
        <v>8087009700</v>
      </c>
      <c r="K17" s="8" t="inlineStr">
        <is>
          <t>Gtb.1</t>
        </is>
      </c>
      <c r="L17" s="8" t="inlineStr"/>
      <c r="M17" s="8" t="n">
        <v>7351827000</v>
      </c>
      <c r="N17" s="8" t="n">
        <v>7351827000</v>
      </c>
      <c r="O17" s="8" t="n">
        <v>7351827000</v>
      </c>
      <c r="P17" s="8" t="inlineStr"/>
    </row>
    <row r="18">
      <c r="A18" s="8" t="inlineStr"/>
      <c r="B18" s="8" t="inlineStr">
        <is>
          <t>+ HẠNG MỤC: ĐIỀU HÒA KHÔNG KHÍ &amp; THÔNG GIÓ - VẬT TƯ XÂY LẮP</t>
        </is>
      </c>
      <c r="C18" s="8" t="inlineStr"/>
      <c r="D18" s="8" t="inlineStr"/>
      <c r="F18" s="8" t="inlineStr"/>
      <c r="G18" s="8" t="inlineStr"/>
      <c r="H18" s="8" t="n">
        <v>7351827000</v>
      </c>
      <c r="I18" s="8" t="n">
        <v>735182700</v>
      </c>
      <c r="J18" s="8" t="n">
        <v>8087009700</v>
      </c>
      <c r="K18" s="8" t="inlineStr">
        <is>
          <t>Gtb.2</t>
        </is>
      </c>
      <c r="L18" s="8" t="inlineStr"/>
      <c r="M18" s="8" t="n">
        <v>7351827000</v>
      </c>
      <c r="N18" s="8" t="n">
        <v>7351827000</v>
      </c>
      <c r="O18" s="8" t="n">
        <v>7351827000</v>
      </c>
      <c r="P18" s="8" t="inlineStr"/>
    </row>
    <row r="19">
      <c r="A19" s="8" t="inlineStr">
        <is>
          <t>3</t>
        </is>
      </c>
      <c r="B19" s="8" t="inlineStr">
        <is>
          <t>Chi phí quản lý dự án</t>
        </is>
      </c>
      <c r="C19" s="8" t="inlineStr">
        <is>
          <t>Gqlda</t>
        </is>
      </c>
      <c r="D19" s="8" t="n">
        <v>0.0288474</v>
      </c>
      <c r="F19" s="8" t="inlineStr"/>
      <c r="G19" s="8" t="inlineStr">
        <is>
          <t>2,88474% x (Gxd+Gtb)</t>
        </is>
      </c>
      <c r="H19" s="8" t="n">
        <v>528643090</v>
      </c>
      <c r="I19" s="8" t="n">
        <v>52864309</v>
      </c>
      <c r="J19" s="8" t="n">
        <v>581507399</v>
      </c>
      <c r="K19" s="8" t="inlineStr">
        <is>
          <t>Gqlda</t>
        </is>
      </c>
      <c r="L19" s="8" t="n">
        <v>1</v>
      </c>
      <c r="M19" s="8" t="inlineStr"/>
      <c r="N19" s="8" t="inlineStr"/>
      <c r="O19" s="8" t="inlineStr"/>
      <c r="P19" s="8" t="inlineStr">
        <is>
          <t>Quyết định 79/QĐ-BXD. Ngày 15/02/2017</t>
        </is>
      </c>
    </row>
    <row r="20">
      <c r="A20" s="8" t="inlineStr">
        <is>
          <t>4</t>
        </is>
      </c>
      <c r="B20" s="8" t="inlineStr">
        <is>
          <t>Chi phí tư vấn đầu tư xây dựng</t>
        </is>
      </c>
      <c r="C20" s="8" t="inlineStr">
        <is>
          <t>Gtv</t>
        </is>
      </c>
      <c r="D20" s="8" t="inlineStr"/>
      <c r="F20" s="8" t="inlineStr"/>
      <c r="G20" s="8" t="inlineStr">
        <is>
          <t>Gtv1 : Gtv35</t>
        </is>
      </c>
      <c r="H20" s="8" t="n">
        <v>876909241.1999999</v>
      </c>
      <c r="I20" s="8" t="n">
        <v>87690924.11999999</v>
      </c>
      <c r="J20" s="8" t="n">
        <v>964600165.3199999</v>
      </c>
      <c r="K20" s="8" t="inlineStr">
        <is>
          <t>Gtv</t>
        </is>
      </c>
      <c r="L20" s="8" t="n">
        <v>1</v>
      </c>
      <c r="M20" s="8" t="inlineStr"/>
      <c r="N20" s="8" t="inlineStr"/>
      <c r="O20" s="8" t="inlineStr"/>
      <c r="P20" s="8" t="inlineStr"/>
    </row>
    <row r="21">
      <c r="A21" s="8" t="inlineStr">
        <is>
          <t>4.1</t>
        </is>
      </c>
      <c r="B21" s="8" t="inlineStr">
        <is>
          <t>Chi phí khảo sát</t>
        </is>
      </c>
      <c r="C21" s="8" t="inlineStr">
        <is>
          <t>Gks</t>
        </is>
      </c>
      <c r="D21" s="8" t="inlineStr"/>
      <c r="F21" s="8" t="inlineStr"/>
      <c r="G21" s="8" t="inlineStr"/>
      <c r="H21" s="8" t="inlineStr"/>
      <c r="I21" s="8" t="n">
        <v>0</v>
      </c>
      <c r="J21" s="8" t="n">
        <v>0</v>
      </c>
      <c r="K21" s="8" t="inlineStr">
        <is>
          <t>Gtv1</t>
        </is>
      </c>
      <c r="L21" s="8" t="n">
        <v>1</v>
      </c>
      <c r="M21" s="8" t="inlineStr"/>
      <c r="N21" s="8" t="inlineStr"/>
      <c r="O21" s="8" t="inlineStr"/>
      <c r="P21" s="8" t="inlineStr">
        <is>
          <t>Người dùng nhập ở cột Chi phí trước thuế hoặc Tạo và khai báo loại hạng mục "3. Khảo sát" bên sheet Công trình</t>
        </is>
      </c>
    </row>
    <row r="22">
      <c r="A22" s="8" t="inlineStr">
        <is>
          <t>4.2</t>
        </is>
      </c>
      <c r="B22" s="8" t="inlineStr">
        <is>
          <t>Chi phí lập nhiệm vụ khảo sát xây dựng</t>
        </is>
      </c>
      <c r="C22" s="8" t="inlineStr">
        <is>
          <t>Glnvks</t>
        </is>
      </c>
      <c r="D22" s="8" t="n">
        <v>0.03</v>
      </c>
      <c r="F22" s="8" t="inlineStr"/>
      <c r="G22" s="8" t="inlineStr">
        <is>
          <t>3%*Gks</t>
        </is>
      </c>
      <c r="H22" s="8" t="n">
        <v>0</v>
      </c>
      <c r="I22" s="8" t="n">
        <v>0</v>
      </c>
      <c r="J22" s="8" t="n">
        <v>0</v>
      </c>
      <c r="K22" s="8" t="inlineStr">
        <is>
          <t>Gtv2</t>
        </is>
      </c>
      <c r="L22" s="8" t="n">
        <v>1</v>
      </c>
      <c r="M22" s="8" t="inlineStr"/>
      <c r="N22" s="8" t="inlineStr"/>
      <c r="O22" s="8" t="inlineStr"/>
      <c r="P22" s="8" t="inlineStr"/>
    </row>
    <row r="23">
      <c r="A23" s="8" t="inlineStr">
        <is>
          <t>4.3</t>
        </is>
      </c>
      <c r="B23" s="8" t="inlineStr">
        <is>
          <t>Chi phí giám sát công tác khảo sát xây dựng</t>
        </is>
      </c>
      <c r="C23" s="8" t="inlineStr">
        <is>
          <t>Ggsks</t>
        </is>
      </c>
      <c r="D23" s="8" t="n">
        <v>0.04072</v>
      </c>
      <c r="F23" s="8" t="inlineStr"/>
      <c r="G23" s="8" t="inlineStr">
        <is>
          <t>4,072%*Gks</t>
        </is>
      </c>
      <c r="H23" s="8" t="n">
        <v>0</v>
      </c>
      <c r="I23" s="8" t="n">
        <v>0</v>
      </c>
      <c r="J23" s="8" t="n">
        <v>0</v>
      </c>
      <c r="K23" s="8" t="inlineStr">
        <is>
          <t>Gtv3</t>
        </is>
      </c>
      <c r="L23" s="8" t="n">
        <v>1</v>
      </c>
      <c r="M23" s="8" t="inlineStr"/>
      <c r="N23" s="8" t="inlineStr"/>
      <c r="O23" s="8" t="inlineStr"/>
      <c r="P23" s="8" t="inlineStr">
        <is>
          <t>Quyết định 79/QĐ-BXD. Ngày 15/02/2017</t>
        </is>
      </c>
    </row>
    <row r="24">
      <c r="A24" s="8" t="inlineStr"/>
      <c r="B24" s="8" t="inlineStr">
        <is>
          <t>Chi phí lập dự án</t>
        </is>
      </c>
      <c r="C24" s="8" t="inlineStr">
        <is>
          <t>Glapda</t>
        </is>
      </c>
      <c r="D24" s="8" t="n">
        <v>0</v>
      </c>
      <c r="F24" s="8" t="inlineStr"/>
      <c r="G24" s="8" t="inlineStr"/>
      <c r="H24" s="8" t="inlineStr"/>
      <c r="I24" s="8" t="n">
        <v>0</v>
      </c>
      <c r="J24" s="8" t="inlineStr"/>
      <c r="K24" s="8" t="inlineStr">
        <is>
          <t>Gtv4</t>
        </is>
      </c>
      <c r="L24" s="8" t="n">
        <v>1</v>
      </c>
      <c r="M24" s="8" t="inlineStr"/>
      <c r="N24" s="8" t="inlineStr"/>
      <c r="O24" s="8" t="inlineStr"/>
      <c r="P24" s="8" t="inlineStr">
        <is>
          <t>Quyết định 79/QĐ-BXD. Ngày 15/02/2017</t>
        </is>
      </c>
    </row>
    <row r="25">
      <c r="A25" s="8" t="inlineStr"/>
      <c r="B25" s="8" t="inlineStr">
        <is>
          <t>Chi phí thẩm tra tính hiệu quả và tính khả thi của dự án đầu tư</t>
        </is>
      </c>
      <c r="C25" s="8" t="inlineStr">
        <is>
          <t>Ghqkt</t>
        </is>
      </c>
      <c r="D25" s="8" t="n">
        <v>0</v>
      </c>
      <c r="F25" s="8" t="inlineStr"/>
      <c r="G25" s="8" t="inlineStr"/>
      <c r="H25" s="8" t="inlineStr"/>
      <c r="I25" s="8" t="n">
        <v>0</v>
      </c>
      <c r="J25" s="8" t="inlineStr"/>
      <c r="K25" s="8" t="inlineStr">
        <is>
          <t>Gtv5</t>
        </is>
      </c>
      <c r="L25" s="8" t="n">
        <v>1</v>
      </c>
      <c r="M25" s="8" t="inlineStr"/>
      <c r="N25" s="8" t="inlineStr"/>
      <c r="O25" s="8" t="inlineStr"/>
      <c r="P25" s="8" t="inlineStr">
        <is>
          <t>Quyết định 79/QĐ-BXD. Ngày 15/02/2017</t>
        </is>
      </c>
    </row>
    <row r="26">
      <c r="A26" s="8" t="inlineStr">
        <is>
          <t>4.4</t>
        </is>
      </c>
      <c r="B26" s="8" t="inlineStr">
        <is>
          <t>Chi phí Thẩm định báo cáo đánh giá tác động môi trường (Thông tư 195/2016/TT-BTC)</t>
        </is>
      </c>
      <c r="C26" s="8" t="inlineStr">
        <is>
          <t>Gdgtdmt</t>
        </is>
      </c>
      <c r="D26" s="8" t="inlineStr"/>
      <c r="F26" s="8" t="inlineStr"/>
      <c r="G26" s="8" t="inlineStr"/>
      <c r="H26" s="8" t="n">
        <v>12500000</v>
      </c>
      <c r="I26" s="8" t="n">
        <v>1250000</v>
      </c>
      <c r="J26" s="8" t="n">
        <v>13750000</v>
      </c>
      <c r="K26" s="8" t="inlineStr">
        <is>
          <t>Gtv4</t>
        </is>
      </c>
      <c r="L26" s="8" t="n">
        <v>1</v>
      </c>
      <c r="M26" s="8" t="inlineStr"/>
      <c r="N26" s="8" t="inlineStr"/>
      <c r="O26" s="8" t="inlineStr"/>
      <c r="P26" s="8" t="inlineStr">
        <is>
          <t>Thông tư 195/2016/TT-BTC</t>
        </is>
      </c>
    </row>
    <row r="27">
      <c r="A27" s="8" t="inlineStr">
        <is>
          <t>4.5</t>
        </is>
      </c>
      <c r="B27" s="8" t="inlineStr">
        <is>
          <t>Chi phí lập báo cáo nghiên cứu tiền khả thi</t>
        </is>
      </c>
      <c r="C27" s="8" t="inlineStr">
        <is>
          <t>Gbcnctkt</t>
        </is>
      </c>
      <c r="D27" s="8" t="n">
        <v>0.0056975</v>
      </c>
      <c r="F27" s="8" t="inlineStr"/>
      <c r="G27" s="8" t="inlineStr">
        <is>
          <t>0,56975% x (Gxd+Gtb)</t>
        </is>
      </c>
      <c r="H27" s="8" t="n">
        <v>102424779</v>
      </c>
      <c r="I27" s="8" t="n">
        <v>10242477.9</v>
      </c>
      <c r="J27" s="8" t="n">
        <v>112667256.9</v>
      </c>
      <c r="K27" s="8" t="inlineStr">
        <is>
          <t>Gtv5</t>
        </is>
      </c>
      <c r="L27" s="8" t="n">
        <v>1</v>
      </c>
      <c r="M27" s="8" t="inlineStr"/>
      <c r="N27" s="8" t="inlineStr"/>
      <c r="O27" s="8" t="inlineStr"/>
      <c r="P27" s="8" t="inlineStr">
        <is>
          <t>Quyết định 79/QĐ-BXD. Ngày 15/02/2017</t>
        </is>
      </c>
    </row>
    <row r="28">
      <c r="A28" s="8" t="inlineStr">
        <is>
          <t>4.6</t>
        </is>
      </c>
      <c r="B28" s="8" t="inlineStr">
        <is>
          <t>Chi phí lập báo cáo nghiên cứu khả thi</t>
        </is>
      </c>
      <c r="C28" s="8" t="inlineStr">
        <is>
          <t>Gbcnckt</t>
        </is>
      </c>
      <c r="D28" s="8" t="n">
        <v>0.009949100000000001</v>
      </c>
      <c r="F28" s="8" t="inlineStr"/>
      <c r="G28" s="8" t="inlineStr">
        <is>
          <t>0,99491% x (Gxd+Gtb)</t>
        </is>
      </c>
      <c r="H28" s="8" t="n">
        <v>178856405</v>
      </c>
      <c r="I28" s="8" t="n">
        <v>17885640.5</v>
      </c>
      <c r="J28" s="8" t="n">
        <v>196742045.5</v>
      </c>
      <c r="K28" s="8" t="inlineStr">
        <is>
          <t>Gtv6</t>
        </is>
      </c>
      <c r="L28" s="8" t="n">
        <v>1</v>
      </c>
      <c r="M28" s="8" t="inlineStr"/>
      <c r="N28" s="8" t="inlineStr"/>
      <c r="O28" s="8" t="inlineStr"/>
      <c r="P28" s="8" t="inlineStr">
        <is>
          <t>Quyết định 79/QĐ-BXD. Ngày 15/02/2017</t>
        </is>
      </c>
    </row>
    <row r="29">
      <c r="A29" s="8" t="inlineStr">
        <is>
          <t>4.7</t>
        </is>
      </c>
      <c r="B29" s="8" t="inlineStr">
        <is>
          <t>Chi phí lập báo cáo kinh tế - kỹ thuật</t>
        </is>
      </c>
      <c r="C29" s="8" t="inlineStr">
        <is>
          <t>Gbcktkt</t>
        </is>
      </c>
      <c r="D29" s="8" t="n">
        <v>0</v>
      </c>
      <c r="F29" s="8" t="inlineStr"/>
      <c r="G29" s="8" t="inlineStr"/>
      <c r="H29" s="8" t="inlineStr"/>
      <c r="I29" s="8" t="n">
        <v>0</v>
      </c>
      <c r="J29" s="8" t="n">
        <v>0</v>
      </c>
      <c r="K29" s="8" t="inlineStr">
        <is>
          <t>Gtv7</t>
        </is>
      </c>
      <c r="L29" s="8" t="n">
        <v>1</v>
      </c>
      <c r="M29" s="8" t="inlineStr"/>
      <c r="N29" s="8" t="inlineStr"/>
      <c r="O29" s="8" t="inlineStr"/>
      <c r="P29" s="8" t="inlineStr">
        <is>
          <t>Quyết định 79/QĐ-BXD. Ngày 15/02/2017</t>
        </is>
      </c>
    </row>
    <row r="30">
      <c r="A30" s="8" t="inlineStr">
        <is>
          <t>4.8</t>
        </is>
      </c>
      <c r="B30" s="8" t="inlineStr">
        <is>
          <t>Chi phí thẩm tra báo cáo nghiên cứu tiền khả thi</t>
        </is>
      </c>
      <c r="C30" s="8" t="inlineStr">
        <is>
          <t>Gttbcnctkt</t>
        </is>
      </c>
      <c r="D30" s="8" t="n">
        <v>0.0006385</v>
      </c>
      <c r="F30" s="8" t="inlineStr"/>
      <c r="G30" s="8" t="inlineStr">
        <is>
          <t>0,06385% x (Gxd+Gtb)</t>
        </is>
      </c>
      <c r="H30" s="8" t="n">
        <v>11478407</v>
      </c>
      <c r="I30" s="8" t="n">
        <v>1147840.7</v>
      </c>
      <c r="J30" s="8" t="n">
        <v>12626247.7</v>
      </c>
      <c r="K30" s="8" t="inlineStr">
        <is>
          <t>Gtv8</t>
        </is>
      </c>
      <c r="L30" s="8" t="n">
        <v>1</v>
      </c>
      <c r="M30" s="8" t="inlineStr"/>
      <c r="N30" s="8" t="inlineStr"/>
      <c r="O30" s="8" t="inlineStr"/>
      <c r="P30" s="8" t="inlineStr">
        <is>
          <t>Quyết định 79/QĐ-BXD. Ngày 15/02/2017</t>
        </is>
      </c>
    </row>
    <row r="31">
      <c r="A31" s="8" t="inlineStr">
        <is>
          <t>4.9</t>
        </is>
      </c>
      <c r="B31" s="8" t="inlineStr">
        <is>
          <t>Chi phí thẩm tra báo cáo nghiên cứu khả thi</t>
        </is>
      </c>
      <c r="C31" s="8" t="inlineStr">
        <is>
          <t>Gttbcnckt</t>
        </is>
      </c>
      <c r="D31" s="8" t="n">
        <v>0.0018256</v>
      </c>
      <c r="F31" s="8" t="inlineStr"/>
      <c r="G31" s="8" t="inlineStr">
        <is>
          <t>0,18256% x (Gxd+Gtb)</t>
        </is>
      </c>
      <c r="H31" s="8" t="n">
        <v>32819074</v>
      </c>
      <c r="I31" s="8" t="n">
        <v>3281907.4</v>
      </c>
      <c r="J31" s="8" t="n">
        <v>36100981.4</v>
      </c>
      <c r="K31" s="8" t="inlineStr">
        <is>
          <t>Gtv9</t>
        </is>
      </c>
      <c r="L31" s="8" t="n">
        <v>1</v>
      </c>
      <c r="M31" s="8" t="inlineStr"/>
      <c r="N31" s="8" t="inlineStr"/>
      <c r="O31" s="8" t="inlineStr"/>
      <c r="P31" s="8" t="inlineStr">
        <is>
          <t>Quyết định 79/QĐ-BXD. Ngày 15/02/2017</t>
        </is>
      </c>
    </row>
    <row r="32">
      <c r="A32" s="8" t="inlineStr">
        <is>
          <t>4.10</t>
        </is>
      </c>
      <c r="B32" s="8" t="inlineStr">
        <is>
          <t>Chi phí thẩm tra thiết kế công nghệ</t>
        </is>
      </c>
      <c r="C32" s="8" t="inlineStr">
        <is>
          <t>Gtttkcn</t>
        </is>
      </c>
      <c r="D32" s="8" t="n">
        <v>0.2</v>
      </c>
      <c r="F32" s="8" t="inlineStr"/>
      <c r="G32" s="8" t="inlineStr">
        <is>
          <t>20%*Gttbcnckt</t>
        </is>
      </c>
      <c r="H32" s="8" t="n">
        <v>6563814.800000001</v>
      </c>
      <c r="I32" s="8" t="n">
        <v>656381.4800000001</v>
      </c>
      <c r="J32" s="8" t="n">
        <v>7220196.280000001</v>
      </c>
      <c r="K32" s="8" t="inlineStr">
        <is>
          <t>Gtv10</t>
        </is>
      </c>
      <c r="L32" s="8" t="n">
        <v>1</v>
      </c>
      <c r="M32" s="8" t="inlineStr"/>
      <c r="N32" s="8" t="inlineStr"/>
      <c r="O32" s="8" t="inlineStr"/>
      <c r="P32" s="8" t="inlineStr"/>
    </row>
    <row r="33">
      <c r="A33" s="8" t="inlineStr">
        <is>
          <t>4.11</t>
        </is>
      </c>
      <c r="B33" s="8" t="inlineStr">
        <is>
          <t>Chi phí thẩm tra Báo cáo kinh tế - kỹ thuật, phần thiết kế</t>
        </is>
      </c>
      <c r="C33" s="8" t="inlineStr">
        <is>
          <t>Gttbcktkt_tk</t>
        </is>
      </c>
      <c r="D33" s="8" t="n">
        <v>0</v>
      </c>
      <c r="F33" s="8" t="inlineStr"/>
      <c r="G33" s="8" t="inlineStr"/>
      <c r="H33" s="8" t="inlineStr"/>
      <c r="I33" s="8" t="n">
        <v>0</v>
      </c>
      <c r="J33" s="8" t="n">
        <v>0</v>
      </c>
      <c r="K33" s="8" t="inlineStr">
        <is>
          <t>Gtv11</t>
        </is>
      </c>
      <c r="L33" s="8" t="n">
        <v>1</v>
      </c>
      <c r="M33" s="8" t="inlineStr"/>
      <c r="N33" s="8" t="inlineStr"/>
      <c r="O33" s="8" t="inlineStr"/>
      <c r="P33" s="8" t="inlineStr">
        <is>
          <t>Quyết định 79/QĐ-BXD. Ngày 15/02/2017</t>
        </is>
      </c>
    </row>
    <row r="34">
      <c r="A34" s="8" t="inlineStr">
        <is>
          <t>4.12</t>
        </is>
      </c>
      <c r="B34" s="8" t="inlineStr">
        <is>
          <t>Chi phí thẩm tra Báo cáo kinh tế - kỹ thuật, phần dự toán</t>
        </is>
      </c>
      <c r="C34" s="8" t="inlineStr">
        <is>
          <t>Gttbcktkt_dt</t>
        </is>
      </c>
      <c r="D34" s="8" t="n">
        <v>0</v>
      </c>
      <c r="F34" s="8" t="inlineStr"/>
      <c r="G34" s="8" t="inlineStr"/>
      <c r="H34" s="8" t="inlineStr"/>
      <c r="I34" s="8" t="n">
        <v>0</v>
      </c>
      <c r="J34" s="8" t="n">
        <v>0</v>
      </c>
      <c r="K34" s="8" t="inlineStr">
        <is>
          <t>Gtv12</t>
        </is>
      </c>
      <c r="L34" s="8" t="n">
        <v>1</v>
      </c>
      <c r="M34" s="8" t="inlineStr"/>
      <c r="N34" s="8" t="inlineStr"/>
      <c r="O34" s="8" t="inlineStr"/>
      <c r="P34" s="8" t="inlineStr">
        <is>
          <t>Quyết định 79/QĐ-BXD. Ngày 15/02/2017</t>
        </is>
      </c>
    </row>
    <row r="35">
      <c r="A35" s="8" t="inlineStr">
        <is>
          <t>4.13</t>
        </is>
      </c>
      <c r="B35" s="8" t="inlineStr">
        <is>
          <t>Chi phí thi tuyển thiết kế kiến trúc</t>
        </is>
      </c>
      <c r="C35" s="8" t="inlineStr">
        <is>
          <t>Gkt</t>
        </is>
      </c>
      <c r="D35" s="8" t="inlineStr"/>
      <c r="F35" s="8" t="inlineStr"/>
      <c r="G35" s="8" t="inlineStr"/>
      <c r="H35" s="8" t="inlineStr"/>
      <c r="I35" s="8" t="n">
        <v>0</v>
      </c>
      <c r="J35" s="8" t="n">
        <v>0</v>
      </c>
      <c r="K35" s="8" t="inlineStr">
        <is>
          <t>Gtv13</t>
        </is>
      </c>
      <c r="L35" s="8" t="n">
        <v>1</v>
      </c>
      <c r="M35" s="8" t="inlineStr"/>
      <c r="N35" s="8" t="inlineStr"/>
      <c r="O35" s="8" t="inlineStr"/>
      <c r="P35" s="8" t="inlineStr">
        <is>
          <t>Người dùng nhập ở cột Chi phí trước thuế</t>
        </is>
      </c>
    </row>
    <row r="36">
      <c r="A36" s="8" t="inlineStr">
        <is>
          <t>4.14</t>
        </is>
      </c>
      <c r="B36" s="8" t="inlineStr">
        <is>
          <t>Chi phí thiết kế kỹ thuật</t>
        </is>
      </c>
      <c r="C36" s="8" t="inlineStr">
        <is>
          <t>Gtk</t>
        </is>
      </c>
      <c r="D36" s="8" t="n">
        <v>0.0267</v>
      </c>
      <c r="F36" s="8" t="inlineStr"/>
      <c r="G36" s="8" t="inlineStr">
        <is>
          <t>2,67% x Gxd</t>
        </is>
      </c>
      <c r="H36" s="8" t="n">
        <v>87402187</v>
      </c>
      <c r="I36" s="8" t="n">
        <v>8740218.700000001</v>
      </c>
      <c r="J36" s="8" t="n">
        <v>96142405.7</v>
      </c>
      <c r="K36" s="8" t="inlineStr">
        <is>
          <t>Gtv14</t>
        </is>
      </c>
      <c r="L36" s="8" t="n">
        <v>1</v>
      </c>
      <c r="M36" s="8" t="inlineStr"/>
      <c r="N36" s="8" t="inlineStr"/>
      <c r="O36" s="8" t="inlineStr"/>
      <c r="P36" s="8" t="inlineStr">
        <is>
          <t>Quyết định 79/QĐ-BXD. Ngày 15/02/2017</t>
        </is>
      </c>
    </row>
    <row r="37">
      <c r="A37" s="8" t="inlineStr">
        <is>
          <t>4.15</t>
        </is>
      </c>
      <c r="B37" s="8" t="inlineStr">
        <is>
          <t>Chi phí thiết kế bản vẽ thi công</t>
        </is>
      </c>
      <c r="C37" s="8" t="inlineStr">
        <is>
          <t>Gtkbv</t>
        </is>
      </c>
      <c r="D37" s="8" t="n">
        <v>0.55</v>
      </c>
      <c r="F37" s="8" t="inlineStr"/>
      <c r="G37" s="8" t="inlineStr">
        <is>
          <t>55% x Gtv14</t>
        </is>
      </c>
      <c r="H37" s="8" t="n">
        <v>48071203</v>
      </c>
      <c r="I37" s="8" t="n">
        <v>4807120.3</v>
      </c>
      <c r="J37" s="8" t="n">
        <v>52878323.3</v>
      </c>
      <c r="K37" s="8" t="inlineStr">
        <is>
          <t>Gtv15</t>
        </is>
      </c>
      <c r="L37" s="8" t="n">
        <v>1</v>
      </c>
      <c r="M37" s="8" t="inlineStr"/>
      <c r="N37" s="8" t="inlineStr"/>
      <c r="O37" s="8" t="inlineStr"/>
      <c r="P37" s="8" t="inlineStr">
        <is>
          <t>Quyết định 79/QĐ-BXD. Ngày 15/02/2017</t>
        </is>
      </c>
    </row>
    <row r="38">
      <c r="A38" s="8" t="inlineStr">
        <is>
          <t>4.16</t>
        </is>
      </c>
      <c r="B38" s="8" t="inlineStr">
        <is>
          <t>Chi phí thẩm tra thiết kế kỹ thuật</t>
        </is>
      </c>
      <c r="C38" s="8" t="inlineStr">
        <is>
          <t>Gtttkkt</t>
        </is>
      </c>
      <c r="D38" s="8" t="n">
        <v>0.00258</v>
      </c>
      <c r="F38" s="8" t="inlineStr"/>
      <c r="G38" s="8" t="inlineStr">
        <is>
          <t>0,258% x Gxd</t>
        </is>
      </c>
      <c r="H38" s="8" t="n">
        <v>8445605</v>
      </c>
      <c r="I38" s="8" t="n">
        <v>844560.5</v>
      </c>
      <c r="J38" s="8" t="n">
        <v>9290165.5</v>
      </c>
      <c r="K38" s="8" t="inlineStr">
        <is>
          <t>Gtv16</t>
        </is>
      </c>
      <c r="L38" s="8" t="n">
        <v>1</v>
      </c>
      <c r="M38" s="8" t="inlineStr"/>
      <c r="N38" s="8" t="inlineStr"/>
      <c r="O38" s="8" t="inlineStr"/>
      <c r="P38" s="8" t="inlineStr">
        <is>
          <t>Quyết định 79/QĐ-BXD. Ngày 15/02/2017</t>
        </is>
      </c>
    </row>
    <row r="39">
      <c r="A39" s="8" t="inlineStr">
        <is>
          <t>4.17</t>
        </is>
      </c>
      <c r="B39" s="8" t="inlineStr">
        <is>
          <t>Chi phí thẩm tra thiết kế bản vẽ thi công</t>
        </is>
      </c>
      <c r="C39" s="8" t="inlineStr">
        <is>
          <t>Gtttktc</t>
        </is>
      </c>
      <c r="D39" s="8" t="n">
        <v>0</v>
      </c>
      <c r="F39" s="8" t="inlineStr"/>
      <c r="G39" s="8" t="inlineStr"/>
      <c r="H39" s="8" t="inlineStr"/>
      <c r="I39" s="8" t="n">
        <v>0</v>
      </c>
      <c r="J39" s="8" t="n">
        <v>0</v>
      </c>
      <c r="K39" s="8" t="inlineStr">
        <is>
          <t>Gtv17</t>
        </is>
      </c>
      <c r="L39" s="8" t="n">
        <v>1</v>
      </c>
      <c r="M39" s="8" t="inlineStr"/>
      <c r="N39" s="8" t="inlineStr"/>
      <c r="O39" s="8" t="inlineStr"/>
      <c r="P39" s="8" t="inlineStr">
        <is>
          <t>Quyết định 79/QĐ-BXD. Ngày 15/02/2017</t>
        </is>
      </c>
    </row>
    <row r="40">
      <c r="A40" s="8" t="inlineStr">
        <is>
          <t>4.18</t>
        </is>
      </c>
      <c r="B40" s="8" t="inlineStr">
        <is>
          <t>Chi phí thẩm tra dự toán công trình</t>
        </is>
      </c>
      <c r="C40" s="8" t="inlineStr">
        <is>
          <t>Gttdt</t>
        </is>
      </c>
      <c r="D40" s="8" t="n">
        <v>0.0025</v>
      </c>
      <c r="F40" s="8" t="inlineStr"/>
      <c r="G40" s="8" t="inlineStr">
        <is>
          <t>0,25% x Gxd</t>
        </is>
      </c>
      <c r="H40" s="8" t="n">
        <v>8183725</v>
      </c>
      <c r="I40" s="8" t="n">
        <v>818372.5</v>
      </c>
      <c r="J40" s="8" t="n">
        <v>9002097.5</v>
      </c>
      <c r="K40" s="8" t="inlineStr">
        <is>
          <t>Gtv18</t>
        </is>
      </c>
      <c r="L40" s="8" t="n">
        <v>1</v>
      </c>
      <c r="M40" s="8" t="inlineStr"/>
      <c r="N40" s="8" t="inlineStr"/>
      <c r="O40" s="8" t="inlineStr"/>
      <c r="P40" s="8" t="inlineStr">
        <is>
          <t>Quyết định 79/QĐ-BXD. Ngày 15/02/2017</t>
        </is>
      </c>
    </row>
    <row r="41">
      <c r="A41" s="8" t="inlineStr">
        <is>
          <t>4.19</t>
        </is>
      </c>
      <c r="B41" s="8" t="inlineStr">
        <is>
          <t>Chi phí Lập hồ sơ mời thầu, đánh giá hồ sơ dự thầu thi công xây dựng</t>
        </is>
      </c>
      <c r="C41" s="8" t="inlineStr">
        <is>
          <t>Glcnt</t>
        </is>
      </c>
      <c r="D41" s="8" t="n">
        <v>0.00432</v>
      </c>
      <c r="F41" s="8" t="inlineStr"/>
      <c r="G41" s="8" t="inlineStr">
        <is>
          <t>0,432% x GXD(Dự toán gói thầu)</t>
        </is>
      </c>
      <c r="H41" s="8" t="n">
        <v>14268751</v>
      </c>
      <c r="I41" s="8" t="n">
        <v>1426875.1</v>
      </c>
      <c r="J41" s="8" t="n">
        <v>15695626.1</v>
      </c>
      <c r="K41" s="8" t="inlineStr">
        <is>
          <t>Gtv19</t>
        </is>
      </c>
      <c r="L41" s="8" t="n">
        <v>1</v>
      </c>
      <c r="M41" s="8" t="inlineStr"/>
      <c r="N41" s="8" t="inlineStr"/>
      <c r="O41" s="8" t="inlineStr"/>
      <c r="P41" s="8" t="inlineStr">
        <is>
          <t>Quyết định 79/QĐ-BXD. Ngày 15/02/2017</t>
        </is>
      </c>
    </row>
    <row r="42">
      <c r="A42" s="8" t="inlineStr">
        <is>
          <t>4.20</t>
        </is>
      </c>
      <c r="B42" s="8" t="inlineStr">
        <is>
          <t>Chi phí lập hồ sơ mời quan tâm, hồ sơ mời sơ tuyển (Nghị định 63/2014/NĐ-CP)</t>
        </is>
      </c>
      <c r="C42" s="8" t="inlineStr">
        <is>
          <t>Glhsmqt</t>
        </is>
      </c>
      <c r="D42" s="8" t="inlineStr"/>
      <c r="F42" s="8" t="inlineStr"/>
      <c r="G42" s="8" t="inlineStr">
        <is>
          <t>0,05%*GGTXD (Dự toán gói thầu)</t>
        </is>
      </c>
      <c r="H42" s="8" t="n">
        <v>2124264</v>
      </c>
      <c r="I42" s="8" t="n">
        <v>212426.4</v>
      </c>
      <c r="J42" s="8" t="n">
        <v>2336690.4</v>
      </c>
      <c r="K42" s="8" t="inlineStr">
        <is>
          <t>Gtv20</t>
        </is>
      </c>
      <c r="L42" s="8" t="n">
        <v>1</v>
      </c>
      <c r="M42" s="8" t="inlineStr"/>
      <c r="N42" s="8" t="inlineStr"/>
      <c r="O42" s="8" t="inlineStr"/>
      <c r="P42" s="8" t="inlineStr">
        <is>
          <t>Nghị định 63/2014/NĐ-CP</t>
        </is>
      </c>
    </row>
    <row r="43">
      <c r="A43" s="8" t="inlineStr">
        <is>
          <t>4.21</t>
        </is>
      </c>
      <c r="B43" s="8" t="inlineStr">
        <is>
          <t>Chi phí thẩm định hồ sơ mời quan tâm, hồ sơ mời sơ tuyển (Nghị định 63/2014/NĐ-CP)</t>
        </is>
      </c>
      <c r="C43" s="8" t="inlineStr">
        <is>
          <t>Gtdhsmqt</t>
        </is>
      </c>
      <c r="D43" s="8" t="inlineStr"/>
      <c r="F43" s="8" t="inlineStr"/>
      <c r="G43" s="8" t="inlineStr">
        <is>
          <t>0,03%*GGTXD (Dự toán gói thầu)</t>
        </is>
      </c>
      <c r="H43" s="8" t="n">
        <v>1274559</v>
      </c>
      <c r="I43" s="8" t="n">
        <v>127455.9</v>
      </c>
      <c r="J43" s="8" t="n">
        <v>1402014.9</v>
      </c>
      <c r="K43" s="8" t="inlineStr">
        <is>
          <t>Gtv21</t>
        </is>
      </c>
      <c r="L43" s="8" t="n">
        <v>1</v>
      </c>
      <c r="M43" s="8" t="inlineStr"/>
      <c r="N43" s="8" t="inlineStr"/>
      <c r="O43" s="8" t="inlineStr"/>
      <c r="P43" s="8" t="inlineStr">
        <is>
          <t>Nghị định 63/2014/NĐ-CP</t>
        </is>
      </c>
    </row>
    <row r="44">
      <c r="A44" s="8" t="inlineStr">
        <is>
          <t>4.22</t>
        </is>
      </c>
      <c r="B44" s="8" t="inlineStr">
        <is>
          <t>Chi phí lập hồ sơ mời thầu, hồ sơ yêu cầu (Nghị định 63/2014/NĐ-CP)</t>
        </is>
      </c>
      <c r="C44" s="8" t="inlineStr">
        <is>
          <t>Glhsmt</t>
        </is>
      </c>
      <c r="D44" s="8" t="inlineStr"/>
      <c r="F44" s="8" t="inlineStr"/>
      <c r="G44" s="8" t="inlineStr">
        <is>
          <t>0,1%*GGTXD (Dự toán gói thầu)</t>
        </is>
      </c>
      <c r="H44" s="8" t="n">
        <v>4248529</v>
      </c>
      <c r="I44" s="8" t="n">
        <v>424852.9</v>
      </c>
      <c r="J44" s="8" t="n">
        <v>4673381.9</v>
      </c>
      <c r="K44" s="8" t="inlineStr">
        <is>
          <t>Gtv22</t>
        </is>
      </c>
      <c r="L44" s="8" t="n">
        <v>1</v>
      </c>
      <c r="M44" s="8" t="inlineStr"/>
      <c r="N44" s="8" t="inlineStr"/>
      <c r="O44" s="8" t="inlineStr"/>
      <c r="P44" s="8" t="inlineStr">
        <is>
          <t>Nghị định 63/2014/NĐ-CP</t>
        </is>
      </c>
    </row>
    <row r="45">
      <c r="A45" s="8" t="inlineStr">
        <is>
          <t>4.23</t>
        </is>
      </c>
      <c r="B45" s="8" t="inlineStr">
        <is>
          <t>Chi phí thẩm định hồ sơ mời thầu, hồ sơ yêu cầu (Nghị định 63/2014/NĐ-CP)</t>
        </is>
      </c>
      <c r="C45" s="8" t="inlineStr">
        <is>
          <t>Gtdhsmt</t>
        </is>
      </c>
      <c r="D45" s="8" t="inlineStr"/>
      <c r="F45" s="8" t="inlineStr"/>
      <c r="G45" s="8" t="inlineStr">
        <is>
          <t>0,05%*GGTXD (Dự toán gói thầu)</t>
        </is>
      </c>
      <c r="H45" s="8" t="n">
        <v>2124264</v>
      </c>
      <c r="I45" s="8" t="n">
        <v>212426.4</v>
      </c>
      <c r="J45" s="8" t="n">
        <v>2336690.4</v>
      </c>
      <c r="K45" s="8" t="inlineStr">
        <is>
          <t>Gtv23</t>
        </is>
      </c>
      <c r="L45" s="8" t="n">
        <v>1</v>
      </c>
      <c r="M45" s="8" t="inlineStr"/>
      <c r="N45" s="8" t="inlineStr"/>
      <c r="O45" s="8" t="inlineStr"/>
      <c r="P45" s="8" t="inlineStr">
        <is>
          <t>Nghị định 63/2014/NĐ-CP</t>
        </is>
      </c>
    </row>
    <row r="46">
      <c r="A46" s="8" t="inlineStr">
        <is>
          <t>4.24</t>
        </is>
      </c>
      <c r="B46" s="8" t="inlineStr">
        <is>
          <t>Chi phí đánh giá hồ sơ quan tâm, hồ sơ dự sơ tuyển (Nghị định 63/2014/NĐ-CP)</t>
        </is>
      </c>
      <c r="C46" s="8" t="inlineStr">
        <is>
          <t>Gdghsqt</t>
        </is>
      </c>
      <c r="D46" s="8" t="inlineStr"/>
      <c r="F46" s="8" t="inlineStr"/>
      <c r="G46" s="8" t="inlineStr">
        <is>
          <t>0,05%*GGTXD (Dự toán gói thầu)</t>
        </is>
      </c>
      <c r="H46" s="8" t="n">
        <v>2124264</v>
      </c>
      <c r="I46" s="8" t="n">
        <v>212426.4</v>
      </c>
      <c r="J46" s="8" t="n">
        <v>2336690.4</v>
      </c>
      <c r="K46" s="8" t="inlineStr">
        <is>
          <t>Gtv24</t>
        </is>
      </c>
      <c r="L46" s="8" t="n">
        <v>1</v>
      </c>
      <c r="M46" s="8" t="inlineStr"/>
      <c r="N46" s="8" t="inlineStr"/>
      <c r="O46" s="8" t="inlineStr"/>
      <c r="P46" s="8" t="inlineStr">
        <is>
          <t>Nghị định 63/2014/NĐ-CP</t>
        </is>
      </c>
    </row>
    <row r="47">
      <c r="A47" s="8" t="inlineStr">
        <is>
          <t>4.25</t>
        </is>
      </c>
      <c r="B47" s="8" t="inlineStr">
        <is>
          <t>Chi phí đánh giá hồ sơ dự thầu, hồ sơ đề xuất (Nghị định 63/2014/NĐ-CP)</t>
        </is>
      </c>
      <c r="C47" s="8" t="inlineStr">
        <is>
          <t>Gdghsdt</t>
        </is>
      </c>
      <c r="D47" s="8" t="inlineStr"/>
      <c r="F47" s="8" t="inlineStr"/>
      <c r="G47" s="8" t="inlineStr">
        <is>
          <t>0,1%*GGTXD (Dự toán gói thầu)</t>
        </is>
      </c>
      <c r="H47" s="8" t="n">
        <v>4248529</v>
      </c>
      <c r="I47" s="8" t="n">
        <v>424852.9</v>
      </c>
      <c r="J47" s="8" t="n">
        <v>4673381.9</v>
      </c>
      <c r="K47" s="8" t="inlineStr">
        <is>
          <t>Gtv25</t>
        </is>
      </c>
      <c r="L47" s="8" t="n">
        <v>1</v>
      </c>
      <c r="M47" s="8" t="inlineStr"/>
      <c r="N47" s="8" t="inlineStr"/>
      <c r="O47" s="8" t="inlineStr"/>
      <c r="P47" s="8" t="inlineStr">
        <is>
          <t>Nghị định 63/2014/NĐ-CP</t>
        </is>
      </c>
    </row>
    <row r="48">
      <c r="A48" s="8" t="inlineStr">
        <is>
          <t>4.26</t>
        </is>
      </c>
      <c r="B48" s="8" t="inlineStr">
        <is>
          <t>Chi phí thẩm định kết quả lựa chọn nhà thầu (Nghị định 63/2014/NĐ-CP)</t>
        </is>
      </c>
      <c r="C48" s="8" t="inlineStr">
        <is>
          <t>Gtdkqnt</t>
        </is>
      </c>
      <c r="D48" s="8" t="inlineStr"/>
      <c r="F48" s="8" t="inlineStr"/>
      <c r="G48" s="8" t="inlineStr">
        <is>
          <t>0,05%*GGTXD (Dự toán gói thầu)</t>
        </is>
      </c>
      <c r="H48" s="8" t="n">
        <v>2124264</v>
      </c>
      <c r="I48" s="8" t="n">
        <v>212426.4</v>
      </c>
      <c r="J48" s="8" t="n">
        <v>2336690.4</v>
      </c>
      <c r="K48" s="8" t="inlineStr">
        <is>
          <t>Gtv26</t>
        </is>
      </c>
      <c r="L48" s="8" t="n">
        <v>1</v>
      </c>
      <c r="M48" s="8" t="inlineStr"/>
      <c r="N48" s="8" t="inlineStr"/>
      <c r="O48" s="8" t="inlineStr"/>
      <c r="P48" s="8" t="inlineStr">
        <is>
          <t>Nghị định 63/2014/NĐ-CP</t>
        </is>
      </c>
    </row>
    <row r="49">
      <c r="A49" s="8" t="inlineStr">
        <is>
          <t>4.27</t>
        </is>
      </c>
      <c r="B49" s="8" t="inlineStr">
        <is>
          <t>Chi phí cho Hội đồng tư vấn giải quyết kiến nghị của nhà thầu (Nghị định 63/2014/NĐ-CP)</t>
        </is>
      </c>
      <c r="C49" s="8" t="inlineStr">
        <is>
          <t>Ghdtvgqkn</t>
        </is>
      </c>
      <c r="D49" s="8" t="inlineStr"/>
      <c r="F49" s="8" t="inlineStr"/>
      <c r="G49" s="8" t="inlineStr">
        <is>
          <t>0,02%*GGTXD (Dự toán gói thầu)</t>
        </is>
      </c>
      <c r="H49" s="8" t="n">
        <v>1000000</v>
      </c>
      <c r="I49" s="8" t="n">
        <v>100000</v>
      </c>
      <c r="J49" s="8" t="n">
        <v>1100000</v>
      </c>
      <c r="K49" s="8" t="inlineStr">
        <is>
          <t>Gtv27</t>
        </is>
      </c>
      <c r="L49" s="8" t="n">
        <v>1</v>
      </c>
      <c r="M49" s="8" t="inlineStr"/>
      <c r="N49" s="8" t="inlineStr"/>
      <c r="O49" s="8" t="inlineStr"/>
      <c r="P49" s="8" t="inlineStr">
        <is>
          <t>Nghị định 63/2014/NĐ-CP</t>
        </is>
      </c>
    </row>
    <row r="50">
      <c r="A50" s="8" t="inlineStr">
        <is>
          <t>4.28</t>
        </is>
      </c>
      <c r="B50" s="8" t="inlineStr">
        <is>
          <t>Chi phí giám sát thi công xây dựng</t>
        </is>
      </c>
      <c r="C50" s="8" t="inlineStr">
        <is>
          <t>Ggstcxd</t>
        </is>
      </c>
      <c r="D50" s="8" t="n">
        <v>0.03285</v>
      </c>
      <c r="F50" s="8" t="inlineStr"/>
      <c r="G50" s="8" t="inlineStr">
        <is>
          <t>3,285% x Gxd</t>
        </is>
      </c>
      <c r="H50" s="8" t="n">
        <v>107534151</v>
      </c>
      <c r="I50" s="8" t="n">
        <v>10753415.1</v>
      </c>
      <c r="J50" s="8" t="n">
        <v>118287566.1</v>
      </c>
      <c r="K50" s="8" t="inlineStr">
        <is>
          <t>Gtv28</t>
        </is>
      </c>
      <c r="L50" s="8" t="n">
        <v>1</v>
      </c>
      <c r="M50" s="8" t="inlineStr"/>
      <c r="N50" s="8" t="inlineStr"/>
      <c r="O50" s="8" t="inlineStr"/>
      <c r="P50" s="8" t="inlineStr">
        <is>
          <t>Quyết định 79/QĐ-BXD. Ngày 15/02/2017</t>
        </is>
      </c>
    </row>
    <row r="51">
      <c r="A51" s="8" t="inlineStr">
        <is>
          <t>4.29</t>
        </is>
      </c>
      <c r="B51" s="8" t="inlineStr">
        <is>
          <t>Chi phí lập hồ sơ mời thầu, đánh giá hồ sơ dự thầu mua sắm thiết bị</t>
        </is>
      </c>
      <c r="C51" s="8" t="inlineStr">
        <is>
          <t>Glcldtb</t>
        </is>
      </c>
      <c r="D51" s="8" t="n">
        <v>0.0035639</v>
      </c>
      <c r="F51" s="8" t="inlineStr"/>
      <c r="G51" s="8" t="inlineStr">
        <is>
          <t>0,35639% x Gtb</t>
        </is>
      </c>
      <c r="H51" s="8" t="n">
        <v>53643865</v>
      </c>
      <c r="I51" s="8" t="n">
        <v>5364386.5</v>
      </c>
      <c r="J51" s="8" t="n">
        <v>59008251.5</v>
      </c>
      <c r="K51" s="8" t="inlineStr">
        <is>
          <t>Gtv29</t>
        </is>
      </c>
      <c r="L51" s="8" t="n">
        <v>1</v>
      </c>
      <c r="M51" s="8" t="inlineStr"/>
      <c r="N51" s="8" t="inlineStr"/>
      <c r="O51" s="8" t="inlineStr"/>
      <c r="P51" s="8" t="inlineStr">
        <is>
          <t>Quyết định 79/QĐ-BXD. Ngày 15/02/2017</t>
        </is>
      </c>
    </row>
    <row r="52">
      <c r="A52" s="8" t="inlineStr">
        <is>
          <t>4.30</t>
        </is>
      </c>
      <c r="B52" s="8" t="inlineStr">
        <is>
          <t>Chi phí lập hồ sơ mời quan tâm, đánh giá hồ sơ quan tâm</t>
        </is>
      </c>
      <c r="C52" s="8" t="inlineStr">
        <is>
          <t>Glhsmqt79</t>
        </is>
      </c>
      <c r="D52" s="8" t="n">
        <v>0.3</v>
      </c>
      <c r="F52" s="8" t="inlineStr"/>
      <c r="G52" s="8" t="inlineStr">
        <is>
          <t>30%*(Glcnt+Glcldtb)</t>
        </is>
      </c>
      <c r="H52" s="8" t="n">
        <v>20373784.8</v>
      </c>
      <c r="I52" s="8" t="n">
        <v>2037378.48</v>
      </c>
      <c r="J52" s="8" t="n">
        <v>22411163.28</v>
      </c>
      <c r="K52" s="8" t="inlineStr">
        <is>
          <t>Gtv30</t>
        </is>
      </c>
      <c r="L52" s="8" t="n">
        <v>1</v>
      </c>
      <c r="M52" s="8" t="inlineStr"/>
      <c r="N52" s="8" t="inlineStr"/>
      <c r="O52" s="8" t="inlineStr"/>
      <c r="P52" s="8" t="inlineStr"/>
    </row>
    <row r="53">
      <c r="A53" s="8" t="inlineStr">
        <is>
          <t>4.31</t>
        </is>
      </c>
      <c r="B53" s="8" t="inlineStr">
        <is>
          <t>Chi phí lập hồ sơ yêu cầu, đánh giá hồ sơ đề xuất</t>
        </is>
      </c>
      <c r="C53" s="8" t="inlineStr">
        <is>
          <t>Glhsyc79</t>
        </is>
      </c>
      <c r="D53" s="8" t="n">
        <v>0.6</v>
      </c>
      <c r="F53" s="8" t="inlineStr"/>
      <c r="G53" s="8" t="inlineStr">
        <is>
          <t>60%*(Glcnt+Glcldtb)</t>
        </is>
      </c>
      <c r="H53" s="8" t="n">
        <v>40747569.6</v>
      </c>
      <c r="I53" s="8" t="n">
        <v>4074756.96</v>
      </c>
      <c r="J53" s="8" t="n">
        <v>44822326.56</v>
      </c>
      <c r="K53" s="8" t="inlineStr">
        <is>
          <t>Gtv31</t>
        </is>
      </c>
      <c r="L53" s="8" t="n">
        <v>1</v>
      </c>
      <c r="M53" s="8" t="inlineStr"/>
      <c r="N53" s="8" t="inlineStr"/>
      <c r="O53" s="8" t="inlineStr"/>
      <c r="P53" s="8" t="inlineStr"/>
    </row>
    <row r="54">
      <c r="A54" s="8" t="inlineStr">
        <is>
          <t>4.32</t>
        </is>
      </c>
      <c r="B54" s="8" t="inlineStr">
        <is>
          <t>Chi phí giám sát lắp đặt thiết bị</t>
        </is>
      </c>
      <c r="C54" s="8" t="inlineStr">
        <is>
          <t>Ggsldtb</t>
        </is>
      </c>
      <c r="D54" s="8" t="n">
        <v>0.0077883</v>
      </c>
      <c r="F54" s="8" t="inlineStr"/>
      <c r="G54" s="8" t="inlineStr">
        <is>
          <t>0,77883% x Gtb</t>
        </is>
      </c>
      <c r="H54" s="8" t="n">
        <v>117229585</v>
      </c>
      <c r="I54" s="8" t="n">
        <v>11722958.5</v>
      </c>
      <c r="J54" s="8" t="n">
        <v>128952543.5</v>
      </c>
      <c r="K54" s="8" t="inlineStr">
        <is>
          <t>Gtv32</t>
        </is>
      </c>
      <c r="L54" s="8" t="n">
        <v>1</v>
      </c>
      <c r="M54" s="8" t="inlineStr"/>
      <c r="N54" s="8" t="inlineStr"/>
      <c r="O54" s="8" t="inlineStr"/>
      <c r="P54" s="8" t="inlineStr">
        <is>
          <t>Quyết định 79/QĐ-BXD. Ngày 15/02/2017</t>
        </is>
      </c>
    </row>
    <row r="55">
      <c r="A55" s="8" t="inlineStr">
        <is>
          <t>4.33</t>
        </is>
      </c>
      <c r="B55" s="8" t="inlineStr">
        <is>
          <t>Chi phí Lập hồ sơ mời thầu, đánh giá hồ sơ dự thầu tư vấn</t>
        </is>
      </c>
      <c r="C55" s="8" t="inlineStr">
        <is>
          <t>Gthautv</t>
        </is>
      </c>
      <c r="D55" s="8" t="n">
        <v>0.008160000000000001</v>
      </c>
      <c r="F55" s="8" t="inlineStr"/>
      <c r="G55" s="8" t="inlineStr"/>
      <c r="H55" s="8" t="n">
        <v>7097662</v>
      </c>
      <c r="I55" s="8" t="n">
        <v>709766.2000000001</v>
      </c>
      <c r="J55" s="8" t="n">
        <v>7807428.2</v>
      </c>
      <c r="K55" s="8" t="inlineStr">
        <is>
          <t>Gtv33</t>
        </is>
      </c>
      <c r="L55" s="8" t="n">
        <v>1</v>
      </c>
      <c r="M55" s="8" t="n">
        <v>869811579.1999999</v>
      </c>
      <c r="N55" s="8" t="inlineStr"/>
      <c r="O55" s="8" t="inlineStr"/>
      <c r="P55" s="8" t="inlineStr">
        <is>
          <t>Quyết định 79/QĐ-BXD. Ngày 15/02/2017</t>
        </is>
      </c>
    </row>
    <row r="56">
      <c r="A56" s="8" t="inlineStr">
        <is>
          <t>5</t>
        </is>
      </c>
      <c r="B56" s="8" t="inlineStr">
        <is>
          <t>Chi phí khác</t>
        </is>
      </c>
      <c r="C56" s="8" t="inlineStr">
        <is>
          <t>Gk</t>
        </is>
      </c>
      <c r="D56" s="8" t="inlineStr"/>
      <c r="F56" s="8" t="inlineStr"/>
      <c r="G56" s="8" t="inlineStr">
        <is>
          <t>Gk1 : Gk10</t>
        </is>
      </c>
      <c r="H56" s="8" t="n">
        <v>422104461.1453394</v>
      </c>
      <c r="I56" s="8" t="n">
        <v>27212680.00046584</v>
      </c>
      <c r="J56" s="8" t="n">
        <v>449317141.1458052</v>
      </c>
      <c r="K56" s="8" t="inlineStr">
        <is>
          <t>Gk</t>
        </is>
      </c>
      <c r="L56" s="8" t="n">
        <v>1</v>
      </c>
      <c r="M56" s="8" t="inlineStr"/>
      <c r="N56" s="8" t="inlineStr"/>
      <c r="O56" s="8" t="inlineStr"/>
      <c r="P56" s="8" t="inlineStr"/>
    </row>
    <row r="57">
      <c r="A57" s="8" t="inlineStr">
        <is>
          <t>5.1</t>
        </is>
      </c>
      <c r="B57" s="8" t="inlineStr">
        <is>
          <t>Chi phí rà phá bom mìn, vật nổ</t>
        </is>
      </c>
      <c r="C57" s="8" t="inlineStr">
        <is>
          <t>Gbommin</t>
        </is>
      </c>
      <c r="D57" s="8" t="inlineStr"/>
      <c r="F57" s="8" t="inlineStr"/>
      <c r="G57" s="8" t="inlineStr"/>
      <c r="H57" s="8" t="inlineStr"/>
      <c r="I57" s="8" t="n">
        <v>0</v>
      </c>
      <c r="J57" s="8" t="n">
        <v>0</v>
      </c>
      <c r="K57" s="8" t="inlineStr">
        <is>
          <t>Gk1</t>
        </is>
      </c>
      <c r="L57" s="8" t="n">
        <v>1</v>
      </c>
      <c r="M57" s="8" t="inlineStr"/>
      <c r="N57" s="8" t="inlineStr"/>
      <c r="O57" s="8" t="inlineStr"/>
      <c r="P57" s="8" t="inlineStr"/>
    </row>
    <row r="58">
      <c r="A58" s="8" t="inlineStr">
        <is>
          <t>5.2</t>
        </is>
      </c>
      <c r="B58" s="8" t="inlineStr">
        <is>
          <t>Chi phí hạng mục chung</t>
        </is>
      </c>
      <c r="C58" s="8" t="inlineStr">
        <is>
          <t>Ghmc</t>
        </is>
      </c>
      <c r="D58" s="8" t="inlineStr"/>
      <c r="F58" s="8" t="inlineStr"/>
      <c r="G58" s="8" t="inlineStr"/>
      <c r="H58" s="8" t="inlineStr"/>
      <c r="I58" s="8" t="n">
        <v>0</v>
      </c>
      <c r="J58" s="8" t="n">
        <v>0</v>
      </c>
      <c r="K58" s="8" t="inlineStr">
        <is>
          <t>Gk2</t>
        </is>
      </c>
      <c r="L58" s="8" t="n">
        <v>1</v>
      </c>
      <c r="M58" s="8" t="inlineStr"/>
      <c r="N58" s="8" t="inlineStr"/>
      <c r="O58" s="8" t="inlineStr"/>
      <c r="P58" s="8" t="inlineStr">
        <is>
          <t>Người dùng nhập ở cột Chi phí trước thuế hoặc Tạo và khai báo loại hạng mục "5. Nhà tạm hoặc 6. Chi phí khác" bên sheet Công trình</t>
        </is>
      </c>
    </row>
    <row r="59">
      <c r="A59" s="8" t="inlineStr">
        <is>
          <t>5.3</t>
        </is>
      </c>
      <c r="B59" s="8" t="inlineStr">
        <is>
          <t>Phí thẩm định thiết kế (Thông tư 210/2016/TT-BTC)</t>
        </is>
      </c>
      <c r="C59" s="8" t="inlineStr">
        <is>
          <t>Gtttk_BTC</t>
        </is>
      </c>
      <c r="D59" s="8" t="n">
        <v>0.00165</v>
      </c>
      <c r="F59" s="8" t="inlineStr"/>
      <c r="G59" s="8" t="inlineStr">
        <is>
          <t>0,165% x Gxd</t>
        </is>
      </c>
      <c r="H59" s="8" t="n">
        <v>5401259</v>
      </c>
      <c r="I59" s="8" t="n">
        <v>540125.9</v>
      </c>
      <c r="J59" s="8" t="n">
        <v>5941384.9</v>
      </c>
      <c r="K59" s="8" t="inlineStr">
        <is>
          <t>Gk3</t>
        </is>
      </c>
      <c r="L59" s="8" t="n">
        <v>1</v>
      </c>
      <c r="M59" s="8" t="inlineStr"/>
      <c r="N59" s="8" t="inlineStr"/>
      <c r="O59" s="8" t="inlineStr"/>
      <c r="P59" s="8" t="inlineStr">
        <is>
          <t>Thông tư 210/2016/TT-BTC</t>
        </is>
      </c>
    </row>
    <row r="60">
      <c r="A60" s="8" t="inlineStr">
        <is>
          <t>5.4</t>
        </is>
      </c>
      <c r="B60" s="8" t="inlineStr">
        <is>
          <t>Phí thẩm định dự toán (Thông tư 210/2016/TT-BTC)</t>
        </is>
      </c>
      <c r="C60" s="8" t="inlineStr">
        <is>
          <t>Gttdt_BTC</t>
        </is>
      </c>
      <c r="D60" s="8" t="n">
        <v>0.0016</v>
      </c>
      <c r="F60" s="8" t="inlineStr"/>
      <c r="G60" s="8" t="inlineStr">
        <is>
          <t>0,16% x Gxd</t>
        </is>
      </c>
      <c r="H60" s="8" t="n">
        <v>5237584</v>
      </c>
      <c r="I60" s="8" t="n">
        <v>523758.4</v>
      </c>
      <c r="J60" s="8" t="n">
        <v>5761342.4</v>
      </c>
      <c r="K60" s="8" t="inlineStr">
        <is>
          <t>Gk4</t>
        </is>
      </c>
      <c r="L60" s="8" t="n">
        <v>1</v>
      </c>
      <c r="M60" s="8" t="inlineStr"/>
      <c r="N60" s="8" t="inlineStr"/>
      <c r="O60" s="8" t="inlineStr"/>
      <c r="P60" s="8" t="inlineStr">
        <is>
          <t>Thông tư 210/2016/TT-BTC</t>
        </is>
      </c>
    </row>
    <row r="61">
      <c r="A61" s="8" t="inlineStr">
        <is>
          <t>5.5</t>
        </is>
      </c>
      <c r="B61" s="8" t="inlineStr">
        <is>
          <t>Phí thẩm định dự án đầu tư xây dựng (Thông tư 209/2016/TT-BTC)</t>
        </is>
      </c>
      <c r="C61" s="8" t="inlineStr">
        <is>
          <t>Gthamdinh</t>
        </is>
      </c>
      <c r="D61" s="8" t="n">
        <v>0.0001693408656121806</v>
      </c>
      <c r="F61" s="8" t="inlineStr"/>
      <c r="G61" s="8" t="inlineStr"/>
      <c r="H61" s="8" t="n">
        <v>4373044.625039627</v>
      </c>
      <c r="I61" s="8" t="n">
        <v>437304.4625039627</v>
      </c>
      <c r="J61" s="8" t="n">
        <v>4810349.08754359</v>
      </c>
      <c r="K61" s="8" t="inlineStr">
        <is>
          <t>Gk5</t>
        </is>
      </c>
      <c r="L61" s="8" t="n">
        <v>1</v>
      </c>
      <c r="M61" s="8" t="inlineStr"/>
      <c r="N61" s="8" t="inlineStr"/>
      <c r="O61" s="8" t="inlineStr"/>
      <c r="P61" s="8" t="inlineStr">
        <is>
          <t>Thông tư 209/2016/TT-BTC</t>
        </is>
      </c>
    </row>
    <row r="62">
      <c r="A62" s="8" t="inlineStr">
        <is>
          <t>5.6</t>
        </is>
      </c>
      <c r="B62" s="8" t="inlineStr">
        <is>
          <t>Phí thẩm định thiết kế cơ sở (Thông tư 209/2016/TT-BTC)</t>
        </is>
      </c>
      <c r="C62" s="8" t="inlineStr">
        <is>
          <t>GthamdinhTKCSTruoc</t>
        </is>
      </c>
      <c r="D62" s="8" t="n">
        <v>0.5</v>
      </c>
      <c r="F62" s="8" t="inlineStr"/>
      <c r="G62" s="8" t="inlineStr">
        <is>
          <t>50%*Gthamdinh</t>
        </is>
      </c>
      <c r="H62" s="8" t="n">
        <v>2186522.312519813</v>
      </c>
      <c r="I62" s="8" t="n">
        <v>218652.2312519813</v>
      </c>
      <c r="J62" s="8" t="n">
        <v>2405174.543771795</v>
      </c>
      <c r="K62" s="8" t="inlineStr">
        <is>
          <t>Gk6</t>
        </is>
      </c>
      <c r="L62" s="8" t="n">
        <v>1</v>
      </c>
      <c r="M62" s="8" t="inlineStr"/>
      <c r="N62" s="8" t="inlineStr"/>
      <c r="O62" s="8" t="inlineStr"/>
      <c r="P62" s="8" t="inlineStr">
        <is>
          <t>Thông tư 209/2016/TT-BTC</t>
        </is>
      </c>
    </row>
    <row r="63">
      <c r="A63" s="8" t="inlineStr">
        <is>
          <t>5.7</t>
        </is>
      </c>
      <c r="B63" s="8" t="inlineStr">
        <is>
          <t>Chi phí thẩm tra, phê duyệt quyết toán</t>
        </is>
      </c>
      <c r="C63" s="8" t="inlineStr">
        <is>
          <t>Gthamtra</t>
        </is>
      </c>
      <c r="D63" s="8" t="n">
        <v>0.005807703588166128</v>
      </c>
      <c r="F63" s="8" t="inlineStr"/>
      <c r="G63" s="8" t="inlineStr"/>
      <c r="H63" s="8" t="n">
        <v>149977661.1406811</v>
      </c>
      <c r="I63" s="8" t="inlineStr"/>
      <c r="J63" s="8" t="n">
        <v>149977661.1406811</v>
      </c>
      <c r="K63" s="8" t="inlineStr">
        <is>
          <t>Gk7</t>
        </is>
      </c>
      <c r="L63" s="8" t="n">
        <v>1</v>
      </c>
      <c r="M63" s="8" t="inlineStr"/>
      <c r="N63" s="8" t="inlineStr"/>
      <c r="O63" s="8" t="inlineStr"/>
      <c r="P63" s="8" t="inlineStr">
        <is>
          <t>Thông tư 09/2016/TT-BTC</t>
        </is>
      </c>
    </row>
    <row r="64">
      <c r="A64" s="8" t="inlineStr">
        <is>
          <t>5.8</t>
        </is>
      </c>
      <c r="B64" s="8" t="inlineStr">
        <is>
          <t>Chi phí kiểm toán độc lập</t>
        </is>
      </c>
      <c r="C64" s="8" t="inlineStr">
        <is>
          <t>Gkiemtoan</t>
        </is>
      </c>
      <c r="D64" s="8" t="n">
        <v>0.009464306663737094</v>
      </c>
      <c r="F64" s="8" t="inlineStr"/>
      <c r="G64" s="8" t="inlineStr"/>
      <c r="H64" s="8" t="n">
        <v>244405479.0670989</v>
      </c>
      <c r="I64" s="8" t="n">
        <v>24440547.90670989</v>
      </c>
      <c r="J64" s="8" t="n">
        <v>268846026.9738088</v>
      </c>
      <c r="K64" s="8" t="inlineStr">
        <is>
          <t>Gk8</t>
        </is>
      </c>
      <c r="L64" s="8" t="n">
        <v>1</v>
      </c>
      <c r="M64" s="8" t="inlineStr"/>
      <c r="N64" s="8" t="inlineStr"/>
      <c r="O64" s="8" t="inlineStr"/>
      <c r="P64" s="8" t="inlineStr">
        <is>
          <t>Thông tư 09/2016/TT-BTC</t>
        </is>
      </c>
    </row>
    <row r="65">
      <c r="A65" s="8" t="inlineStr">
        <is>
          <t>5.9</t>
        </is>
      </c>
      <c r="B65" s="8" t="inlineStr">
        <is>
          <t>Phí bảo hiểm công trình (Phụ lục 7 - Thông tư 329/2016/TT-BTC)</t>
        </is>
      </c>
      <c r="C65" s="8" t="inlineStr">
        <is>
          <t>Gbaohiem</t>
        </is>
      </c>
      <c r="D65" s="8" t="inlineStr"/>
      <c r="F65" s="8" t="inlineStr"/>
      <c r="G65" s="8" t="inlineStr">
        <is>
          <t>0%*Gxd</t>
        </is>
      </c>
      <c r="H65" s="8" t="n">
        <v>0</v>
      </c>
      <c r="I65" s="8" t="n">
        <v>0</v>
      </c>
      <c r="J65" s="8" t="n">
        <v>0</v>
      </c>
      <c r="K65" s="8" t="inlineStr">
        <is>
          <t>Gk9</t>
        </is>
      </c>
      <c r="L65" s="8" t="n">
        <v>1</v>
      </c>
      <c r="M65" s="8" t="inlineStr"/>
      <c r="N65" s="8" t="inlineStr"/>
      <c r="O65" s="8" t="inlineStr"/>
      <c r="P65" s="8" t="inlineStr">
        <is>
          <t>Phụ lục 7 - Thông tư 329/2016/TT-BTC</t>
        </is>
      </c>
    </row>
    <row r="66">
      <c r="A66" s="8" t="inlineStr">
        <is>
          <t>5.10</t>
        </is>
      </c>
      <c r="B66" s="8" t="inlineStr">
        <is>
          <t>Phí bảo hiểm trách nhiệm nghề nghiệp Tư vấn đầu tư xây dựng (Phụ lục 8 - Thông tư 329/2016/TT-BTC)</t>
        </is>
      </c>
      <c r="C66" s="8" t="inlineStr">
        <is>
          <t>Gbaohiemtuvan</t>
        </is>
      </c>
      <c r="D66" s="8" t="n">
        <v>0.012</v>
      </c>
      <c r="F66" s="8" t="inlineStr"/>
      <c r="G66" s="8" t="inlineStr">
        <is>
          <t>1,2%*Gtv</t>
        </is>
      </c>
      <c r="H66" s="8" t="n">
        <v>10522911</v>
      </c>
      <c r="I66" s="8" t="n">
        <v>1052291.1</v>
      </c>
      <c r="J66" s="8" t="n">
        <v>11575202.1</v>
      </c>
      <c r="K66" s="8" t="inlineStr">
        <is>
          <t>Gk10</t>
        </is>
      </c>
      <c r="L66" s="8" t="n">
        <v>1</v>
      </c>
      <c r="M66" s="8" t="inlineStr"/>
      <c r="N66" s="8" t="inlineStr"/>
      <c r="O66" s="8" t="inlineStr"/>
      <c r="P66" s="8" t="inlineStr">
        <is>
          <t>Phụ lục 8 - Thông tư 329/2016/TT-BTC</t>
        </is>
      </c>
    </row>
    <row r="67">
      <c r="A67" s="8" t="inlineStr">
        <is>
          <t>6</t>
        </is>
      </c>
      <c r="B67" s="8" t="inlineStr">
        <is>
          <t>Chi phí dự phòng</t>
        </is>
      </c>
      <c r="C67" s="8" t="inlineStr">
        <is>
          <t>Gdp</t>
        </is>
      </c>
      <c r="D67" s="8" t="inlineStr"/>
      <c r="F67" s="8" t="inlineStr"/>
      <c r="G67" s="8" t="inlineStr">
        <is>
          <t>Gdp1 + Gdp2</t>
        </is>
      </c>
      <c r="H67" s="8" t="n">
        <v>3738698375.783057</v>
      </c>
      <c r="I67" s="8" t="n">
        <v>373869837.5783062</v>
      </c>
      <c r="J67" s="8" t="n">
        <v>4112568213.361363</v>
      </c>
      <c r="K67" s="8" t="inlineStr">
        <is>
          <t>Gdp</t>
        </is>
      </c>
      <c r="L67" s="8" t="n">
        <v>1</v>
      </c>
      <c r="M67" s="8" t="inlineStr"/>
      <c r="N67" s="8" t="inlineStr"/>
      <c r="O67" s="8" t="inlineStr"/>
      <c r="P67" s="8" t="inlineStr"/>
    </row>
    <row r="68">
      <c r="A68" s="8" t="inlineStr">
        <is>
          <t>6.1</t>
        </is>
      </c>
      <c r="B68" s="8" t="inlineStr">
        <is>
          <t>Chi phí dự phòng cho yếu tố khối lượng phát sinh</t>
        </is>
      </c>
      <c r="C68" s="8" t="inlineStr">
        <is>
          <t>Gdp1</t>
        </is>
      </c>
      <c r="D68" s="8" t="n">
        <v>0</v>
      </c>
      <c r="F68" s="8" t="inlineStr"/>
      <c r="G68" s="8" t="inlineStr">
        <is>
          <t>0% x (Gbt,tđc+Gcpxd+Gtb+Gqlda+Gtv+Gk)</t>
        </is>
      </c>
      <c r="H68" s="8" t="n">
        <v>0</v>
      </c>
      <c r="I68" s="8" t="n">
        <v>0</v>
      </c>
      <c r="J68" s="8" t="n">
        <v>0</v>
      </c>
      <c r="K68" s="8" t="inlineStr">
        <is>
          <t>Gdp1</t>
        </is>
      </c>
      <c r="L68" s="8" t="n">
        <v>1</v>
      </c>
      <c r="M68" s="8" t="inlineStr"/>
      <c r="N68" s="8" t="inlineStr"/>
      <c r="O68" s="8" t="inlineStr"/>
      <c r="P68" s="8" t="inlineStr">
        <is>
          <t>Người dùng khai báo tỷ lệ % cho Hệ số CP dự phòng của hạng mục xây dựng đầu tiên trong menu: "Công trình/ Hệ số chi phí xây lắp"</t>
        </is>
      </c>
    </row>
    <row r="69">
      <c r="A69" s="8" t="inlineStr">
        <is>
          <t>6.2</t>
        </is>
      </c>
      <c r="B69" s="8" t="inlineStr">
        <is>
          <t>Chi phí dự phòng cho yếu tố trượt giá</t>
        </is>
      </c>
      <c r="C69" s="8" t="inlineStr">
        <is>
          <t>Gdp2</t>
        </is>
      </c>
      <c r="D69" s="8" t="n">
        <v>0.15638</v>
      </c>
      <c r="F69" s="8" t="inlineStr"/>
      <c r="G69" s="8">
        <f> 'Dự phòng'!H16</f>
        <v/>
      </c>
      <c r="H69" s="8" t="n">
        <v>3738698375.783057</v>
      </c>
      <c r="I69" s="8" t="n">
        <v>373869837.5783062</v>
      </c>
      <c r="J69" s="8" t="n">
        <v>4112568213.361363</v>
      </c>
      <c r="K69" s="8" t="inlineStr">
        <is>
          <t>Gdp2</t>
        </is>
      </c>
      <c r="L69" s="8" t="n">
        <v>22185884580.77946</v>
      </c>
      <c r="M69" s="8" t="inlineStr"/>
      <c r="N69" s="8" t="inlineStr"/>
      <c r="O69" s="8" t="inlineStr"/>
      <c r="P69" s="8" t="inlineStr">
        <is>
          <t>Được link kết quả từ sheet "Dự phòng" sang</t>
        </is>
      </c>
    </row>
    <row r="70">
      <c r="A70" s="8" t="inlineStr"/>
      <c r="B70" s="8" t="inlineStr">
        <is>
          <t>TỔNG CỘNG</t>
        </is>
      </c>
      <c r="C70" s="8" t="inlineStr">
        <is>
          <t>Gtmdt</t>
        </is>
      </c>
      <c r="D70" s="8" t="inlineStr"/>
      <c r="F70" s="8" t="inlineStr"/>
      <c r="G70" s="8" t="inlineStr"/>
      <c r="H70" s="8" t="n">
        <v>23921318690.32264</v>
      </c>
      <c r="I70" s="8" t="n">
        <v>2377134103.818196</v>
      </c>
      <c r="J70" s="8" t="n">
        <v>26298452794.14083</v>
      </c>
      <c r="K70" s="8" t="inlineStr"/>
      <c r="L70" s="8" t="n">
        <v>25823917984.77423</v>
      </c>
      <c r="M70" s="8" t="n">
        <v>26298452794.14083</v>
      </c>
      <c r="N70" s="8" t="n">
        <v>-474534809.4</v>
      </c>
      <c r="O70" s="8" t="inlineStr"/>
      <c r="P70" s="8" t="inlineStr">
        <is>
          <t>Nội suy theo Tổng mức đầu tư: OK</t>
        </is>
      </c>
    </row>
    <row r="71">
      <c r="A71" s="8" t="inlineStr"/>
      <c r="B71" s="8" t="inlineStr">
        <is>
          <t>Chi phí thẩm định, thẩm tra, kiểm toán</t>
        </is>
      </c>
      <c r="C71" s="8" t="inlineStr">
        <is>
          <t>Gthamdinhkiemtoan</t>
        </is>
      </c>
      <c r="D71" s="8" t="inlineStr"/>
      <c r="F71" s="8" t="inlineStr"/>
      <c r="G71" s="8" t="inlineStr">
        <is>
          <t>Gkt1 : Gkt4</t>
        </is>
      </c>
      <c r="H71" s="8" t="inlineStr"/>
      <c r="I71" s="8" t="n">
        <v>0</v>
      </c>
      <c r="J71" s="8" t="n">
        <v>0</v>
      </c>
      <c r="K71" s="8" t="inlineStr">
        <is>
          <t>Gkt</t>
        </is>
      </c>
      <c r="L71" s="8" t="n">
        <v>1</v>
      </c>
      <c r="M71" s="8" t="inlineStr"/>
      <c r="N71" s="8" t="inlineStr"/>
      <c r="O71" s="8" t="inlineStr"/>
      <c r="P71" s="8" t="inlineStr"/>
    </row>
    <row r="72">
      <c r="A72" s="8" t="inlineStr"/>
      <c r="B72" s="8" t="inlineStr">
        <is>
          <t>Phí thẩm định dự án đầu tư xây dựng (Thông tư 209/2016/TT-BTC)</t>
        </is>
      </c>
      <c r="C72" s="8" t="inlineStr">
        <is>
          <t>GthamdinhSau</t>
        </is>
      </c>
      <c r="D72" s="8" t="inlineStr"/>
      <c r="F72" s="8" t="inlineStr"/>
      <c r="G72" s="8" t="inlineStr"/>
      <c r="H72" s="8" t="inlineStr"/>
      <c r="I72" s="8" t="n">
        <v>0</v>
      </c>
      <c r="J72" s="8" t="n">
        <v>0</v>
      </c>
      <c r="K72" s="8" t="inlineStr">
        <is>
          <t>Gkt1</t>
        </is>
      </c>
      <c r="L72" s="8" t="n">
        <v>1</v>
      </c>
      <c r="M72" s="8" t="inlineStr"/>
      <c r="N72" s="8" t="inlineStr"/>
      <c r="O72" s="8" t="inlineStr"/>
      <c r="P72" s="8" t="inlineStr"/>
    </row>
    <row r="73">
      <c r="A73" s="8" t="inlineStr"/>
      <c r="B73" s="8" t="inlineStr">
        <is>
          <t>Phí thẩm định thiết kế cơ sở (Thông tư 209/2016/TT-BTC)</t>
        </is>
      </c>
      <c r="C73" s="8" t="inlineStr">
        <is>
          <t>GthamdinhTKCS</t>
        </is>
      </c>
      <c r="D73" s="8" t="inlineStr"/>
      <c r="F73" s="8" t="inlineStr"/>
      <c r="G73" s="8" t="inlineStr">
        <is>
          <t>0%*GthamdinhSau</t>
        </is>
      </c>
      <c r="H73" s="8" t="inlineStr"/>
      <c r="I73" s="8" t="n">
        <v>0</v>
      </c>
      <c r="J73" s="8" t="n">
        <v>0</v>
      </c>
      <c r="K73" s="8" t="inlineStr">
        <is>
          <t>Gkt2</t>
        </is>
      </c>
      <c r="L73" s="8" t="n">
        <v>1</v>
      </c>
      <c r="M73" s="8" t="inlineStr"/>
      <c r="N73" s="8" t="inlineStr"/>
      <c r="O73" s="8" t="inlineStr"/>
      <c r="P73" s="8" t="inlineStr"/>
    </row>
    <row r="74">
      <c r="A74" s="8" t="inlineStr"/>
      <c r="B74" s="8" t="inlineStr">
        <is>
          <t>Chi phí thẩm tra, phê duyệt quyết toán</t>
        </is>
      </c>
      <c r="C74" s="8" t="inlineStr">
        <is>
          <t>GthamtraSau</t>
        </is>
      </c>
      <c r="D74" s="8" t="inlineStr"/>
      <c r="F74" s="8" t="inlineStr"/>
      <c r="G74" s="8" t="inlineStr"/>
      <c r="H74" s="8" t="inlineStr"/>
      <c r="I74" s="8" t="n">
        <v>0</v>
      </c>
      <c r="J74" s="8" t="n">
        <v>0</v>
      </c>
      <c r="K74" s="8" t="inlineStr">
        <is>
          <t>Gkt3</t>
        </is>
      </c>
      <c r="L74" s="8" t="n">
        <v>1</v>
      </c>
      <c r="M74" s="8" t="inlineStr"/>
      <c r="N74" s="8" t="inlineStr"/>
      <c r="O74" s="8" t="inlineStr"/>
      <c r="P74" s="8" t="inlineStr"/>
    </row>
    <row r="75">
      <c r="A75" s="8" t="inlineStr"/>
      <c r="B75" s="8" t="inlineStr">
        <is>
          <t>Chi phí kiểm toán độc lập</t>
        </is>
      </c>
      <c r="C75" s="8" t="inlineStr">
        <is>
          <t>GkiemtoanSau</t>
        </is>
      </c>
      <c r="D75" s="8" t="inlineStr"/>
      <c r="F75" s="8" t="inlineStr"/>
      <c r="G75" s="8" t="inlineStr"/>
      <c r="H75" s="8" t="inlineStr"/>
      <c r="I75" s="8" t="n">
        <v>0</v>
      </c>
      <c r="J75" s="8" t="n">
        <v>0</v>
      </c>
      <c r="K75" s="8" t="inlineStr">
        <is>
          <t>Gkt4</t>
        </is>
      </c>
      <c r="L75" s="8" t="n">
        <v>1</v>
      </c>
      <c r="M75" s="8" t="inlineStr"/>
      <c r="N75" s="8" t="inlineStr"/>
      <c r="O75" s="8" t="inlineStr"/>
      <c r="P75" s="8" t="inlineStr"/>
    </row>
    <row r="76">
      <c r="A76" s="8" t="inlineStr"/>
      <c r="B76" s="8" t="inlineStr">
        <is>
          <t>TỔNG CỘNG (SAU KIỂM TOÁN)</t>
        </is>
      </c>
      <c r="C76" s="8" t="inlineStr">
        <is>
          <t>GtmdtSau</t>
        </is>
      </c>
      <c r="D76" s="8" t="inlineStr"/>
      <c r="F76" s="8" t="inlineStr"/>
      <c r="G76" s="8" t="inlineStr"/>
      <c r="H76" s="8" t="inlineStr"/>
      <c r="I76" s="8" t="n">
        <v>2377134103.818196</v>
      </c>
      <c r="J76" s="8" t="n">
        <v>26298452794.14083</v>
      </c>
      <c r="K76" s="8" t="inlineStr"/>
      <c r="L76" s="8" t="n">
        <v>1</v>
      </c>
      <c r="M76" s="8" t="inlineStr"/>
      <c r="N76" s="8" t="inlineStr"/>
      <c r="O76" s="8" t="inlineStr"/>
      <c r="P76" s="8" t="inlineStr"/>
    </row>
    <row r="77">
      <c r="A77" s="8" t="inlineStr"/>
      <c r="B77" s="8" t="inlineStr">
        <is>
          <t>LÀM TRÒN</t>
        </is>
      </c>
      <c r="C77" s="8" t="inlineStr">
        <is>
          <t>Glamtron</t>
        </is>
      </c>
      <c r="D77" s="8" t="inlineStr"/>
      <c r="F77" s="8" t="inlineStr"/>
      <c r="G77" s="8" t="inlineStr"/>
      <c r="H77" s="8" t="inlineStr"/>
      <c r="I77" s="8" t="inlineStr"/>
      <c r="J77" s="8" t="n">
        <v>26298453000</v>
      </c>
      <c r="K77" s="8" t="inlineStr">
        <is>
          <t>Gtmdt</t>
        </is>
      </c>
      <c r="L77" s="8" t="n">
        <v>23489923409.26189</v>
      </c>
      <c r="M77" s="8" t="n">
        <v>23921318690.32264</v>
      </c>
      <c r="N77" s="8" t="inlineStr"/>
      <c r="O77" s="8" t="inlineStr"/>
      <c r="P77" s="8" t="inlineStr"/>
    </row>
    <row r="78">
      <c r="A78" s="8" t="inlineStr">
        <is>
          <t>Bằng chữ: Hai mươi lăm tỷ tám trăm hai mươi ba triệu chín trăm mười tám nghìn đồng chẵn./.</t>
        </is>
      </c>
      <c r="B78" s="8" t="inlineStr"/>
      <c r="C78" s="8" t="inlineStr"/>
      <c r="D78" s="8" t="inlineStr"/>
      <c r="F78" s="8" t="inlineStr"/>
      <c r="G78" s="8" t="inlineStr"/>
      <c r="H78" s="8" t="inlineStr"/>
      <c r="I78" s="8" t="inlineStr"/>
      <c r="J78" s="8" t="inlineStr"/>
      <c r="K78" s="8" t="inlineStr"/>
      <c r="L78" s="8" t="inlineStr"/>
      <c r="M78" s="8" t="inlineStr"/>
      <c r="N78" s="8" t="inlineStr"/>
      <c r="O78" s="8" t="inlineStr"/>
      <c r="P78" s="8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64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19" customWidth="1" min="3" max="3"/>
    <col width="44" customWidth="1" min="4" max="4"/>
    <col width="38" customWidth="1" min="5" max="5"/>
    <col width="14" customWidth="1" min="6" max="6"/>
    <col width="24" customWidth="1" min="7" max="7"/>
    <col width="44" customWidth="1" min="8" max="8"/>
    <col width="25" customWidth="1" min="9" max="9"/>
    <col width="21" customWidth="1" min="10" max="10"/>
    <col width="12" customWidth="1" min="11" max="11"/>
  </cols>
  <sheetData>
    <row r="1">
      <c r="A1" s="8" t="inlineStr">
        <is>
          <t>BẢNG CHI TIẾT KHỐI LƯỢNG CÔNG TÁC XÂY DỰNG</t>
        </is>
      </c>
      <c r="B1" s="8" t="inlineStr"/>
      <c r="C1" s="8" t="inlineStr"/>
      <c r="D1" s="8" t="inlineStr"/>
      <c r="F1" s="8" t="inlineStr"/>
      <c r="G1" s="8" t="inlineStr"/>
      <c r="H1" s="8" t="inlineStr"/>
      <c r="I1" s="8" t="inlineStr"/>
      <c r="J1" s="8" t="inlineStr"/>
      <c r="K1" s="8" t="inlineStr"/>
    </row>
    <row r="2">
      <c r="A2" s="8" t="inlineStr">
        <is>
          <t>Tên công trình: DỰ ÁN: NHÀ Ở CHO LỰC LƯỢNG VŨ TRANG CÔNG AN NHÂN DÂN</t>
        </is>
      </c>
      <c r="B2" s="8" t="inlineStr"/>
      <c r="C2" s="8" t="inlineStr"/>
      <c r="D2" s="8" t="inlineStr"/>
      <c r="F2" s="8" t="inlineStr"/>
      <c r="G2" s="8" t="inlineStr"/>
      <c r="H2" s="8" t="inlineStr"/>
      <c r="I2" s="8" t="inlineStr"/>
      <c r="J2" s="8" t="inlineStr"/>
      <c r="K2" s="8" t="inlineStr"/>
    </row>
    <row r="3">
      <c r="A3" s="8" t="inlineStr">
        <is>
          <t>Tên hạng mục: ĐIỀU HÒA KHÔNG KHÍ &amp; THÔNG GIÓ - LẮP ĐẶT THIẾT BỊ</t>
        </is>
      </c>
      <c r="B3" s="8" t="inlineStr"/>
      <c r="C3" s="8" t="inlineStr"/>
      <c r="D3" s="8" t="inlineStr"/>
      <c r="F3" s="8" t="inlineStr"/>
      <c r="G3" s="8" t="inlineStr"/>
      <c r="H3" s="8" t="inlineStr"/>
      <c r="I3" s="8" t="inlineStr"/>
      <c r="J3" s="8" t="inlineStr"/>
      <c r="K3" s="8" t="inlineStr"/>
    </row>
    <row r="4">
      <c r="A4" s="8" t="inlineStr">
        <is>
          <t>STT</t>
        </is>
      </c>
      <c r="B4" s="8" t="inlineStr">
        <is>
          <t>Ký hiệu bản vẽ</t>
        </is>
      </c>
      <c r="C4" s="8" t="inlineStr">
        <is>
          <t>Mã hiệu công tác</t>
        </is>
      </c>
      <c r="D4" s="8" t="inlineStr">
        <is>
          <t>Danh mục công tác</t>
        </is>
      </c>
      <c r="E4" s="10" t="inlineStr">
        <is>
          <t>LINK TRA CỨU TT 38/2026/TT-BXD</t>
        </is>
      </c>
      <c r="F4" s="8" t="inlineStr">
        <is>
          <t>Đơn vị tính</t>
        </is>
      </c>
      <c r="G4" s="8" t="inlineStr">
        <is>
          <t>Số bộ phận giống nhau</t>
        </is>
      </c>
      <c r="H4" s="8" t="inlineStr">
        <is>
          <t>Diễn giải tính toán</t>
        </is>
      </c>
      <c r="I4" s="8" t="inlineStr">
        <is>
          <t>Khối lượng một bộ phận</t>
        </is>
      </c>
      <c r="J4" s="8" t="inlineStr">
        <is>
          <t>Khối lượng toàn bộ</t>
        </is>
      </c>
      <c r="K4" s="8" t="inlineStr">
        <is>
          <t>Ghi chú</t>
        </is>
      </c>
    </row>
    <row r="5">
      <c r="A5" s="8" t="inlineStr">
        <is>
          <t>(1)</t>
        </is>
      </c>
      <c r="B5" s="8" t="inlineStr">
        <is>
          <t>(2)</t>
        </is>
      </c>
      <c r="C5" s="8" t="inlineStr">
        <is>
          <t>(3)</t>
        </is>
      </c>
      <c r="D5" s="8" t="inlineStr">
        <is>
          <t>(4)</t>
        </is>
      </c>
      <c r="F5" s="8" t="inlineStr">
        <is>
          <t>(5)</t>
        </is>
      </c>
      <c r="G5" s="8" t="inlineStr">
        <is>
          <t>(6)</t>
        </is>
      </c>
      <c r="H5" s="8" t="inlineStr">
        <is>
          <t>(7)</t>
        </is>
      </c>
      <c r="I5" s="8" t="inlineStr">
        <is>
          <t>(8)</t>
        </is>
      </c>
      <c r="J5" s="8" t="inlineStr">
        <is>
          <t>(9)</t>
        </is>
      </c>
      <c r="K5" s="8" t="inlineStr">
        <is>
          <t>(10)</t>
        </is>
      </c>
    </row>
    <row r="6">
      <c r="A6" s="8" t="n">
        <v>1</v>
      </c>
      <c r="B6" s="8" t="n">
        <v>0</v>
      </c>
      <c r="C6" s="11" t="inlineStr">
        <is>
          <t>MD.12002</t>
        </is>
      </c>
      <c r="D6" s="8" t="inlineStr">
        <is>
          <t>Dàn nóng điều hòa VRF, Multi</t>
        </is>
      </c>
      <c r="E6" s="12">
        <f>HYPERLINK("tt38://pl5/37", "👉 Phụ lục IV - Trang 37 (Khớp nhóm MD.1200)")</f>
        <v/>
      </c>
      <c r="F6" s="8" t="inlineStr">
        <is>
          <t>tấn</t>
        </is>
      </c>
      <c r="G6" s="8" t="inlineStr"/>
      <c r="H6" s="8" t="inlineStr"/>
      <c r="I6" s="8" t="inlineStr"/>
      <c r="J6" s="8" t="n">
        <v>5.48</v>
      </c>
      <c r="K6" s="8" t="inlineStr"/>
    </row>
    <row r="7">
      <c r="A7" s="8" t="inlineStr"/>
      <c r="B7" s="8" t="inlineStr"/>
      <c r="C7" s="8" t="inlineStr"/>
      <c r="D7" s="8" t="inlineStr"/>
      <c r="F7" s="8" t="inlineStr"/>
      <c r="G7" s="8" t="n">
        <v>1</v>
      </c>
      <c r="H7" s="8" t="inlineStr">
        <is>
          <t>Dàn nóng CSL: 10 HP : 191 x 0,001 = 0,191</t>
        </is>
      </c>
      <c r="I7" s="8" t="n">
        <v>0.191</v>
      </c>
      <c r="J7" s="8" t="n">
        <v>0.191</v>
      </c>
      <c r="K7" s="8" t="inlineStr"/>
    </row>
    <row r="8">
      <c r="A8" s="8" t="inlineStr"/>
      <c r="B8" s="8" t="inlineStr"/>
      <c r="C8" s="8" t="inlineStr"/>
      <c r="D8" s="8" t="inlineStr"/>
      <c r="F8" s="8" t="inlineStr"/>
      <c r="G8" s="8" t="n">
        <v>5</v>
      </c>
      <c r="H8" s="8" t="inlineStr">
        <is>
          <t>Dàn nóng CSL: 14 HP : 243 x 0,001 = 0,243</t>
        </is>
      </c>
      <c r="I8" s="8" t="n">
        <v>0.243</v>
      </c>
      <c r="J8" s="8" t="n">
        <v>1.215</v>
      </c>
      <c r="K8" s="8" t="inlineStr"/>
    </row>
    <row r="9">
      <c r="A9" s="8" t="inlineStr"/>
      <c r="B9" s="8" t="inlineStr"/>
      <c r="C9" s="8" t="inlineStr"/>
      <c r="D9" s="8" t="inlineStr"/>
      <c r="F9" s="8" t="inlineStr"/>
      <c r="G9" s="8" t="n">
        <v>2</v>
      </c>
      <c r="H9" s="8" t="inlineStr">
        <is>
          <t>Dàn nóng CSL: 16 HP : 241 x 0,001 = 0,241</t>
        </is>
      </c>
      <c r="I9" s="8" t="n">
        <v>0.241</v>
      </c>
      <c r="J9" s="8" t="n">
        <v>0.482</v>
      </c>
      <c r="K9" s="8" t="inlineStr"/>
    </row>
    <row r="10">
      <c r="A10" s="8" t="inlineStr"/>
      <c r="B10" s="8" t="inlineStr"/>
      <c r="C10" s="8" t="inlineStr"/>
      <c r="D10" s="8" t="inlineStr"/>
      <c r="F10" s="8" t="inlineStr"/>
      <c r="G10" s="8" t="n">
        <v>1</v>
      </c>
      <c r="H10" s="8" t="inlineStr">
        <is>
          <t>Dàn nóng CSL: 26 HP : 432 x 0,001 = 0,432</t>
        </is>
      </c>
      <c r="I10" s="8" t="n">
        <v>0.432</v>
      </c>
      <c r="J10" s="8" t="n">
        <v>0.432</v>
      </c>
      <c r="K10" s="8" t="inlineStr"/>
    </row>
    <row r="11">
      <c r="A11" s="8" t="inlineStr"/>
      <c r="B11" s="8" t="inlineStr"/>
      <c r="C11" s="8" t="inlineStr"/>
      <c r="D11" s="8" t="inlineStr"/>
      <c r="F11" s="8" t="inlineStr"/>
      <c r="G11" s="8" t="n">
        <v>3</v>
      </c>
      <c r="H11" s="8" t="inlineStr">
        <is>
          <t>Dàn nóng CSL: 40 HP : 570 x 0,001 = 0,57</t>
        </is>
      </c>
      <c r="I11" s="8" t="n">
        <v>0.5700000000000001</v>
      </c>
      <c r="J11" s="8" t="n">
        <v>1.71</v>
      </c>
      <c r="K11" s="8" t="inlineStr"/>
    </row>
    <row r="12">
      <c r="A12" s="8" t="inlineStr"/>
      <c r="B12" s="8" t="inlineStr"/>
      <c r="C12" s="8" t="inlineStr"/>
      <c r="D12" s="8" t="inlineStr"/>
      <c r="F12" s="8" t="inlineStr"/>
      <c r="G12" s="8" t="n">
        <v>2</v>
      </c>
      <c r="H12" s="8" t="inlineStr">
        <is>
          <t>Dàn nóng CSL: 46 HP : 725 x 0,001 = 0,725</t>
        </is>
      </c>
      <c r="I12" s="8" t="n">
        <v>0.725</v>
      </c>
      <c r="J12" s="8" t="n">
        <v>1.45</v>
      </c>
      <c r="K12" s="8" t="inlineStr"/>
    </row>
    <row r="13">
      <c r="A13" s="8" t="n">
        <v>2</v>
      </c>
      <c r="B13" s="8" t="n">
        <v>0</v>
      </c>
      <c r="C13" s="11" t="inlineStr">
        <is>
          <t>BA.12130</t>
        </is>
      </c>
      <c r="D13" s="8" t="inlineStr">
        <is>
          <t>Dàn lạnh âm trần nối ống gió, CSL: 7.1 kW</t>
        </is>
      </c>
      <c r="E13" s="12">
        <f>HYPERLINK("tt38://pl3/6", "👉 Phụ lục III - Trang 6 (Khớp nhóm BA.121)")</f>
        <v/>
      </c>
      <c r="F13" s="8" t="inlineStr">
        <is>
          <t>máy</t>
        </is>
      </c>
      <c r="G13" s="8" t="inlineStr"/>
      <c r="H13" s="8" t="inlineStr"/>
      <c r="I13" s="8" t="inlineStr"/>
      <c r="J13" s="8" t="n">
        <v>14</v>
      </c>
      <c r="K13" s="8" t="inlineStr"/>
    </row>
    <row r="14">
      <c r="A14" s="8" t="n">
        <v>3</v>
      </c>
      <c r="B14" s="8" t="n">
        <v>0</v>
      </c>
      <c r="C14" s="11" t="inlineStr">
        <is>
          <t>BA.12130</t>
        </is>
      </c>
      <c r="D14" s="8" t="inlineStr">
        <is>
          <t>Dàn lạnh cassette, CSL: 9.0 kW</t>
        </is>
      </c>
      <c r="E14" s="12">
        <f>HYPERLINK("tt38://pl3/6", "👉 Phụ lục III - Trang 6 (Khớp nhóm BA.121)")</f>
        <v/>
      </c>
      <c r="F14" s="8" t="inlineStr">
        <is>
          <t>máy</t>
        </is>
      </c>
      <c r="G14" s="8" t="inlineStr"/>
      <c r="H14" s="8" t="inlineStr"/>
      <c r="I14" s="8" t="inlineStr"/>
      <c r="J14" s="8" t="n">
        <v>14</v>
      </c>
      <c r="K14" s="8" t="inlineStr"/>
    </row>
    <row r="15">
      <c r="A15" s="8" t="n">
        <v>4</v>
      </c>
      <c r="B15" s="8" t="n">
        <v>0</v>
      </c>
      <c r="C15" s="11" t="inlineStr">
        <is>
          <t>BA.12130</t>
        </is>
      </c>
      <c r="D15" s="8" t="inlineStr">
        <is>
          <t>Dàn lạnh cassette, CSL: 11.2 kW</t>
        </is>
      </c>
      <c r="E15" s="12">
        <f>HYPERLINK("tt38://pl3/6", "👉 Phụ lục III - Trang 6 (Khớp nhóm BA.121)")</f>
        <v/>
      </c>
      <c r="F15" s="8" t="inlineStr">
        <is>
          <t>máy</t>
        </is>
      </c>
      <c r="G15" s="8" t="inlineStr"/>
      <c r="H15" s="8" t="inlineStr"/>
      <c r="I15" s="8" t="inlineStr"/>
      <c r="J15" s="8" t="n">
        <v>43</v>
      </c>
      <c r="K15" s="8" t="inlineStr"/>
    </row>
    <row r="16">
      <c r="A16" s="8" t="n">
        <v>5</v>
      </c>
      <c r="B16" s="8" t="n">
        <v>0</v>
      </c>
      <c r="C16" s="11" t="inlineStr">
        <is>
          <t>BA.12130</t>
        </is>
      </c>
      <c r="D16" s="8" t="inlineStr">
        <is>
          <t>Dàn lạnh cassette, CSL: 14.0 kW</t>
        </is>
      </c>
      <c r="E16" s="12">
        <f>HYPERLINK("tt38://pl3/6", "👉 Phụ lục III - Trang 6 (Khớp nhóm BA.121)")</f>
        <v/>
      </c>
      <c r="F16" s="8" t="inlineStr">
        <is>
          <t>máy</t>
        </is>
      </c>
      <c r="G16" s="8" t="inlineStr"/>
      <c r="H16" s="8" t="inlineStr"/>
      <c r="I16" s="8" t="inlineStr"/>
      <c r="J16" s="8" t="n">
        <v>18</v>
      </c>
      <c r="K16" s="8" t="inlineStr"/>
    </row>
    <row r="17">
      <c r="A17" s="8" t="n">
        <v>6</v>
      </c>
      <c r="B17" s="8" t="n">
        <v>0</v>
      </c>
      <c r="C17" s="11" t="inlineStr">
        <is>
          <t>BA.12130</t>
        </is>
      </c>
      <c r="D17" s="8" t="inlineStr">
        <is>
          <t>Dàn lạnh âm trần nối ống gió CSL: 7.1 kW</t>
        </is>
      </c>
      <c r="E17" s="12">
        <f>HYPERLINK("tt38://pl3/6", "👉 Phụ lục III - Trang 6 (Khớp nhóm BA.121)")</f>
        <v/>
      </c>
      <c r="F17" s="8" t="inlineStr">
        <is>
          <t>máy</t>
        </is>
      </c>
      <c r="G17" s="8" t="inlineStr"/>
      <c r="H17" s="8" t="inlineStr"/>
      <c r="I17" s="8" t="inlineStr"/>
      <c r="J17" s="8" t="n">
        <v>2</v>
      </c>
      <c r="K17" s="8" t="inlineStr"/>
    </row>
    <row r="18">
      <c r="A18" s="8" t="n">
        <v>7</v>
      </c>
      <c r="B18" s="8" t="n">
        <v>0</v>
      </c>
      <c r="C18" s="11" t="inlineStr">
        <is>
          <t>BA.12130</t>
        </is>
      </c>
      <c r="D18" s="8" t="inlineStr">
        <is>
          <t>Dàn lạnh cassette CSL: 7.1 kW</t>
        </is>
      </c>
      <c r="E18" s="12">
        <f>HYPERLINK("tt38://pl3/6", "👉 Phụ lục III - Trang 6 (Khớp nhóm BA.121)")</f>
        <v/>
      </c>
      <c r="F18" s="8" t="inlineStr">
        <is>
          <t>máy</t>
        </is>
      </c>
      <c r="G18" s="8" t="inlineStr"/>
      <c r="H18" s="8" t="inlineStr"/>
      <c r="I18" s="8" t="inlineStr"/>
      <c r="J18" s="8" t="n">
        <v>36</v>
      </c>
      <c r="K18" s="8" t="inlineStr"/>
    </row>
    <row r="19">
      <c r="A19" s="8" t="n">
        <v>8</v>
      </c>
      <c r="B19" s="8" t="n">
        <v>0</v>
      </c>
      <c r="C19" s="11" t="inlineStr">
        <is>
          <t>BA.12130</t>
        </is>
      </c>
      <c r="D19" s="8" t="inlineStr">
        <is>
          <t>Dàn lạnh cassette CSL: 10.0 kW</t>
        </is>
      </c>
      <c r="E19" s="12">
        <f>HYPERLINK("tt38://pl3/6", "👉 Phụ lục III - Trang 6 (Khớp nhóm BA.121)")</f>
        <v/>
      </c>
      <c r="F19" s="8" t="inlineStr">
        <is>
          <t>máy</t>
        </is>
      </c>
      <c r="G19" s="8" t="inlineStr"/>
      <c r="H19" s="8" t="inlineStr"/>
      <c r="I19" s="8" t="inlineStr"/>
      <c r="J19" s="8" t="n">
        <v>24</v>
      </c>
      <c r="K19" s="8" t="inlineStr"/>
    </row>
    <row r="20">
      <c r="A20" s="8" t="n">
        <v>9</v>
      </c>
      <c r="B20" s="8" t="n">
        <v>0</v>
      </c>
      <c r="C20" s="11" t="inlineStr">
        <is>
          <t>BA.12130</t>
        </is>
      </c>
      <c r="D20" s="8" t="inlineStr">
        <is>
          <t>Dàn lạnh cassette CSL: 12.5 kW</t>
        </is>
      </c>
      <c r="E20" s="12">
        <f>HYPERLINK("tt38://pl3/6", "👉 Phụ lục III - Trang 6 (Khớp nhóm BA.121)")</f>
        <v/>
      </c>
      <c r="F20" s="8" t="inlineStr">
        <is>
          <t>máy</t>
        </is>
      </c>
      <c r="G20" s="8" t="inlineStr"/>
      <c r="H20" s="8" t="inlineStr"/>
      <c r="I20" s="8" t="inlineStr"/>
      <c r="J20" s="8" t="n">
        <v>30</v>
      </c>
      <c r="K20" s="8" t="inlineStr"/>
    </row>
    <row r="21">
      <c r="A21" s="8" t="n">
        <v>10</v>
      </c>
      <c r="B21" s="8" t="n">
        <v>0</v>
      </c>
      <c r="C21" s="11" t="inlineStr">
        <is>
          <t>BA.12110</t>
        </is>
      </c>
      <c r="D21" s="8" t="inlineStr">
        <is>
          <t>Dàn lạnh treo tường CSL: 2.5 kW</t>
        </is>
      </c>
      <c r="E21" s="12">
        <f>HYPERLINK("tt38://pl3/6", "👉 Phụ lục III - Trang 6 (Khớp nhóm BA.121)")</f>
        <v/>
      </c>
      <c r="F21" s="8" t="inlineStr">
        <is>
          <t>máy</t>
        </is>
      </c>
      <c r="G21" s="8" t="inlineStr"/>
      <c r="H21" s="8" t="inlineStr"/>
      <c r="I21" s="8" t="inlineStr"/>
      <c r="J21" s="8" t="n">
        <v>1</v>
      </c>
      <c r="K21" s="8" t="inlineStr"/>
    </row>
    <row r="22">
      <c r="A22" s="8" t="n">
        <v>11</v>
      </c>
      <c r="B22" s="8" t="n">
        <v>0</v>
      </c>
      <c r="C22" s="11" t="inlineStr">
        <is>
          <t>BA.12110</t>
        </is>
      </c>
      <c r="D22" s="8" t="inlineStr">
        <is>
          <t>Dàn lạnh treo tường CSL: 5.0 kW</t>
        </is>
      </c>
      <c r="E22" s="12">
        <f>HYPERLINK("tt38://pl3/6", "👉 Phụ lục III - Trang 6 (Khớp nhóm BA.121)")</f>
        <v/>
      </c>
      <c r="F22" s="8" t="inlineStr">
        <is>
          <t>máy</t>
        </is>
      </c>
      <c r="G22" s="8" t="inlineStr"/>
      <c r="H22" s="8" t="inlineStr"/>
      <c r="I22" s="8" t="inlineStr"/>
      <c r="J22" s="8" t="n">
        <v>2</v>
      </c>
      <c r="K22" s="8" t="inlineStr"/>
    </row>
    <row r="23">
      <c r="A23" s="8" t="n">
        <v>12</v>
      </c>
      <c r="B23" s="8" t="n">
        <v>0</v>
      </c>
      <c r="C23" s="11" t="inlineStr">
        <is>
          <t>BA.12110</t>
        </is>
      </c>
      <c r="D23" s="8" t="inlineStr">
        <is>
          <t>Dàn lạnh treo tường CSL: 7.1 kW</t>
        </is>
      </c>
      <c r="E23" s="12">
        <f>HYPERLINK("tt38://pl3/6", "👉 Phụ lục III - Trang 6 (Khớp nhóm BA.121)")</f>
        <v/>
      </c>
      <c r="F23" s="8" t="inlineStr">
        <is>
          <t>máy</t>
        </is>
      </c>
      <c r="G23" s="8" t="inlineStr"/>
      <c r="H23" s="8" t="inlineStr"/>
      <c r="I23" s="8" t="inlineStr"/>
      <c r="J23" s="8" t="n">
        <v>2</v>
      </c>
      <c r="K23" s="8" t="inlineStr"/>
    </row>
    <row r="24">
      <c r="A24" s="8" t="inlineStr">
        <is>
          <t>NGƯỜI LẬP                                                                              NGƯỜI CHỦ TRÌ</t>
        </is>
      </c>
      <c r="B24" s="8" t="inlineStr"/>
      <c r="C24" s="8" t="inlineStr"/>
      <c r="D24" s="8" t="inlineStr"/>
      <c r="F24" s="8" t="inlineStr"/>
      <c r="G24" s="8" t="inlineStr"/>
      <c r="H24" s="8" t="inlineStr"/>
      <c r="I24" s="8" t="inlineStr"/>
      <c r="J24" s="8" t="inlineStr"/>
      <c r="K24" s="8" t="inlineStr"/>
    </row>
    <row r="25">
      <c r="A25" s="8" t="inlineStr"/>
      <c r="B25" s="8" t="inlineStr"/>
      <c r="C25" s="8" t="inlineStr"/>
      <c r="D25" s="8" t="inlineStr"/>
      <c r="F25" s="8" t="inlineStr"/>
      <c r="G25" s="8" t="inlineStr"/>
      <c r="H25" s="8" t="inlineStr"/>
      <c r="I25" s="8" t="inlineStr"/>
      <c r="J25" s="8" t="inlineStr"/>
      <c r="K25" s="8" t="inlineStr"/>
    </row>
    <row r="26">
      <c r="A26" s="8" t="inlineStr">
        <is>
          <t>BẢNG CHI TIẾT KHỐI LƯỢNG CÔNG TÁC XÂY DỰNG</t>
        </is>
      </c>
      <c r="B26" s="8" t="inlineStr"/>
      <c r="C26" s="8" t="inlineStr"/>
      <c r="D26" s="8" t="inlineStr"/>
      <c r="F26" s="8" t="inlineStr"/>
      <c r="G26" s="8" t="inlineStr"/>
      <c r="H26" s="8" t="inlineStr"/>
      <c r="I26" s="8" t="inlineStr"/>
      <c r="J26" s="8" t="inlineStr"/>
      <c r="K26" s="8" t="inlineStr"/>
    </row>
    <row r="27">
      <c r="A27" s="8" t="inlineStr">
        <is>
          <t>Tên công trình: DỰ ÁN: NHÀ Ở CHO LỰC LƯỢNG VŨ TRANG CÔNG AN NHÂN DÂN</t>
        </is>
      </c>
      <c r="B27" s="8" t="inlineStr"/>
      <c r="C27" s="8" t="inlineStr"/>
      <c r="D27" s="8" t="inlineStr"/>
      <c r="F27" s="8" t="inlineStr"/>
      <c r="G27" s="8" t="inlineStr"/>
      <c r="H27" s="8" t="inlineStr"/>
      <c r="I27" s="8" t="inlineStr"/>
      <c r="J27" s="8" t="inlineStr"/>
      <c r="K27" s="8" t="inlineStr"/>
    </row>
    <row r="28">
      <c r="A28" s="8" t="inlineStr">
        <is>
          <t>Tên hạng mục: ĐIỀU HÒA KHÔNG KHÍ &amp; THÔNG GIÓ - VẬT TƯ XÂY LẮP</t>
        </is>
      </c>
      <c r="B28" s="8" t="inlineStr"/>
      <c r="C28" s="8" t="inlineStr"/>
      <c r="D28" s="8" t="inlineStr"/>
      <c r="F28" s="8" t="inlineStr"/>
      <c r="G28" s="8" t="inlineStr"/>
      <c r="H28" s="8" t="inlineStr"/>
      <c r="I28" s="8" t="inlineStr"/>
      <c r="J28" s="8" t="inlineStr"/>
      <c r="K28" s="8" t="inlineStr"/>
    </row>
    <row r="29">
      <c r="A29" s="8" t="inlineStr">
        <is>
          <t>STT</t>
        </is>
      </c>
      <c r="B29" s="8" t="inlineStr">
        <is>
          <t>Ký hiệu bản vẽ</t>
        </is>
      </c>
      <c r="C29" s="8" t="inlineStr">
        <is>
          <t>Mã hiệu công tác</t>
        </is>
      </c>
      <c r="D29" s="8" t="inlineStr">
        <is>
          <t>Danh mục công tác</t>
        </is>
      </c>
      <c r="F29" s="8" t="inlineStr">
        <is>
          <t>Đơn vị tính</t>
        </is>
      </c>
      <c r="G29" s="8" t="inlineStr">
        <is>
          <t>Số bộ phận giống nhau</t>
        </is>
      </c>
      <c r="H29" s="8" t="inlineStr">
        <is>
          <t>Diễn giải tính toán</t>
        </is>
      </c>
      <c r="I29" s="8" t="inlineStr">
        <is>
          <t>Khối lượng một bộ phận</t>
        </is>
      </c>
      <c r="J29" s="8" t="inlineStr">
        <is>
          <t>Khối lượng toàn bộ</t>
        </is>
      </c>
      <c r="K29" s="8" t="inlineStr">
        <is>
          <t>Ghi chú</t>
        </is>
      </c>
    </row>
    <row r="30">
      <c r="A30" s="8" t="inlineStr">
        <is>
          <t>(1)</t>
        </is>
      </c>
      <c r="B30" s="8" t="inlineStr">
        <is>
          <t>(2)</t>
        </is>
      </c>
      <c r="C30" s="8" t="inlineStr">
        <is>
          <t>(3)</t>
        </is>
      </c>
      <c r="D30" s="8" t="inlineStr">
        <is>
          <t>(4)</t>
        </is>
      </c>
      <c r="F30" s="8" t="inlineStr">
        <is>
          <t>(5)</t>
        </is>
      </c>
      <c r="G30" s="8" t="inlineStr">
        <is>
          <t>(6)</t>
        </is>
      </c>
      <c r="H30" s="8" t="inlineStr">
        <is>
          <t>(7)</t>
        </is>
      </c>
      <c r="I30" s="8" t="inlineStr">
        <is>
          <t>(8)</t>
        </is>
      </c>
      <c r="J30" s="8" t="inlineStr">
        <is>
          <t>(9)</t>
        </is>
      </c>
      <c r="K30" s="8" t="inlineStr">
        <is>
          <t>(10)</t>
        </is>
      </c>
    </row>
    <row r="31">
      <c r="A31" s="8" t="n">
        <v>1</v>
      </c>
      <c r="B31" s="8" t="n">
        <v>0</v>
      </c>
      <c r="C31" s="11" t="inlineStr">
        <is>
          <t>BB.51001</t>
        </is>
      </c>
      <c r="D31" s="8" t="inlineStr">
        <is>
          <t>Ống đồng_D6.4_0.81mm</t>
        </is>
      </c>
      <c r="E31" s="12">
        <f>HYPERLINK("tt38://pl3/100", "👉 Phụ lục III - Trang 100 (Khớp nhóm BB.5100)")</f>
        <v/>
      </c>
      <c r="F31" s="8" t="inlineStr">
        <is>
          <t>100m</t>
        </is>
      </c>
      <c r="G31" s="8" t="inlineStr"/>
      <c r="H31" s="8" t="inlineStr"/>
      <c r="I31" s="8" t="inlineStr"/>
      <c r="J31" s="8" t="n">
        <v>0.8</v>
      </c>
      <c r="K31" s="8" t="inlineStr"/>
    </row>
    <row r="32">
      <c r="A32" s="8" t="n">
        <v>2</v>
      </c>
      <c r="B32" s="8" t="n">
        <v>0</v>
      </c>
      <c r="C32" s="11" t="inlineStr">
        <is>
          <t>BB.51002</t>
        </is>
      </c>
      <c r="D32" s="8" t="inlineStr">
        <is>
          <t>Ống đồng_D9.5_0.81mm</t>
        </is>
      </c>
      <c r="E32" s="12">
        <f>HYPERLINK("tt38://pl3/100", "👉 Phụ lục III - Trang 100 (Khớp nhóm BB.5100)")</f>
        <v/>
      </c>
      <c r="F32" s="8" t="inlineStr">
        <is>
          <t>100m</t>
        </is>
      </c>
      <c r="G32" s="8" t="inlineStr"/>
      <c r="H32" s="8" t="inlineStr"/>
      <c r="I32" s="8" t="inlineStr"/>
      <c r="J32" s="8" t="n">
        <v>23.4</v>
      </c>
      <c r="K32" s="8" t="inlineStr"/>
    </row>
    <row r="33">
      <c r="A33" s="8" t="n">
        <v>3</v>
      </c>
      <c r="B33" s="8" t="n">
        <v>0</v>
      </c>
      <c r="C33" s="11" t="inlineStr">
        <is>
          <t>BB.51003</t>
        </is>
      </c>
      <c r="D33" s="8" t="inlineStr">
        <is>
          <t>Ống đồng_D12.7_0.81mm</t>
        </is>
      </c>
      <c r="E33" s="12">
        <f>HYPERLINK("tt38://pl3/100", "👉 Phụ lục III - Trang 100 (Khớp nhóm BB.5100)")</f>
        <v/>
      </c>
      <c r="F33" s="8" t="inlineStr">
        <is>
          <t>100m</t>
        </is>
      </c>
      <c r="G33" s="8" t="inlineStr"/>
      <c r="H33" s="8" t="inlineStr"/>
      <c r="I33" s="8" t="inlineStr"/>
      <c r="J33" s="8" t="n">
        <v>0.5</v>
      </c>
      <c r="K33" s="8" t="inlineStr"/>
    </row>
    <row r="34">
      <c r="A34" s="8" t="n">
        <v>4</v>
      </c>
      <c r="B34" s="8" t="n">
        <v>0</v>
      </c>
      <c r="C34" s="11" t="inlineStr">
        <is>
          <t>BB.51004</t>
        </is>
      </c>
      <c r="D34" s="8" t="inlineStr">
        <is>
          <t>Ống đồng_D15.9_0.99mm</t>
        </is>
      </c>
      <c r="E34" s="12">
        <f>HYPERLINK("tt38://pl3/100", "👉 Phụ lục III - Trang 100 (Khớp nhóm BB.5100)")</f>
        <v/>
      </c>
      <c r="F34" s="8" t="inlineStr">
        <is>
          <t>100m</t>
        </is>
      </c>
      <c r="G34" s="8" t="inlineStr"/>
      <c r="H34" s="8" t="inlineStr"/>
      <c r="I34" s="8" t="inlineStr"/>
      <c r="J34" s="8" t="n">
        <v>23.3</v>
      </c>
      <c r="K34" s="8" t="inlineStr"/>
    </row>
    <row r="35">
      <c r="A35" s="8" t="n">
        <v>5</v>
      </c>
      <c r="B35" s="8" t="n">
        <v>0</v>
      </c>
      <c r="C35" s="11" t="inlineStr">
        <is>
          <t>BB.51005</t>
        </is>
      </c>
      <c r="D35" s="8" t="inlineStr">
        <is>
          <t>Ống đồng_D19.1_0.99mm</t>
        </is>
      </c>
      <c r="E35" s="12">
        <f>HYPERLINK("tt38://pl3/100", "👉 Phụ lục III - Trang 100 (Khớp nhóm BB.5100)")</f>
        <v/>
      </c>
      <c r="F35" s="8" t="inlineStr">
        <is>
          <t>100m</t>
        </is>
      </c>
      <c r="G35" s="8" t="inlineStr"/>
      <c r="H35" s="8" t="inlineStr"/>
      <c r="I35" s="8" t="inlineStr"/>
      <c r="J35" s="8" t="n">
        <v>4</v>
      </c>
      <c r="K35" s="8" t="inlineStr"/>
    </row>
    <row r="36">
      <c r="A36" s="8" t="n">
        <v>6</v>
      </c>
      <c r="B36" s="8" t="n">
        <v>0</v>
      </c>
      <c r="C36" s="11" t="inlineStr">
        <is>
          <t>BB.51006</t>
        </is>
      </c>
      <c r="D36" s="8" t="inlineStr">
        <is>
          <t>Ống đồng_D22.2_1.14mm</t>
        </is>
      </c>
      <c r="E36" s="12">
        <f>HYPERLINK("tt38://pl3/100", "👉 Phụ lục III - Trang 100 (Khớp nhóm BB.5100)")</f>
        <v/>
      </c>
      <c r="F36" s="8" t="inlineStr">
        <is>
          <t>100m</t>
        </is>
      </c>
      <c r="G36" s="8" t="inlineStr"/>
      <c r="H36" s="8" t="inlineStr"/>
      <c r="I36" s="8" t="inlineStr"/>
      <c r="J36" s="8" t="n">
        <v>0.8</v>
      </c>
      <c r="K36" s="8" t="inlineStr"/>
    </row>
    <row r="37">
      <c r="A37" s="8" t="n">
        <v>7</v>
      </c>
      <c r="B37" s="8" t="n">
        <v>0</v>
      </c>
      <c r="C37" s="11" t="inlineStr">
        <is>
          <t>BB.51008</t>
        </is>
      </c>
      <c r="D37" s="8" t="inlineStr">
        <is>
          <t>Ống đồng_D28.6_1.27mm</t>
        </is>
      </c>
      <c r="E37" s="12">
        <f>HYPERLINK("tt38://pl3/100", "👉 Phụ lục III - Trang 100 (Khớp nhóm BB.5100)")</f>
        <v/>
      </c>
      <c r="F37" s="8" t="inlineStr">
        <is>
          <t>100m</t>
        </is>
      </c>
      <c r="G37" s="8" t="inlineStr"/>
      <c r="H37" s="8" t="inlineStr"/>
      <c r="I37" s="8" t="inlineStr"/>
      <c r="J37" s="8" t="n">
        <v>1.6</v>
      </c>
      <c r="K37" s="8" t="inlineStr"/>
    </row>
    <row r="38">
      <c r="A38" s="8" t="n">
        <v>8</v>
      </c>
      <c r="B38" s="8" t="n">
        <v>0</v>
      </c>
      <c r="C38" s="11" t="inlineStr">
        <is>
          <t>BB.51010</t>
        </is>
      </c>
      <c r="D38" s="8" t="inlineStr">
        <is>
          <t>Ống đồng_D34.9_1.40mm</t>
        </is>
      </c>
      <c r="E38" s="12">
        <f>HYPERLINK("tt38://pl3/100", "👉 Phụ lục III - Trang 100 (Khớp nhóm BB.510)")</f>
        <v/>
      </c>
      <c r="F38" s="8" t="inlineStr">
        <is>
          <t>100m</t>
        </is>
      </c>
      <c r="G38" s="8" t="inlineStr"/>
      <c r="H38" s="8" t="inlineStr"/>
      <c r="I38" s="8" t="inlineStr"/>
      <c r="J38" s="8" t="n">
        <v>1.6</v>
      </c>
      <c r="K38" s="8" t="inlineStr"/>
    </row>
    <row r="39">
      <c r="A39" s="8" t="n">
        <v>9</v>
      </c>
      <c r="B39" s="8" t="n">
        <v>0</v>
      </c>
      <c r="C39" s="11" t="inlineStr">
        <is>
          <t>BB.51012</t>
        </is>
      </c>
      <c r="D39" s="8" t="inlineStr">
        <is>
          <t>Ống đồng_D41.3_1.53mm</t>
        </is>
      </c>
      <c r="E39" s="12">
        <f>HYPERLINK("tt38://pl3/100", "👉 Phụ lục III - Trang 100 (Khớp nhóm BB.510)")</f>
        <v/>
      </c>
      <c r="F39" s="8" t="inlineStr">
        <is>
          <t>100m</t>
        </is>
      </c>
      <c r="G39" s="8" t="inlineStr"/>
      <c r="H39" s="8" t="inlineStr"/>
      <c r="I39" s="8" t="inlineStr"/>
      <c r="J39" s="8" t="n">
        <v>2.4</v>
      </c>
      <c r="K39" s="8" t="inlineStr"/>
    </row>
    <row r="40">
      <c r="A40" s="8" t="n">
        <v>10</v>
      </c>
      <c r="B40" s="8" t="n">
        <v>0</v>
      </c>
      <c r="C40" s="11" t="inlineStr">
        <is>
          <t>BC.14101</t>
        </is>
      </c>
      <c r="D40" s="8" t="inlineStr">
        <is>
          <t>Bảo ôn ống đồng D6.4 dày 19mm</t>
        </is>
      </c>
      <c r="E40" s="12">
        <f>HYPERLINK("tt38://pl3/212", "👉 Phụ lục III - Trang 212 (Khớp nhóm BC.1410)")</f>
        <v/>
      </c>
      <c r="F40" s="8" t="inlineStr">
        <is>
          <t>100m</t>
        </is>
      </c>
      <c r="G40" s="8" t="inlineStr"/>
      <c r="H40" s="8" t="inlineStr"/>
      <c r="I40" s="8" t="inlineStr"/>
      <c r="J40" s="8" t="n">
        <v>0.8</v>
      </c>
      <c r="K40" s="8" t="inlineStr"/>
    </row>
    <row r="41">
      <c r="A41" s="8" t="n">
        <v>11</v>
      </c>
      <c r="B41" s="8" t="n">
        <v>0</v>
      </c>
      <c r="C41" s="11" t="inlineStr">
        <is>
          <t>BC.14102</t>
        </is>
      </c>
      <c r="D41" s="8" t="inlineStr">
        <is>
          <t>Bảo ôn ống đồng D9.5 dày 19mm</t>
        </is>
      </c>
      <c r="E41" s="12">
        <f>HYPERLINK("tt38://pl3/212", "👉 Phụ lục III - Trang 212 (Khớp nhóm BC.1410)")</f>
        <v/>
      </c>
      <c r="F41" s="8" t="inlineStr">
        <is>
          <t>100m</t>
        </is>
      </c>
      <c r="G41" s="8" t="inlineStr"/>
      <c r="H41" s="8" t="inlineStr"/>
      <c r="I41" s="8" t="inlineStr"/>
      <c r="J41" s="8" t="n">
        <v>23.4</v>
      </c>
      <c r="K41" s="8" t="inlineStr"/>
    </row>
    <row r="42">
      <c r="A42" s="8" t="n">
        <v>12</v>
      </c>
      <c r="B42" s="8" t="n">
        <v>0</v>
      </c>
      <c r="C42" s="11" t="inlineStr">
        <is>
          <t>BC.14103</t>
        </is>
      </c>
      <c r="D42" s="8" t="inlineStr">
        <is>
          <t>Bảo ôn ống đồng D12.7 dày 19mm</t>
        </is>
      </c>
      <c r="E42" s="12">
        <f>HYPERLINK("tt38://pl3/212", "👉 Phụ lục III - Trang 212 (Khớp nhóm BC.1410)")</f>
        <v/>
      </c>
      <c r="F42" s="8" t="inlineStr">
        <is>
          <t>100m</t>
        </is>
      </c>
      <c r="G42" s="8" t="inlineStr"/>
      <c r="H42" s="8" t="inlineStr"/>
      <c r="I42" s="8" t="inlineStr"/>
      <c r="J42" s="8" t="n">
        <v>0.5</v>
      </c>
      <c r="K42" s="8" t="inlineStr"/>
    </row>
    <row r="43">
      <c r="A43" s="8" t="n">
        <v>13</v>
      </c>
      <c r="B43" s="8" t="n">
        <v>0</v>
      </c>
      <c r="C43" s="11" t="inlineStr">
        <is>
          <t>BC.14104</t>
        </is>
      </c>
      <c r="D43" s="8" t="inlineStr">
        <is>
          <t>Bảo ôn ống đồng D15.9 dày 19mm</t>
        </is>
      </c>
      <c r="E43" s="12">
        <f>HYPERLINK("tt38://pl3/212", "👉 Phụ lục III - Trang 212 (Khớp nhóm BC.1410)")</f>
        <v/>
      </c>
      <c r="F43" s="8" t="inlineStr">
        <is>
          <t>100m</t>
        </is>
      </c>
      <c r="G43" s="8" t="inlineStr"/>
      <c r="H43" s="8" t="inlineStr"/>
      <c r="I43" s="8" t="inlineStr"/>
      <c r="J43" s="8" t="n">
        <v>23.3</v>
      </c>
      <c r="K43" s="8" t="inlineStr"/>
    </row>
    <row r="44">
      <c r="A44" s="8" t="n">
        <v>14</v>
      </c>
      <c r="B44" s="8" t="n">
        <v>0</v>
      </c>
      <c r="C44" s="11" t="inlineStr">
        <is>
          <t>BC.14105</t>
        </is>
      </c>
      <c r="D44" s="8" t="inlineStr">
        <is>
          <t>Bảo ôn ống đồng D19.1 dày 19mm</t>
        </is>
      </c>
      <c r="E44" s="12">
        <f>HYPERLINK("tt38://pl3/212", "👉 Phụ lục III - Trang 212 (Khớp nhóm BC.1410)")</f>
        <v/>
      </c>
      <c r="F44" s="8" t="inlineStr">
        <is>
          <t>100m</t>
        </is>
      </c>
      <c r="G44" s="8" t="inlineStr"/>
      <c r="H44" s="8" t="inlineStr"/>
      <c r="I44" s="8" t="inlineStr"/>
      <c r="J44" s="8" t="n">
        <v>4</v>
      </c>
      <c r="K44" s="8" t="inlineStr"/>
    </row>
    <row r="45">
      <c r="A45" s="8" t="n">
        <v>15</v>
      </c>
      <c r="B45" s="8" t="n">
        <v>0</v>
      </c>
      <c r="C45" s="11" t="inlineStr">
        <is>
          <t>BC.14106</t>
        </is>
      </c>
      <c r="D45" s="8" t="inlineStr">
        <is>
          <t>Bảo ôn ống đồng D22.2 dày 19mm</t>
        </is>
      </c>
      <c r="E45" s="12">
        <f>HYPERLINK("tt38://pl3/212", "👉 Phụ lục III - Trang 212 (Khớp nhóm BC.1410)")</f>
        <v/>
      </c>
      <c r="F45" s="8" t="inlineStr">
        <is>
          <t>100m</t>
        </is>
      </c>
      <c r="G45" s="8" t="inlineStr"/>
      <c r="H45" s="8" t="inlineStr"/>
      <c r="I45" s="8" t="inlineStr"/>
      <c r="J45" s="8" t="n">
        <v>0.8</v>
      </c>
      <c r="K45" s="8" t="inlineStr"/>
    </row>
    <row r="46">
      <c r="A46" s="8" t="n">
        <v>16</v>
      </c>
      <c r="B46" s="8" t="n">
        <v>0</v>
      </c>
      <c r="C46" s="11" t="inlineStr">
        <is>
          <t>BC.14108</t>
        </is>
      </c>
      <c r="D46" s="8" t="inlineStr">
        <is>
          <t>Bảo ôn ống đồng D28.6 dày 19mm</t>
        </is>
      </c>
      <c r="E46" s="12">
        <f>HYPERLINK("tt38://pl3/212", "👉 Phụ lục III - Trang 212 (Khớp nhóm BC.1410)")</f>
        <v/>
      </c>
      <c r="F46" s="8" t="inlineStr">
        <is>
          <t>100m</t>
        </is>
      </c>
      <c r="G46" s="8" t="inlineStr"/>
      <c r="H46" s="8" t="inlineStr"/>
      <c r="I46" s="8" t="inlineStr"/>
      <c r="J46" s="8" t="n">
        <v>1.6</v>
      </c>
      <c r="K46" s="8" t="inlineStr"/>
    </row>
    <row r="47">
      <c r="A47" s="8" t="n">
        <v>17</v>
      </c>
      <c r="B47" s="8" t="n">
        <v>0</v>
      </c>
      <c r="C47" s="11" t="inlineStr">
        <is>
          <t>BC.14110</t>
        </is>
      </c>
      <c r="D47" s="8" t="inlineStr">
        <is>
          <t>Bảo ôn ống đồng D34.9 dày 19mm</t>
        </is>
      </c>
      <c r="E47" s="12">
        <f>HYPERLINK("tt38://pl3/212", "👉 Phụ lục III - Trang 212 (Khớp nhóm BC.141)")</f>
        <v/>
      </c>
      <c r="F47" s="8" t="inlineStr">
        <is>
          <t>100m</t>
        </is>
      </c>
      <c r="G47" s="8" t="inlineStr"/>
      <c r="H47" s="8" t="inlineStr"/>
      <c r="I47" s="8" t="inlineStr"/>
      <c r="J47" s="8" t="n">
        <v>1.6</v>
      </c>
      <c r="K47" s="8" t="inlineStr"/>
    </row>
    <row r="48">
      <c r="A48" s="8" t="n">
        <v>18</v>
      </c>
      <c r="B48" s="8" t="n">
        <v>0</v>
      </c>
      <c r="C48" s="11" t="inlineStr">
        <is>
          <t>BC.14112</t>
        </is>
      </c>
      <c r="D48" s="8" t="inlineStr">
        <is>
          <t>Bảo ôn ống đồng D41.3 dày 19mm</t>
        </is>
      </c>
      <c r="E48" s="12">
        <f>HYPERLINK("tt38://pl3/212", "👉 Phụ lục III - Trang 212 (Khớp nhóm BC.141)")</f>
        <v/>
      </c>
      <c r="F48" s="8" t="inlineStr">
        <is>
          <t>100m</t>
        </is>
      </c>
      <c r="G48" s="8" t="inlineStr"/>
      <c r="H48" s="8" t="inlineStr"/>
      <c r="I48" s="8" t="inlineStr"/>
      <c r="J48" s="8" t="n">
        <v>2.4</v>
      </c>
      <c r="K48" s="8" t="inlineStr"/>
    </row>
    <row r="49">
      <c r="A49" s="8" t="n">
        <v>19</v>
      </c>
      <c r="B49" s="8" t="n">
        <v>0</v>
      </c>
      <c r="C49" s="11" t="inlineStr">
        <is>
          <t>BB.41101</t>
        </is>
      </c>
      <c r="D49" s="8" t="inlineStr">
        <is>
          <t>Ống uPVC_D21</t>
        </is>
      </c>
      <c r="E49" s="12">
        <f>HYPERLINK("tt38://pl3/71", "👉 Phụ lục III - Trang 71 (Khớp nhóm BB.4110)")</f>
        <v/>
      </c>
      <c r="F49" s="8" t="inlineStr">
        <is>
          <t>100m</t>
        </is>
      </c>
      <c r="G49" s="8" t="inlineStr"/>
      <c r="H49" s="8" t="inlineStr"/>
      <c r="I49" s="8" t="inlineStr"/>
      <c r="J49" s="8" t="n">
        <v>0.6</v>
      </c>
      <c r="K49" s="8" t="inlineStr"/>
    </row>
    <row r="50">
      <c r="A50" s="8" t="n">
        <v>20</v>
      </c>
      <c r="B50" s="8" t="n">
        <v>0</v>
      </c>
      <c r="C50" s="11" t="inlineStr">
        <is>
          <t>BB.41102</t>
        </is>
      </c>
      <c r="D50" s="8" t="inlineStr">
        <is>
          <t>Ống uPVC_D27</t>
        </is>
      </c>
      <c r="E50" s="12">
        <f>HYPERLINK("tt38://pl3/71", "👉 Phụ lục III - Trang 71 (Khớp nhóm BB.4110)")</f>
        <v/>
      </c>
      <c r="F50" s="8" t="inlineStr">
        <is>
          <t>100m</t>
        </is>
      </c>
      <c r="G50" s="8" t="inlineStr"/>
      <c r="H50" s="8" t="inlineStr"/>
      <c r="I50" s="8" t="inlineStr"/>
      <c r="J50" s="8" t="n">
        <v>17.6</v>
      </c>
      <c r="K50" s="8" t="inlineStr"/>
    </row>
    <row r="51">
      <c r="A51" s="8" t="n">
        <v>21</v>
      </c>
      <c r="B51" s="8" t="n">
        <v>0</v>
      </c>
      <c r="C51" s="11" t="inlineStr">
        <is>
          <t>BB.41103</t>
        </is>
      </c>
      <c r="D51" s="8" t="inlineStr">
        <is>
          <t>Ống uPVC_D34</t>
        </is>
      </c>
      <c r="E51" s="12">
        <f>HYPERLINK("tt38://pl3/71", "👉 Phụ lục III - Trang 71 (Khớp nhóm BB.4110)")</f>
        <v/>
      </c>
      <c r="F51" s="8" t="inlineStr">
        <is>
          <t>100m</t>
        </is>
      </c>
      <c r="G51" s="8" t="inlineStr"/>
      <c r="H51" s="8" t="inlineStr"/>
      <c r="I51" s="8" t="inlineStr"/>
      <c r="J51" s="8" t="n">
        <v>3</v>
      </c>
      <c r="K51" s="8" t="inlineStr"/>
    </row>
    <row r="52">
      <c r="A52" s="8" t="n">
        <v>22</v>
      </c>
      <c r="B52" s="8" t="n">
        <v>0</v>
      </c>
      <c r="C52" s="11" t="inlineStr">
        <is>
          <t>BB.41104</t>
        </is>
      </c>
      <c r="D52" s="8" t="inlineStr">
        <is>
          <t>Ống uPVC_D42</t>
        </is>
      </c>
      <c r="E52" s="12">
        <f>HYPERLINK("tt38://pl3/71", "👉 Phụ lục III - Trang 71 (Khớp nhóm BB.4110)")</f>
        <v/>
      </c>
      <c r="F52" s="8" t="inlineStr">
        <is>
          <t>100m</t>
        </is>
      </c>
      <c r="G52" s="8" t="inlineStr"/>
      <c r="H52" s="8" t="inlineStr"/>
      <c r="I52" s="8" t="inlineStr"/>
      <c r="J52" s="8" t="n">
        <v>3</v>
      </c>
      <c r="K52" s="8" t="inlineStr"/>
    </row>
    <row r="53">
      <c r="A53" s="8" t="n">
        <v>23</v>
      </c>
      <c r="B53" s="8" t="n">
        <v>0</v>
      </c>
      <c r="C53" s="11" t="inlineStr">
        <is>
          <t>BB.41105</t>
        </is>
      </c>
      <c r="D53" s="8" t="inlineStr">
        <is>
          <t>Ống uPVC_D48</t>
        </is>
      </c>
      <c r="E53" s="12">
        <f>HYPERLINK("tt38://pl3/71", "👉 Phụ lục III - Trang 71 (Khớp nhóm BB.4110)")</f>
        <v/>
      </c>
      <c r="F53" s="8" t="inlineStr">
        <is>
          <t>100m</t>
        </is>
      </c>
      <c r="G53" s="8" t="inlineStr"/>
      <c r="H53" s="8" t="inlineStr"/>
      <c r="I53" s="8" t="inlineStr"/>
      <c r="J53" s="8" t="n">
        <v>2.5</v>
      </c>
      <c r="K53" s="8" t="inlineStr"/>
    </row>
    <row r="54">
      <c r="A54" s="8" t="n">
        <v>24</v>
      </c>
      <c r="B54" s="8" t="n">
        <v>0</v>
      </c>
      <c r="C54" s="11" t="inlineStr">
        <is>
          <t>BC.13102</t>
        </is>
      </c>
      <c r="D54" s="8" t="inlineStr">
        <is>
          <t>Bảo ôn ống uPVC D21 dày 13mm</t>
        </is>
      </c>
      <c r="E54" s="12">
        <f>HYPERLINK("tt38://pl3/204", "👉 Phụ lục III - Trang 204 (Khớp nhóm BC.1310)")</f>
        <v/>
      </c>
      <c r="F54" s="8" t="inlineStr">
        <is>
          <t>100m</t>
        </is>
      </c>
      <c r="G54" s="8" t="inlineStr"/>
      <c r="H54" s="8" t="inlineStr"/>
      <c r="I54" s="8" t="inlineStr"/>
      <c r="J54" s="8" t="n">
        <v>0.6</v>
      </c>
      <c r="K54" s="8" t="inlineStr"/>
    </row>
    <row r="55">
      <c r="A55" s="8" t="n">
        <v>25</v>
      </c>
      <c r="B55" s="8" t="n">
        <v>0</v>
      </c>
      <c r="C55" s="11" t="inlineStr">
        <is>
          <t>BC.13103</t>
        </is>
      </c>
      <c r="D55" s="8" t="inlineStr">
        <is>
          <t>Bảo ôn ống uPVC D27 dày 13mm</t>
        </is>
      </c>
      <c r="E55" s="12">
        <f>HYPERLINK("tt38://pl3/204", "👉 Phụ lục III - Trang 204 (Khớp nhóm BC.1310)")</f>
        <v/>
      </c>
      <c r="F55" s="8" t="inlineStr">
        <is>
          <t>100m</t>
        </is>
      </c>
      <c r="G55" s="8" t="inlineStr"/>
      <c r="H55" s="8" t="inlineStr"/>
      <c r="I55" s="8" t="inlineStr"/>
      <c r="J55" s="8" t="n">
        <v>17.6</v>
      </c>
      <c r="K55" s="8" t="inlineStr"/>
    </row>
    <row r="56">
      <c r="A56" s="8" t="n">
        <v>26</v>
      </c>
      <c r="B56" s="8" t="n">
        <v>0</v>
      </c>
      <c r="C56" s="11" t="inlineStr">
        <is>
          <t>BC.13104</t>
        </is>
      </c>
      <c r="D56" s="8" t="inlineStr">
        <is>
          <t>Bảo ôn ống uPVC D34 dày 13mm</t>
        </is>
      </c>
      <c r="E56" s="12">
        <f>HYPERLINK("tt38://pl3/204", "👉 Phụ lục III - Trang 204 (Khớp nhóm BC.1310)")</f>
        <v/>
      </c>
      <c r="F56" s="8" t="inlineStr">
        <is>
          <t>100m</t>
        </is>
      </c>
      <c r="G56" s="8" t="inlineStr"/>
      <c r="H56" s="8" t="inlineStr"/>
      <c r="I56" s="8" t="inlineStr"/>
      <c r="J56" s="8" t="n">
        <v>3</v>
      </c>
      <c r="K56" s="8" t="inlineStr"/>
    </row>
    <row r="57">
      <c r="A57" s="8" t="n">
        <v>27</v>
      </c>
      <c r="B57" s="8" t="n">
        <v>0</v>
      </c>
      <c r="C57" s="11" t="inlineStr">
        <is>
          <t>BC.13105</t>
        </is>
      </c>
      <c r="D57" s="8" t="inlineStr">
        <is>
          <t>Bảo ôn ống uPVC D42 dày 13mm</t>
        </is>
      </c>
      <c r="E57" s="12">
        <f>HYPERLINK("tt38://pl3/204", "👉 Phụ lục III - Trang 204 (Khớp nhóm BC.1310)")</f>
        <v/>
      </c>
      <c r="F57" s="8" t="inlineStr">
        <is>
          <t>100m</t>
        </is>
      </c>
      <c r="G57" s="8" t="inlineStr"/>
      <c r="H57" s="8" t="inlineStr"/>
      <c r="I57" s="8" t="inlineStr"/>
      <c r="J57" s="8" t="n">
        <v>3</v>
      </c>
      <c r="K57" s="8" t="inlineStr"/>
    </row>
    <row r="58">
      <c r="A58" s="8" t="n">
        <v>28</v>
      </c>
      <c r="B58" s="8" t="n">
        <v>0</v>
      </c>
      <c r="C58" s="11" t="inlineStr">
        <is>
          <t>BC.13106</t>
        </is>
      </c>
      <c r="D58" s="8" t="inlineStr">
        <is>
          <t>Bảo ôn ống uPVC D48 dày 13mm</t>
        </is>
      </c>
      <c r="E58" s="12">
        <f>HYPERLINK("tt38://pl3/204", "👉 Phụ lục III - Trang 204 (Khớp nhóm BC.1310)")</f>
        <v/>
      </c>
      <c r="F58" s="8" t="inlineStr">
        <is>
          <t>100m</t>
        </is>
      </c>
      <c r="G58" s="8" t="inlineStr"/>
      <c r="H58" s="8" t="inlineStr"/>
      <c r="I58" s="8" t="inlineStr"/>
      <c r="J58" s="8" t="n">
        <v>2.5</v>
      </c>
      <c r="K58" s="8" t="inlineStr"/>
    </row>
    <row r="59">
      <c r="A59" s="8" t="n">
        <v>29</v>
      </c>
      <c r="B59" s="8" t="n">
        <v>0</v>
      </c>
      <c r="C59" s="11" t="inlineStr">
        <is>
          <t>BA.16201</t>
        </is>
      </c>
      <c r="D59" s="8" t="inlineStr">
        <is>
          <t>Dây điện_Cu/PVC_2x(1x0.75)mm2</t>
        </is>
      </c>
      <c r="E59" s="12">
        <f>HYPERLINK("tt38://pl3/14", "👉 Phụ lục III - Trang 14 (Khớp nhóm BA.1620)")</f>
        <v/>
      </c>
      <c r="F59" s="8" t="inlineStr">
        <is>
          <t>m</t>
        </is>
      </c>
      <c r="G59" s="8" t="inlineStr"/>
      <c r="H59" s="8" t="inlineStr"/>
      <c r="I59" s="8" t="inlineStr"/>
      <c r="J59" s="8" t="n">
        <v>1300</v>
      </c>
      <c r="K59" s="8" t="inlineStr"/>
    </row>
    <row r="60">
      <c r="A60" s="8" t="n">
        <v>30</v>
      </c>
      <c r="B60" s="8" t="n">
        <v>0</v>
      </c>
      <c r="C60" s="11" t="inlineStr">
        <is>
          <t>BA.16202</t>
        </is>
      </c>
      <c r="D60" s="8" t="inlineStr">
        <is>
          <t>Dây điện_Cu/PVC_2x(1x1.5)mm2</t>
        </is>
      </c>
      <c r="E60" s="12">
        <f>HYPERLINK("tt38://pl3/14", "👉 Phụ lục III - Trang 14 (Khớp nhóm BA.1620)")</f>
        <v/>
      </c>
      <c r="F60" s="8" t="inlineStr">
        <is>
          <t>m</t>
        </is>
      </c>
      <c r="G60" s="8" t="inlineStr"/>
      <c r="H60" s="8" t="inlineStr"/>
      <c r="I60" s="8" t="inlineStr"/>
      <c r="J60" s="8" t="n">
        <v>4660</v>
      </c>
      <c r="K60" s="8" t="inlineStr"/>
    </row>
    <row r="61">
      <c r="A61" s="8" t="n">
        <v>31</v>
      </c>
      <c r="B61" s="8" t="n">
        <v>0</v>
      </c>
      <c r="C61" s="11" t="inlineStr">
        <is>
          <t>BA.16202</t>
        </is>
      </c>
      <c r="D61" s="8" t="inlineStr">
        <is>
          <t>Dây điện_Cu/PVC_2x(1x2.5)mm2</t>
        </is>
      </c>
      <c r="E61" s="12">
        <f>HYPERLINK("tt38://pl3/14", "👉 Phụ lục III - Trang 14 (Khớp nhóm BA.1620)")</f>
        <v/>
      </c>
      <c r="F61" s="8" t="inlineStr">
        <is>
          <t>m</t>
        </is>
      </c>
      <c r="G61" s="8" t="inlineStr"/>
      <c r="H61" s="8" t="inlineStr"/>
      <c r="I61" s="8" t="inlineStr"/>
      <c r="J61" s="8" t="n">
        <v>4660</v>
      </c>
      <c r="K61" s="8" t="inlineStr"/>
    </row>
    <row r="62">
      <c r="A62" s="8" t="n">
        <v>32</v>
      </c>
      <c r="B62" s="8" t="n">
        <v>0</v>
      </c>
      <c r="C62" s="11" t="inlineStr">
        <is>
          <t>BA.16202</t>
        </is>
      </c>
      <c r="D62" s="8" t="inlineStr">
        <is>
          <t>Dây điện_Cu/PVC_2x(1x4.0)mm2</t>
        </is>
      </c>
      <c r="E62" s="12">
        <f>HYPERLINK("tt38://pl3/14", "👉 Phụ lục III - Trang 14 (Khớp nhóm BA.1620)")</f>
        <v/>
      </c>
      <c r="F62" s="8" t="inlineStr">
        <is>
          <t>m</t>
        </is>
      </c>
      <c r="G62" s="8" t="inlineStr"/>
      <c r="H62" s="8" t="inlineStr"/>
      <c r="I62" s="8" t="inlineStr"/>
      <c r="J62" s="8" t="n">
        <v>4000</v>
      </c>
      <c r="K62" s="8" t="inlineStr"/>
    </row>
    <row r="63">
      <c r="A63" s="8" t="inlineStr">
        <is>
          <t>NGƯỜI LẬP                                                                              NGƯỜI CHỦ TRÌ</t>
        </is>
      </c>
      <c r="B63" s="8" t="inlineStr"/>
      <c r="C63" s="8" t="inlineStr"/>
      <c r="D63" s="8" t="inlineStr"/>
      <c r="F63" s="8" t="inlineStr"/>
      <c r="G63" s="8" t="inlineStr"/>
      <c r="H63" s="8" t="inlineStr"/>
      <c r="I63" s="8" t="inlineStr"/>
      <c r="J63" s="8" t="inlineStr"/>
      <c r="K63" s="8" t="inlineStr"/>
    </row>
    <row r="64">
      <c r="A64" s="8" t="inlineStr"/>
      <c r="B64" s="8" t="inlineStr"/>
      <c r="C64" s="8" t="inlineStr"/>
      <c r="D64" s="8" t="inlineStr"/>
      <c r="F64" s="8" t="inlineStr"/>
      <c r="G64" s="8" t="inlineStr"/>
      <c r="H64" s="8" t="inlineStr"/>
      <c r="I64" s="8" t="inlineStr"/>
      <c r="J64" s="8" t="inlineStr"/>
      <c r="K64" s="8" t="inlineStr"/>
    </row>
  </sheetData>
  <hyperlinks>
    <hyperlink xmlns:r="http://schemas.openxmlformats.org/officeDocument/2006/relationships" ref="C6" r:id="rId1"/>
    <hyperlink xmlns:r="http://schemas.openxmlformats.org/officeDocument/2006/relationships" ref="E6" r:id="rId2"/>
    <hyperlink xmlns:r="http://schemas.openxmlformats.org/officeDocument/2006/relationships" ref="C13" r:id="rId3"/>
    <hyperlink xmlns:r="http://schemas.openxmlformats.org/officeDocument/2006/relationships" ref="E13" r:id="rId4"/>
    <hyperlink xmlns:r="http://schemas.openxmlformats.org/officeDocument/2006/relationships" ref="C14" r:id="rId5"/>
    <hyperlink xmlns:r="http://schemas.openxmlformats.org/officeDocument/2006/relationships" ref="E14" r:id="rId6"/>
    <hyperlink xmlns:r="http://schemas.openxmlformats.org/officeDocument/2006/relationships" ref="C15" r:id="rId7"/>
    <hyperlink xmlns:r="http://schemas.openxmlformats.org/officeDocument/2006/relationships" ref="E15" r:id="rId8"/>
    <hyperlink xmlns:r="http://schemas.openxmlformats.org/officeDocument/2006/relationships" ref="C16" r:id="rId9"/>
    <hyperlink xmlns:r="http://schemas.openxmlformats.org/officeDocument/2006/relationships" ref="E16" r:id="rId10"/>
    <hyperlink xmlns:r="http://schemas.openxmlformats.org/officeDocument/2006/relationships" ref="C17" r:id="rId11"/>
    <hyperlink xmlns:r="http://schemas.openxmlformats.org/officeDocument/2006/relationships" ref="E17" r:id="rId12"/>
    <hyperlink xmlns:r="http://schemas.openxmlformats.org/officeDocument/2006/relationships" ref="C18" r:id="rId13"/>
    <hyperlink xmlns:r="http://schemas.openxmlformats.org/officeDocument/2006/relationships" ref="E18" r:id="rId14"/>
    <hyperlink xmlns:r="http://schemas.openxmlformats.org/officeDocument/2006/relationships" ref="C19" r:id="rId15"/>
    <hyperlink xmlns:r="http://schemas.openxmlformats.org/officeDocument/2006/relationships" ref="E19" r:id="rId16"/>
    <hyperlink xmlns:r="http://schemas.openxmlformats.org/officeDocument/2006/relationships" ref="C20" r:id="rId17"/>
    <hyperlink xmlns:r="http://schemas.openxmlformats.org/officeDocument/2006/relationships" ref="E20" r:id="rId18"/>
    <hyperlink xmlns:r="http://schemas.openxmlformats.org/officeDocument/2006/relationships" ref="C21" r:id="rId19"/>
    <hyperlink xmlns:r="http://schemas.openxmlformats.org/officeDocument/2006/relationships" ref="E21" r:id="rId20"/>
    <hyperlink xmlns:r="http://schemas.openxmlformats.org/officeDocument/2006/relationships" ref="C22" r:id="rId21"/>
    <hyperlink xmlns:r="http://schemas.openxmlformats.org/officeDocument/2006/relationships" ref="E22" r:id="rId22"/>
    <hyperlink xmlns:r="http://schemas.openxmlformats.org/officeDocument/2006/relationships" ref="C23" r:id="rId23"/>
    <hyperlink xmlns:r="http://schemas.openxmlformats.org/officeDocument/2006/relationships" ref="E23" r:id="rId24"/>
    <hyperlink xmlns:r="http://schemas.openxmlformats.org/officeDocument/2006/relationships" ref="C31" r:id="rId25"/>
    <hyperlink xmlns:r="http://schemas.openxmlformats.org/officeDocument/2006/relationships" ref="E31" r:id="rId26"/>
    <hyperlink xmlns:r="http://schemas.openxmlformats.org/officeDocument/2006/relationships" ref="C32" r:id="rId27"/>
    <hyperlink xmlns:r="http://schemas.openxmlformats.org/officeDocument/2006/relationships" ref="E32" r:id="rId28"/>
    <hyperlink xmlns:r="http://schemas.openxmlformats.org/officeDocument/2006/relationships" ref="C33" r:id="rId29"/>
    <hyperlink xmlns:r="http://schemas.openxmlformats.org/officeDocument/2006/relationships" ref="E33" r:id="rId30"/>
    <hyperlink xmlns:r="http://schemas.openxmlformats.org/officeDocument/2006/relationships" ref="C34" r:id="rId31"/>
    <hyperlink xmlns:r="http://schemas.openxmlformats.org/officeDocument/2006/relationships" ref="E34" r:id="rId32"/>
    <hyperlink xmlns:r="http://schemas.openxmlformats.org/officeDocument/2006/relationships" ref="C35" r:id="rId33"/>
    <hyperlink xmlns:r="http://schemas.openxmlformats.org/officeDocument/2006/relationships" ref="E35" r:id="rId34"/>
    <hyperlink xmlns:r="http://schemas.openxmlformats.org/officeDocument/2006/relationships" ref="C36" r:id="rId35"/>
    <hyperlink xmlns:r="http://schemas.openxmlformats.org/officeDocument/2006/relationships" ref="E36" r:id="rId36"/>
    <hyperlink xmlns:r="http://schemas.openxmlformats.org/officeDocument/2006/relationships" ref="C37" r:id="rId37"/>
    <hyperlink xmlns:r="http://schemas.openxmlformats.org/officeDocument/2006/relationships" ref="E37" r:id="rId38"/>
    <hyperlink xmlns:r="http://schemas.openxmlformats.org/officeDocument/2006/relationships" ref="C38" r:id="rId39"/>
    <hyperlink xmlns:r="http://schemas.openxmlformats.org/officeDocument/2006/relationships" ref="E38" r:id="rId40"/>
    <hyperlink xmlns:r="http://schemas.openxmlformats.org/officeDocument/2006/relationships" ref="C39" r:id="rId41"/>
    <hyperlink xmlns:r="http://schemas.openxmlformats.org/officeDocument/2006/relationships" ref="E39" r:id="rId42"/>
    <hyperlink xmlns:r="http://schemas.openxmlformats.org/officeDocument/2006/relationships" ref="C40" r:id="rId43"/>
    <hyperlink xmlns:r="http://schemas.openxmlformats.org/officeDocument/2006/relationships" ref="E40" r:id="rId44"/>
    <hyperlink xmlns:r="http://schemas.openxmlformats.org/officeDocument/2006/relationships" ref="C41" r:id="rId45"/>
    <hyperlink xmlns:r="http://schemas.openxmlformats.org/officeDocument/2006/relationships" ref="E41" r:id="rId46"/>
    <hyperlink xmlns:r="http://schemas.openxmlformats.org/officeDocument/2006/relationships" ref="C42" r:id="rId47"/>
    <hyperlink xmlns:r="http://schemas.openxmlformats.org/officeDocument/2006/relationships" ref="E42" r:id="rId48"/>
    <hyperlink xmlns:r="http://schemas.openxmlformats.org/officeDocument/2006/relationships" ref="C43" r:id="rId49"/>
    <hyperlink xmlns:r="http://schemas.openxmlformats.org/officeDocument/2006/relationships" ref="E43" r:id="rId50"/>
    <hyperlink xmlns:r="http://schemas.openxmlformats.org/officeDocument/2006/relationships" ref="C44" r:id="rId51"/>
    <hyperlink xmlns:r="http://schemas.openxmlformats.org/officeDocument/2006/relationships" ref="E44" r:id="rId52"/>
    <hyperlink xmlns:r="http://schemas.openxmlformats.org/officeDocument/2006/relationships" ref="C45" r:id="rId53"/>
    <hyperlink xmlns:r="http://schemas.openxmlformats.org/officeDocument/2006/relationships" ref="E45" r:id="rId54"/>
    <hyperlink xmlns:r="http://schemas.openxmlformats.org/officeDocument/2006/relationships" ref="C46" r:id="rId55"/>
    <hyperlink xmlns:r="http://schemas.openxmlformats.org/officeDocument/2006/relationships" ref="E46" r:id="rId56"/>
    <hyperlink xmlns:r="http://schemas.openxmlformats.org/officeDocument/2006/relationships" ref="C47" r:id="rId57"/>
    <hyperlink xmlns:r="http://schemas.openxmlformats.org/officeDocument/2006/relationships" ref="E47" r:id="rId58"/>
    <hyperlink xmlns:r="http://schemas.openxmlformats.org/officeDocument/2006/relationships" ref="C48" r:id="rId59"/>
    <hyperlink xmlns:r="http://schemas.openxmlformats.org/officeDocument/2006/relationships" ref="E48" r:id="rId60"/>
    <hyperlink xmlns:r="http://schemas.openxmlformats.org/officeDocument/2006/relationships" ref="C49" r:id="rId61"/>
    <hyperlink xmlns:r="http://schemas.openxmlformats.org/officeDocument/2006/relationships" ref="E49" r:id="rId62"/>
    <hyperlink xmlns:r="http://schemas.openxmlformats.org/officeDocument/2006/relationships" ref="C50" r:id="rId63"/>
    <hyperlink xmlns:r="http://schemas.openxmlformats.org/officeDocument/2006/relationships" ref="E50" r:id="rId64"/>
    <hyperlink xmlns:r="http://schemas.openxmlformats.org/officeDocument/2006/relationships" ref="C51" r:id="rId65"/>
    <hyperlink xmlns:r="http://schemas.openxmlformats.org/officeDocument/2006/relationships" ref="E51" r:id="rId66"/>
    <hyperlink xmlns:r="http://schemas.openxmlformats.org/officeDocument/2006/relationships" ref="C52" r:id="rId67"/>
    <hyperlink xmlns:r="http://schemas.openxmlformats.org/officeDocument/2006/relationships" ref="E52" r:id="rId68"/>
    <hyperlink xmlns:r="http://schemas.openxmlformats.org/officeDocument/2006/relationships" ref="C53" r:id="rId69"/>
    <hyperlink xmlns:r="http://schemas.openxmlformats.org/officeDocument/2006/relationships" ref="E53" r:id="rId70"/>
    <hyperlink xmlns:r="http://schemas.openxmlformats.org/officeDocument/2006/relationships" ref="C54" r:id="rId71"/>
    <hyperlink xmlns:r="http://schemas.openxmlformats.org/officeDocument/2006/relationships" ref="E54" r:id="rId72"/>
    <hyperlink xmlns:r="http://schemas.openxmlformats.org/officeDocument/2006/relationships" ref="C55" r:id="rId73"/>
    <hyperlink xmlns:r="http://schemas.openxmlformats.org/officeDocument/2006/relationships" ref="E55" r:id="rId74"/>
    <hyperlink xmlns:r="http://schemas.openxmlformats.org/officeDocument/2006/relationships" ref="C56" r:id="rId75"/>
    <hyperlink xmlns:r="http://schemas.openxmlformats.org/officeDocument/2006/relationships" ref="E56" r:id="rId76"/>
    <hyperlink xmlns:r="http://schemas.openxmlformats.org/officeDocument/2006/relationships" ref="C57" r:id="rId77"/>
    <hyperlink xmlns:r="http://schemas.openxmlformats.org/officeDocument/2006/relationships" ref="E57" r:id="rId78"/>
    <hyperlink xmlns:r="http://schemas.openxmlformats.org/officeDocument/2006/relationships" ref="C58" r:id="rId79"/>
    <hyperlink xmlns:r="http://schemas.openxmlformats.org/officeDocument/2006/relationships" ref="E58" r:id="rId80"/>
    <hyperlink xmlns:r="http://schemas.openxmlformats.org/officeDocument/2006/relationships" ref="C59" r:id="rId81"/>
    <hyperlink xmlns:r="http://schemas.openxmlformats.org/officeDocument/2006/relationships" ref="E59" r:id="rId82"/>
    <hyperlink xmlns:r="http://schemas.openxmlformats.org/officeDocument/2006/relationships" ref="C60" r:id="rId83"/>
    <hyperlink xmlns:r="http://schemas.openxmlformats.org/officeDocument/2006/relationships" ref="E60" r:id="rId84"/>
    <hyperlink xmlns:r="http://schemas.openxmlformats.org/officeDocument/2006/relationships" ref="C61" r:id="rId85"/>
    <hyperlink xmlns:r="http://schemas.openxmlformats.org/officeDocument/2006/relationships" ref="E61" r:id="rId86"/>
    <hyperlink xmlns:r="http://schemas.openxmlformats.org/officeDocument/2006/relationships" ref="C62" r:id="rId87"/>
    <hyperlink xmlns:r="http://schemas.openxmlformats.org/officeDocument/2006/relationships" ref="E62" r:id="rId88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15" customWidth="1" min="3" max="3"/>
    <col width="38" customWidth="1" min="4" max="4"/>
    <col width="12" customWidth="1" min="5" max="5"/>
    <col width="13" customWidth="1" min="6" max="6"/>
    <col width="14" customWidth="1" min="7" max="7"/>
    <col width="12" customWidth="1" min="8" max="8"/>
    <col width="12" customWidth="1" min="9" max="9"/>
    <col width="12" customWidth="1" min="10" max="10"/>
    <col width="12" customWidth="1" min="11" max="11"/>
    <col width="17" customWidth="1" min="12" max="12"/>
    <col width="12" customWidth="1" min="13" max="13"/>
    <col width="12" customWidth="1" min="14" max="14"/>
    <col width="12" customWidth="1" min="15" max="15"/>
    <col width="12" customWidth="1" min="16" max="16"/>
    <col width="19" customWidth="1" min="17" max="17"/>
    <col width="12" customWidth="1" min="18" max="18"/>
    <col width="12" customWidth="1" min="19" max="19"/>
  </cols>
  <sheetData>
    <row r="1">
      <c r="A1" s="8" t="inlineStr">
        <is>
          <t>BẢNG DỰ TOÁN HẠNG MỤC CÔNG TRÌNH</t>
        </is>
      </c>
      <c r="B1" s="8" t="inlineStr"/>
      <c r="C1" s="8" t="inlineStr"/>
      <c r="E1" s="8" t="inlineStr"/>
      <c r="F1" s="8" t="inlineStr"/>
      <c r="G1" s="8" t="inlineStr"/>
      <c r="H1" s="8" t="inlineStr"/>
      <c r="I1" s="8" t="inlineStr"/>
      <c r="J1" s="8" t="inlineStr"/>
      <c r="K1" s="8" t="inlineStr"/>
      <c r="L1" s="8" t="inlineStr"/>
      <c r="M1" s="8" t="inlineStr"/>
      <c r="N1" s="8" t="inlineStr"/>
      <c r="O1" s="8" t="inlineStr"/>
      <c r="P1" s="8" t="inlineStr"/>
      <c r="Q1" s="8" t="inlineStr"/>
      <c r="R1" s="8" t="inlineStr"/>
      <c r="S1" s="8" t="inlineStr"/>
    </row>
    <row r="2">
      <c r="A2" s="8" t="inlineStr">
        <is>
          <t>DỰ ÁN: XÂY DỰNG NHÀ Ở CHO LỰC LƯỢNG VŨ TRANG CÔNG AN NHÂN DÂN TẠI Ô ĐẤT NO1 THUỘC LÔ ĐẤT D12 KHU ĐÔ THỊ MỚI CẦU GIẤY,
 PHƯỜNG CẦU GIẤY, THÀNH PHỐ HÀ NỘI</t>
        </is>
      </c>
      <c r="B2" s="8" t="inlineStr"/>
      <c r="C2" s="8" t="inlineStr"/>
      <c r="E2" s="8" t="inlineStr"/>
      <c r="F2" s="8" t="inlineStr"/>
      <c r="G2" s="8" t="inlineStr"/>
      <c r="H2" s="8" t="inlineStr"/>
      <c r="I2" s="8" t="inlineStr"/>
      <c r="J2" s="8" t="inlineStr"/>
      <c r="K2" s="8" t="inlineStr"/>
      <c r="L2" s="8" t="inlineStr"/>
      <c r="M2" s="8" t="inlineStr"/>
      <c r="N2" s="8" t="inlineStr"/>
      <c r="O2" s="8" t="inlineStr"/>
      <c r="P2" s="8" t="inlineStr"/>
      <c r="Q2" s="8" t="inlineStr"/>
      <c r="R2" s="8" t="inlineStr"/>
      <c r="S2" s="8" t="inlineStr"/>
    </row>
    <row r="3">
      <c r="A3" s="8" t="inlineStr">
        <is>
          <t>HẠNG MỤC: ĐIỀU HÒA KHÔNG KHÍ &amp; THÔNG GIÓ - LẮP ĐẶT THIẾT BỊ</t>
        </is>
      </c>
      <c r="B3" s="8" t="inlineStr"/>
      <c r="C3" s="8" t="inlineStr"/>
      <c r="E3" s="8" t="inlineStr"/>
      <c r="F3" s="8" t="inlineStr"/>
      <c r="G3" s="8" t="inlineStr"/>
      <c r="H3" s="8" t="inlineStr"/>
      <c r="I3" s="8" t="inlineStr"/>
      <c r="J3" s="8" t="inlineStr"/>
      <c r="K3" s="8" t="inlineStr"/>
      <c r="L3" s="8" t="inlineStr"/>
      <c r="M3" s="8" t="inlineStr"/>
      <c r="N3" s="8" t="inlineStr"/>
      <c r="O3" s="8" t="inlineStr"/>
      <c r="P3" s="8" t="inlineStr"/>
      <c r="Q3" s="8" t="inlineStr"/>
      <c r="R3" s="8" t="inlineStr"/>
      <c r="S3" s="8" t="inlineStr"/>
    </row>
    <row r="4">
      <c r="A4" s="8" t="inlineStr">
        <is>
          <t>TT</t>
        </is>
      </c>
      <c r="B4" s="8" t="inlineStr">
        <is>
          <t>Mã số</t>
        </is>
      </c>
      <c r="C4" s="8" t="inlineStr">
        <is>
          <t>Tên công tác</t>
        </is>
      </c>
      <c r="D4" s="10" t="inlineStr">
        <is>
          <t>LINK TRA CỨU TT 38/2026/TT-BXD</t>
        </is>
      </c>
      <c r="E4" s="8" t="inlineStr">
        <is>
          <t>Đơn vị</t>
        </is>
      </c>
      <c r="F4" s="8" t="inlineStr">
        <is>
          <t>Khối lượng</t>
        </is>
      </c>
      <c r="G4" s="8" t="inlineStr">
        <is>
          <t>Đơn giá (đ)</t>
        </is>
      </c>
      <c r="H4" s="8" t="inlineStr"/>
      <c r="I4" s="8" t="inlineStr"/>
      <c r="J4" s="8" t="inlineStr"/>
      <c r="K4" s="8" t="inlineStr"/>
      <c r="L4" s="8" t="inlineStr">
        <is>
          <t>Thành tiền (đ)</t>
        </is>
      </c>
      <c r="M4" s="8" t="inlineStr"/>
      <c r="N4" s="8" t="inlineStr"/>
      <c r="O4" s="8" t="inlineStr"/>
      <c r="P4" s="8" t="inlineStr"/>
      <c r="Q4" s="8" t="inlineStr">
        <is>
          <t>Hệ số điều chỉnh</t>
        </is>
      </c>
      <c r="R4" s="8" t="inlineStr"/>
      <c r="S4" s="8" t="inlineStr"/>
    </row>
    <row r="5">
      <c r="A5" s="8" t="inlineStr"/>
      <c r="B5" s="8" t="inlineStr">
        <is>
          <t>Đơn giá</t>
        </is>
      </c>
      <c r="C5" s="8" t="inlineStr"/>
      <c r="E5" s="8" t="inlineStr"/>
      <c r="F5" s="8" t="inlineStr"/>
      <c r="G5" s="8" t="inlineStr">
        <is>
          <t>Vật liệu</t>
        </is>
      </c>
      <c r="H5" s="8" t="inlineStr">
        <is>
          <t>Bù VL</t>
        </is>
      </c>
      <c r="I5" s="8" t="inlineStr">
        <is>
          <t>NC XL</t>
        </is>
      </c>
      <c r="J5" s="8" t="inlineStr">
        <is>
          <t>NC đất</t>
        </is>
      </c>
      <c r="K5" s="8" t="inlineStr">
        <is>
          <t>Ca máy</t>
        </is>
      </c>
      <c r="L5" s="8" t="inlineStr">
        <is>
          <t>Vật liệu</t>
        </is>
      </c>
      <c r="M5" s="8" t="inlineStr">
        <is>
          <t>Bù VL</t>
        </is>
      </c>
      <c r="N5" s="8" t="inlineStr">
        <is>
          <t>NC XL</t>
        </is>
      </c>
      <c r="O5" s="8" t="inlineStr">
        <is>
          <t>NC đất</t>
        </is>
      </c>
      <c r="P5" s="8" t="inlineStr">
        <is>
          <t>Ca máy</t>
        </is>
      </c>
      <c r="Q5" s="8" t="inlineStr">
        <is>
          <t>V.L</t>
        </is>
      </c>
      <c r="R5" s="8" t="inlineStr">
        <is>
          <t>N.C</t>
        </is>
      </c>
      <c r="S5" s="8" t="inlineStr">
        <is>
          <t>Máy</t>
        </is>
      </c>
    </row>
    <row r="6">
      <c r="A6" s="8" t="inlineStr">
        <is>
          <t>BẢNG DỰ TOÁN HẠNG MỤC CÔNG TRÌNH</t>
        </is>
      </c>
      <c r="B6" s="8" t="inlineStr"/>
      <c r="C6" s="8" t="inlineStr"/>
      <c r="E6" s="8" t="inlineStr"/>
      <c r="F6" s="8" t="inlineStr"/>
      <c r="G6" s="8" t="inlineStr"/>
      <c r="H6" s="8" t="inlineStr"/>
      <c r="I6" s="8" t="inlineStr"/>
      <c r="J6" s="8" t="inlineStr"/>
      <c r="K6" s="8" t="inlineStr"/>
      <c r="L6" s="8" t="inlineStr"/>
      <c r="M6" s="8" t="inlineStr"/>
      <c r="N6" s="8" t="inlineStr"/>
      <c r="O6" s="8" t="inlineStr"/>
      <c r="P6" s="8" t="inlineStr"/>
      <c r="Q6" s="8" t="inlineStr"/>
      <c r="R6" s="8" t="inlineStr"/>
      <c r="S6" s="8" t="inlineStr"/>
    </row>
    <row r="7">
      <c r="A7" s="8" t="inlineStr">
        <is>
          <t>DỰ ÁN: XÂY DỰNG NHÀ Ở CHO LỰC LƯỢNG VŨ TRANG CÔNG AN NHÂN DÂN TẠI Ô ĐẤT NO1 THUỘC LÔ ĐẤT D12 KHU ĐÔ THỊ MỚI CẦU GIẤY,
 PHƯỜNG CẦU GIẤY, THÀNH PHỐ HÀ NỘI</t>
        </is>
      </c>
      <c r="B7" s="8" t="inlineStr"/>
      <c r="C7" s="8" t="inlineStr"/>
      <c r="E7" s="8" t="inlineStr"/>
      <c r="F7" s="8" t="inlineStr"/>
      <c r="G7" s="8" t="inlineStr"/>
      <c r="H7" s="8" t="inlineStr"/>
      <c r="I7" s="8" t="inlineStr"/>
      <c r="J7" s="8" t="inlineStr"/>
      <c r="K7" s="8" t="inlineStr"/>
      <c r="L7" s="8" t="inlineStr"/>
      <c r="M7" s="8" t="inlineStr"/>
      <c r="N7" s="8" t="inlineStr"/>
      <c r="O7" s="8" t="inlineStr"/>
      <c r="P7" s="8" t="inlineStr"/>
      <c r="Q7" s="8" t="inlineStr"/>
      <c r="R7" s="8" t="inlineStr"/>
      <c r="S7" s="8" t="inlineStr"/>
    </row>
    <row r="8">
      <c r="A8" s="8" t="inlineStr">
        <is>
          <t>HẠNG MỤC: ĐIỀU HÒA KHÔNG KHÍ &amp; THÔNG GIÓ - VẬT TƯ XÂY LẮP</t>
        </is>
      </c>
      <c r="B8" s="8" t="inlineStr"/>
      <c r="C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</row>
    <row r="9">
      <c r="A9" s="8" t="inlineStr">
        <is>
          <t>TT</t>
        </is>
      </c>
      <c r="B9" s="8" t="inlineStr">
        <is>
          <t>Mã số</t>
        </is>
      </c>
      <c r="C9" s="8" t="inlineStr">
        <is>
          <t>Tên công tác</t>
        </is>
      </c>
      <c r="E9" s="8" t="inlineStr">
        <is>
          <t>Đơn vị</t>
        </is>
      </c>
      <c r="F9" s="8" t="inlineStr">
        <is>
          <t>Khối lượng</t>
        </is>
      </c>
      <c r="G9" s="8" t="inlineStr">
        <is>
          <t>Đơn giá (đ)</t>
        </is>
      </c>
      <c r="H9" s="8" t="n">
        <v>0</v>
      </c>
      <c r="I9" s="8" t="n">
        <v>0</v>
      </c>
      <c r="J9" s="8" t="n">
        <v>0</v>
      </c>
      <c r="K9" s="8" t="n">
        <v>0</v>
      </c>
      <c r="L9" s="8" t="inlineStr">
        <is>
          <t>Thành tiền (đ)</t>
        </is>
      </c>
      <c r="M9" s="8" t="n">
        <v>0</v>
      </c>
      <c r="N9" s="8" t="n">
        <v>0</v>
      </c>
      <c r="O9" s="8" t="n">
        <v>0</v>
      </c>
      <c r="P9" s="8" t="n">
        <v>0</v>
      </c>
      <c r="Q9" s="8" t="inlineStr">
        <is>
          <t>Hệ số điều chỉnh</t>
        </is>
      </c>
      <c r="R9" s="8" t="n">
        <v>0</v>
      </c>
      <c r="S9" s="8" t="n">
        <v>0</v>
      </c>
    </row>
    <row r="10">
      <c r="A10" s="8" t="n">
        <v>0</v>
      </c>
      <c r="B10" s="8" t="inlineStr">
        <is>
          <t>Đơn giá</t>
        </is>
      </c>
      <c r="C10" s="8" t="n">
        <v>0</v>
      </c>
      <c r="E10" s="8" t="n">
        <v>0</v>
      </c>
      <c r="F10" s="8" t="n">
        <v>0</v>
      </c>
      <c r="G10" s="8" t="inlineStr">
        <is>
          <t>Vật liệu</t>
        </is>
      </c>
      <c r="H10" s="8" t="inlineStr">
        <is>
          <t>Bù VL</t>
        </is>
      </c>
      <c r="I10" s="8" t="inlineStr">
        <is>
          <t>NC XL</t>
        </is>
      </c>
      <c r="J10" s="8" t="inlineStr">
        <is>
          <t>NC đất</t>
        </is>
      </c>
      <c r="K10" s="8" t="inlineStr">
        <is>
          <t>Ca máy</t>
        </is>
      </c>
      <c r="L10" s="8" t="inlineStr">
        <is>
          <t>Vật liệu</t>
        </is>
      </c>
      <c r="M10" s="8" t="inlineStr">
        <is>
          <t>Bù VL</t>
        </is>
      </c>
      <c r="N10" s="8" t="inlineStr">
        <is>
          <t>NC XL</t>
        </is>
      </c>
      <c r="O10" s="8" t="inlineStr">
        <is>
          <t>NC đất</t>
        </is>
      </c>
      <c r="P10" s="8" t="inlineStr">
        <is>
          <t>Ca máy</t>
        </is>
      </c>
      <c r="Q10" s="8" t="inlineStr">
        <is>
          <t>V.L</t>
        </is>
      </c>
      <c r="R10" s="8" t="inlineStr">
        <is>
          <t>N.C</t>
        </is>
      </c>
      <c r="S10" s="8" t="inlineStr">
        <is>
          <t>Máy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851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50" customWidth="1" min="3" max="3"/>
    <col width="38" customWidth="1" min="4" max="4"/>
    <col width="12" customWidth="1" min="5" max="5"/>
    <col width="12" customWidth="1" min="6" max="6"/>
    <col width="20" customWidth="1" min="7" max="7"/>
    <col width="12" customWidth="1" min="8" max="8"/>
    <col width="21" customWidth="1" min="9" max="9"/>
  </cols>
  <sheetData>
    <row r="1">
      <c r="A1" s="8" t="inlineStr">
        <is>
          <t>BẢNG CHIẾT TÍNH DỰ THẦU HẠNG MỤC CÔNG TRÌNH</t>
        </is>
      </c>
      <c r="B1" s="8" t="inlineStr"/>
      <c r="C1" s="8" t="inlineStr"/>
      <c r="E1" s="8" t="inlineStr"/>
      <c r="F1" s="8" t="inlineStr"/>
      <c r="G1" s="8" t="inlineStr"/>
      <c r="H1" s="8" t="inlineStr"/>
      <c r="I1" s="8" t="inlineStr"/>
    </row>
    <row r="2">
      <c r="A2" s="8" t="inlineStr">
        <is>
          <t>DỰ ÁN: XÂY DỰNG NHÀ Ở CHO LỰC LƯỢNG VŨ TRANG CÔNG AN NHÂN DÂN TẠI Ô ĐẤT NO1 THUỘC LÔ ĐẤT D12 KHU ĐÔ THỊ MỚI CẦU GIẤY,
 PHƯỜNG CẦU GIẤY, THÀNH PHỐ HÀ NỘI</t>
        </is>
      </c>
      <c r="B2" s="8" t="inlineStr"/>
      <c r="C2" s="8" t="inlineStr"/>
      <c r="E2" s="8" t="inlineStr"/>
      <c r="F2" s="8" t="inlineStr"/>
      <c r="G2" s="8" t="inlineStr"/>
      <c r="H2" s="8" t="inlineStr"/>
      <c r="I2" s="8" t="inlineStr"/>
    </row>
    <row r="3">
      <c r="A3" s="8" t="inlineStr">
        <is>
          <t>HẠNG MỤC: ĐIỀU HÒA KHÔNG KHÍ &amp; THÔNG GIÓ - LẮP ĐẶT THIẾT BỊ</t>
        </is>
      </c>
      <c r="B3" s="8" t="inlineStr"/>
      <c r="C3" s="8" t="inlineStr"/>
      <c r="E3" s="8" t="inlineStr"/>
      <c r="F3" s="8" t="inlineStr"/>
      <c r="G3" s="8" t="inlineStr"/>
      <c r="H3" s="8" t="inlineStr"/>
      <c r="I3" s="8" t="inlineStr"/>
    </row>
    <row r="4">
      <c r="A4" s="8" t="inlineStr">
        <is>
          <t>STT</t>
        </is>
      </c>
      <c r="B4" s="8" t="inlineStr">
        <is>
          <t>Mã số</t>
        </is>
      </c>
      <c r="C4" s="8" t="inlineStr">
        <is>
          <t>Thành phần hao phí</t>
        </is>
      </c>
      <c r="D4" s="10" t="inlineStr">
        <is>
          <t>LINK TRA CỨU TT 38/2026/TT-BXD</t>
        </is>
      </c>
      <c r="E4" s="8" t="inlineStr">
        <is>
          <t>Đơn vị</t>
        </is>
      </c>
      <c r="F4" s="8" t="inlineStr">
        <is>
          <t>Định mức</t>
        </is>
      </c>
      <c r="G4" s="8" t="inlineStr">
        <is>
          <t>Đơn giá
(đ)</t>
        </is>
      </c>
      <c r="H4" s="8" t="inlineStr">
        <is>
          <t>Hệ số</t>
        </is>
      </c>
      <c r="I4" s="8" t="inlineStr">
        <is>
          <t>Thành tiền
(đ)</t>
        </is>
      </c>
    </row>
    <row r="5">
      <c r="A5" s="8" t="n">
        <v>1</v>
      </c>
      <c r="B5" s="11" t="inlineStr">
        <is>
          <t>MD.12002</t>
        </is>
      </c>
      <c r="C5" s="8" t="inlineStr">
        <is>
          <t>Dàn nóng điều hòa VRF, Multi</t>
        </is>
      </c>
      <c r="D5" s="12">
        <f>HYPERLINK("tt38://pl5/37", "👉 Phụ lục IV - Trang 37 (Khớp nhóm MD.1200)")</f>
        <v/>
      </c>
      <c r="E5" s="8" t="inlineStr">
        <is>
          <t>tấn</t>
        </is>
      </c>
      <c r="F5" s="8" t="n">
        <v>1</v>
      </c>
      <c r="G5" s="8" t="inlineStr"/>
      <c r="H5" s="8" t="inlineStr"/>
      <c r="I5" s="8" t="inlineStr"/>
    </row>
    <row r="6">
      <c r="A6" s="8" t="inlineStr"/>
      <c r="B6" s="8" t="inlineStr"/>
      <c r="C6" s="8" t="inlineStr">
        <is>
          <t>a) Vật liệu</t>
        </is>
      </c>
      <c r="E6" s="8" t="inlineStr"/>
      <c r="F6" s="8" t="inlineStr"/>
      <c r="G6" s="8" t="inlineStr"/>
      <c r="H6" s="8" t="inlineStr"/>
      <c r="I6" s="8" t="n">
        <v>518999.943</v>
      </c>
    </row>
    <row r="7">
      <c r="A7" s="8" t="inlineStr"/>
      <c r="B7" s="8" t="inlineStr">
        <is>
          <t>A33.0001</t>
        </is>
      </c>
      <c r="C7" s="8" t="inlineStr">
        <is>
          <t>Mỡ các loại</t>
        </is>
      </c>
      <c r="E7" s="8" t="inlineStr">
        <is>
          <t>kg</t>
        </is>
      </c>
      <c r="F7" s="8" t="n">
        <v>1.81</v>
      </c>
      <c r="G7" s="8" t="n">
        <v>90000</v>
      </c>
      <c r="H7" s="8" t="n">
        <v>1</v>
      </c>
      <c r="I7" s="8" t="n">
        <v>162900</v>
      </c>
    </row>
    <row r="8">
      <c r="A8" s="8" t="inlineStr"/>
      <c r="B8" s="8" t="inlineStr">
        <is>
          <t>A33.0002</t>
        </is>
      </c>
      <c r="C8" s="8" t="inlineStr">
        <is>
          <t>Dầu các loại</t>
        </is>
      </c>
      <c r="E8" s="8" t="inlineStr">
        <is>
          <t>kg</t>
        </is>
      </c>
      <c r="F8" s="8" t="n">
        <v>2.09</v>
      </c>
      <c r="G8" s="8" t="n">
        <v>100000</v>
      </c>
      <c r="H8" s="8" t="n">
        <v>1</v>
      </c>
      <c r="I8" s="8" t="n">
        <v>209000</v>
      </c>
    </row>
    <row r="9">
      <c r="A9" s="8" t="inlineStr"/>
      <c r="B9" s="8" t="inlineStr">
        <is>
          <t>A33.0003</t>
        </is>
      </c>
      <c r="C9" s="8" t="inlineStr">
        <is>
          <t>Thép tấm</t>
        </is>
      </c>
      <c r="E9" s="8" t="inlineStr">
        <is>
          <t>kg</t>
        </is>
      </c>
      <c r="F9" s="8" t="n">
        <v>2.78</v>
      </c>
      <c r="G9" s="8" t="n">
        <v>14950</v>
      </c>
      <c r="H9" s="8" t="n">
        <v>1</v>
      </c>
      <c r="I9" s="8" t="n">
        <v>41561</v>
      </c>
    </row>
    <row r="10">
      <c r="A10" s="8" t="inlineStr"/>
      <c r="B10" s="8" t="inlineStr">
        <is>
          <t>A33.0108</t>
        </is>
      </c>
      <c r="C10" s="8" t="inlineStr">
        <is>
          <t>Que hàn các loại</t>
        </is>
      </c>
      <c r="E10" s="8" t="inlineStr">
        <is>
          <t>kg</t>
        </is>
      </c>
      <c r="F10" s="8" t="n">
        <v>0.21</v>
      </c>
      <c r="G10" s="8" t="n">
        <v>19800</v>
      </c>
      <c r="H10" s="8" t="n">
        <v>1</v>
      </c>
      <c r="I10" s="8" t="n">
        <v>4158</v>
      </c>
    </row>
    <row r="11">
      <c r="A11" s="8" t="inlineStr"/>
      <c r="B11" s="8" t="inlineStr">
        <is>
          <t>A33.0005</t>
        </is>
      </c>
      <c r="C11" s="8" t="inlineStr">
        <is>
          <t>Khí gas</t>
        </is>
      </c>
      <c r="E11" s="8" t="inlineStr">
        <is>
          <t>kg</t>
        </is>
      </c>
      <c r="F11" s="8" t="n">
        <v>0.22</v>
      </c>
      <c r="G11" s="8" t="n">
        <v>37803</v>
      </c>
      <c r="H11" s="8" t="n">
        <v>1</v>
      </c>
      <c r="I11" s="8" t="n">
        <v>8316.66</v>
      </c>
    </row>
    <row r="12">
      <c r="A12" s="8" t="inlineStr"/>
      <c r="B12" s="8" t="inlineStr">
        <is>
          <t>A33.0006</t>
        </is>
      </c>
      <c r="C12" s="8" t="inlineStr">
        <is>
          <t>Ô xy</t>
        </is>
      </c>
      <c r="E12" s="8" t="inlineStr">
        <is>
          <t>chai</t>
        </is>
      </c>
      <c r="F12" s="8" t="n">
        <v>0.11</v>
      </c>
      <c r="G12" s="8" t="n">
        <v>30000</v>
      </c>
      <c r="H12" s="8" t="n">
        <v>1</v>
      </c>
      <c r="I12" s="8" t="n">
        <v>3300</v>
      </c>
    </row>
    <row r="13">
      <c r="A13" s="8" t="inlineStr"/>
      <c r="B13" s="8" t="inlineStr">
        <is>
          <t>A33.0107</t>
        </is>
      </c>
      <c r="C13" s="8" t="inlineStr">
        <is>
          <t>Đá mài, cắt</t>
        </is>
      </c>
      <c r="E13" s="8" t="inlineStr">
        <is>
          <t>viên</t>
        </is>
      </c>
      <c r="F13" s="8" t="n">
        <v>0.89</v>
      </c>
      <c r="G13" s="8" t="n">
        <v>20000</v>
      </c>
      <c r="H13" s="8" t="n">
        <v>1</v>
      </c>
      <c r="I13" s="8" t="n">
        <v>17800</v>
      </c>
    </row>
    <row r="14">
      <c r="A14" s="8" t="inlineStr"/>
      <c r="B14" s="8" t="inlineStr">
        <is>
          <t>A33.0008</t>
        </is>
      </c>
      <c r="C14" s="8" t="inlineStr">
        <is>
          <t>Đồng lá</t>
        </is>
      </c>
      <c r="E14" s="8" t="inlineStr">
        <is>
          <t>kg</t>
        </is>
      </c>
      <c r="F14" s="8" t="n">
        <v>0.055</v>
      </c>
      <c r="G14" s="8" t="n">
        <v>350000</v>
      </c>
      <c r="H14" s="8" t="n">
        <v>1</v>
      </c>
      <c r="I14" s="8" t="n">
        <v>19250</v>
      </c>
    </row>
    <row r="15">
      <c r="A15" s="8" t="inlineStr"/>
      <c r="B15" s="8" t="inlineStr">
        <is>
          <t>A33.0007</t>
        </is>
      </c>
      <c r="C15" s="8" t="inlineStr">
        <is>
          <t>Gỗ nhóm 4</t>
        </is>
      </c>
      <c r="E15" s="8" t="inlineStr">
        <is>
          <t>m3</t>
        </is>
      </c>
      <c r="F15" s="8" t="n">
        <v>0.014</v>
      </c>
      <c r="G15" s="8" t="n">
        <v>2000000</v>
      </c>
      <c r="H15" s="8" t="n">
        <v>1</v>
      </c>
      <c r="I15" s="8" t="n">
        <v>28000</v>
      </c>
    </row>
    <row r="16">
      <c r="A16" s="8" t="inlineStr"/>
      <c r="B16" s="8" t="inlineStr">
        <is>
          <t>Z999</t>
        </is>
      </c>
      <c r="C16" s="8" t="inlineStr">
        <is>
          <t>Vật liệu khác</t>
        </is>
      </c>
      <c r="E16" s="8" t="inlineStr">
        <is>
          <t>%</t>
        </is>
      </c>
      <c r="F16" s="8" t="n">
        <v>5</v>
      </c>
      <c r="G16" s="8" t="n">
        <v>494285.66</v>
      </c>
      <c r="H16" s="8" t="inlineStr"/>
      <c r="I16" s="8" t="n">
        <v>24714.283</v>
      </c>
    </row>
    <row r="17">
      <c r="A17" s="8" t="inlineStr"/>
      <c r="B17" s="8" t="inlineStr"/>
      <c r="C17" s="8" t="inlineStr">
        <is>
          <t>Cộng</t>
        </is>
      </c>
      <c r="E17" s="8" t="inlineStr"/>
      <c r="F17" s="8" t="inlineStr"/>
      <c r="G17" s="8" t="inlineStr"/>
      <c r="H17" s="8" t="inlineStr"/>
      <c r="I17" s="8" t="n">
        <v>518999.943</v>
      </c>
    </row>
    <row r="18">
      <c r="A18" s="8" t="inlineStr"/>
      <c r="B18" s="8" t="inlineStr"/>
      <c r="C18" s="8" t="inlineStr">
        <is>
          <t>b) Nhân công</t>
        </is>
      </c>
      <c r="E18" s="8" t="inlineStr"/>
      <c r="F18" s="8" t="inlineStr"/>
      <c r="G18" s="8" t="inlineStr"/>
      <c r="H18" s="8" t="inlineStr"/>
      <c r="I18" s="8" t="n">
        <v>16770760</v>
      </c>
    </row>
    <row r="19">
      <c r="A19" s="8" t="inlineStr"/>
      <c r="B19" s="8" t="inlineStr">
        <is>
          <t>N4</t>
        </is>
      </c>
      <c r="C19" s="8" t="inlineStr">
        <is>
          <t>Nhân công nhóm 4</t>
        </is>
      </c>
      <c r="E19" s="8" t="inlineStr">
        <is>
          <t>công</t>
        </is>
      </c>
      <c r="F19" s="8" t="n">
        <v>36.94</v>
      </c>
      <c r="G19" s="8" t="n">
        <v>454000</v>
      </c>
      <c r="H19" s="8" t="n">
        <v>1</v>
      </c>
      <c r="I19" s="8" t="n">
        <v>16770760</v>
      </c>
    </row>
    <row r="20">
      <c r="A20" s="8" t="inlineStr"/>
      <c r="B20" s="8" t="inlineStr"/>
      <c r="C20" s="8" t="inlineStr">
        <is>
          <t>c) Máy thi công</t>
        </is>
      </c>
      <c r="E20" s="8" t="inlineStr"/>
      <c r="F20" s="8" t="inlineStr"/>
      <c r="G20" s="8" t="inlineStr"/>
      <c r="H20" s="8" t="inlineStr"/>
      <c r="I20" s="8" t="n">
        <v>995693.7417000001</v>
      </c>
    </row>
    <row r="21">
      <c r="A21" s="8" t="inlineStr"/>
      <c r="B21" s="8" t="inlineStr">
        <is>
          <t>M102.0301</t>
        </is>
      </c>
      <c r="C21" s="8" t="inlineStr">
        <is>
          <t>Cần cẩu bánh xích 5T</t>
        </is>
      </c>
      <c r="E21" s="8" t="inlineStr">
        <is>
          <t>ca</t>
        </is>
      </c>
      <c r="F21" s="8" t="n">
        <v>0.314</v>
      </c>
      <c r="G21" s="8" t="n">
        <v>2451003</v>
      </c>
      <c r="H21" s="8" t="n">
        <v>1</v>
      </c>
      <c r="I21" s="8" t="n">
        <v>769614.942</v>
      </c>
    </row>
    <row r="22">
      <c r="A22" s="8" t="inlineStr"/>
      <c r="B22" s="8" t="inlineStr">
        <is>
          <t>M112.3703</t>
        </is>
      </c>
      <c r="C22" s="8" t="inlineStr">
        <is>
          <t>Máy mài 2,7 kW</t>
        </is>
      </c>
      <c r="E22" s="8" t="inlineStr">
        <is>
          <t>ca</t>
        </is>
      </c>
      <c r="F22" s="8" t="n">
        <v>0.89</v>
      </c>
      <c r="G22" s="8" t="n">
        <v>19497</v>
      </c>
      <c r="H22" s="8" t="n">
        <v>1</v>
      </c>
      <c r="I22" s="8" t="n">
        <v>17352.33</v>
      </c>
    </row>
    <row r="23">
      <c r="A23" s="8" t="inlineStr"/>
      <c r="B23" s="8" t="inlineStr">
        <is>
          <t>M112.3901</t>
        </is>
      </c>
      <c r="C23" s="8" t="inlineStr">
        <is>
          <t>Máy hàn điện 50 kW</t>
        </is>
      </c>
      <c r="E23" s="8" t="inlineStr">
        <is>
          <t>ca</t>
        </is>
      </c>
      <c r="F23" s="8" t="n">
        <v>0.089</v>
      </c>
      <c r="G23" s="8" t="n">
        <v>719617</v>
      </c>
      <c r="H23" s="8" t="n">
        <v>1</v>
      </c>
      <c r="I23" s="8" t="n">
        <v>64045.913</v>
      </c>
    </row>
    <row r="24">
      <c r="A24" s="8" t="inlineStr"/>
      <c r="B24" s="8" t="inlineStr">
        <is>
          <t>M112.4101</t>
        </is>
      </c>
      <c r="C24" s="8" t="inlineStr">
        <is>
          <t>Máy hàn hơi 1000 l/h</t>
        </is>
      </c>
      <c r="E24" s="8" t="inlineStr">
        <is>
          <t>ca</t>
        </is>
      </c>
      <c r="F24" s="8" t="n">
        <v>0.27</v>
      </c>
      <c r="G24" s="8" t="n">
        <v>463545</v>
      </c>
      <c r="H24" s="8" t="n">
        <v>1</v>
      </c>
      <c r="I24" s="8" t="n">
        <v>125157.15</v>
      </c>
    </row>
    <row r="25">
      <c r="A25" s="8" t="inlineStr"/>
      <c r="B25" s="8" t="inlineStr">
        <is>
          <t>M999</t>
        </is>
      </c>
      <c r="C25" s="8" t="inlineStr">
        <is>
          <t>Máy khác</t>
        </is>
      </c>
      <c r="E25" s="8" t="inlineStr">
        <is>
          <t>%</t>
        </is>
      </c>
      <c r="F25" s="8" t="n">
        <v>2</v>
      </c>
      <c r="G25" s="8" t="n">
        <v>976170.3350000001</v>
      </c>
      <c r="H25" s="8" t="inlineStr"/>
      <c r="I25" s="8" t="n">
        <v>19523.4067</v>
      </c>
    </row>
    <row r="26">
      <c r="A26" s="8" t="inlineStr"/>
      <c r="B26" s="8" t="inlineStr"/>
      <c r="C26" s="8" t="inlineStr">
        <is>
          <t>Cộng</t>
        </is>
      </c>
      <c r="E26" s="8" t="inlineStr"/>
      <c r="F26" s="8" t="inlineStr"/>
      <c r="G26" s="8" t="inlineStr"/>
      <c r="H26" s="8" t="inlineStr"/>
      <c r="I26" s="8" t="n">
        <v>995693.7417000001</v>
      </c>
    </row>
    <row r="27">
      <c r="A27" s="8" t="inlineStr"/>
      <c r="B27" s="8" t="inlineStr"/>
      <c r="C27" s="8" t="inlineStr">
        <is>
          <t>Cộng chi phí trực tiếp (VL+NC+M)</t>
        </is>
      </c>
      <c r="E27" s="8" t="inlineStr">
        <is>
          <t>T</t>
        </is>
      </c>
      <c r="F27" s="8" t="inlineStr"/>
      <c r="G27" s="8" t="inlineStr"/>
      <c r="H27" s="8" t="inlineStr"/>
      <c r="I27" s="8" t="n">
        <v>18285453.6847</v>
      </c>
    </row>
    <row r="28">
      <c r="A28" s="8" t="inlineStr"/>
      <c r="B28" s="8" t="inlineStr"/>
      <c r="C28" s="8" t="inlineStr">
        <is>
          <t>CHI PHÍ GIÁN TIẾP</t>
        </is>
      </c>
      <c r="E28" s="8" t="inlineStr">
        <is>
          <t>GT</t>
        </is>
      </c>
      <c r="F28" s="8" t="inlineStr"/>
      <c r="G28" s="8" t="inlineStr"/>
      <c r="H28" s="8" t="inlineStr"/>
      <c r="I28" s="8" t="n">
        <v>1791974.4611006</v>
      </c>
    </row>
    <row r="29">
      <c r="A29" s="8" t="inlineStr"/>
      <c r="B29" s="8" t="inlineStr"/>
      <c r="C29" s="8" t="inlineStr">
        <is>
          <t>Chi phí chung (T x 7,3%)</t>
        </is>
      </c>
      <c r="E29" s="8" t="inlineStr">
        <is>
          <t>C</t>
        </is>
      </c>
      <c r="F29" s="8" t="inlineStr">
        <is>
          <t>7,3%</t>
        </is>
      </c>
      <c r="G29" s="8" t="inlineStr"/>
      <c r="H29" s="8" t="inlineStr"/>
      <c r="I29" s="8" t="n">
        <v>1334838.1189831</v>
      </c>
    </row>
    <row r="30">
      <c r="A30" s="8" t="inlineStr"/>
      <c r="B30" s="8" t="inlineStr"/>
      <c r="C30" s="8" t="inlineStr">
        <is>
          <t>Chi phí một số công việc không xác định được khối lượng từ thiết kế (T x 2,5%)</t>
        </is>
      </c>
      <c r="E30" s="8" t="inlineStr">
        <is>
          <t>TT</t>
        </is>
      </c>
      <c r="F30" s="8" t="inlineStr">
        <is>
          <t>2,5%</t>
        </is>
      </c>
      <c r="G30" s="8" t="inlineStr"/>
      <c r="H30" s="8" t="inlineStr"/>
      <c r="I30" s="8" t="n">
        <v>457136.3421175</v>
      </c>
    </row>
    <row r="31">
      <c r="A31" s="8" t="inlineStr"/>
      <c r="B31" s="8" t="inlineStr"/>
      <c r="C31" s="8" t="inlineStr">
        <is>
          <t>THU NHẬP CHỊU THUẾ TÍNH TRƯỚC (T+GT) x 5,5%</t>
        </is>
      </c>
      <c r="E31" s="8" t="inlineStr">
        <is>
          <t>TL</t>
        </is>
      </c>
      <c r="F31" s="8" t="inlineStr">
        <is>
          <t>5,5%</t>
        </is>
      </c>
      <c r="G31" s="8" t="inlineStr"/>
      <c r="H31" s="8" t="inlineStr"/>
      <c r="I31" s="8" t="n">
        <v>1104258.548019033</v>
      </c>
    </row>
    <row r="32">
      <c r="A32" s="8" t="inlineStr"/>
      <c r="B32" s="8" t="inlineStr"/>
      <c r="C32" s="8" t="inlineStr">
        <is>
          <t>Chi phí xây dựng trước thuế (T + GT + TL)</t>
        </is>
      </c>
      <c r="E32" s="8" t="inlineStr">
        <is>
          <t>Gxdtt</t>
        </is>
      </c>
      <c r="F32" s="8" t="inlineStr"/>
      <c r="G32" s="8" t="inlineStr"/>
      <c r="H32" s="8" t="inlineStr"/>
      <c r="I32" s="8" t="n">
        <v>21181686.69381963</v>
      </c>
    </row>
    <row r="33">
      <c r="A33" s="8" t="inlineStr"/>
      <c r="B33" s="8" t="inlineStr"/>
      <c r="C33" s="8" t="inlineStr">
        <is>
          <t>THUẾ GIÁ TRỊ GIA TĂNG (Gxdtt x 10%)</t>
        </is>
      </c>
      <c r="E33" s="8" t="inlineStr">
        <is>
          <t>GTGT</t>
        </is>
      </c>
      <c r="F33" s="8" t="n">
        <v>0.1</v>
      </c>
      <c r="G33" s="8" t="inlineStr"/>
      <c r="H33" s="8" t="inlineStr"/>
      <c r="I33" s="8" t="n">
        <v>2118168.669381963</v>
      </c>
    </row>
    <row r="34">
      <c r="A34" s="8" t="inlineStr"/>
      <c r="B34" s="8" t="inlineStr"/>
      <c r="C34" s="8" t="inlineStr">
        <is>
          <t>Chi phí xây dựng sau thuế (Gxdtt + GTGT)</t>
        </is>
      </c>
      <c r="E34" s="8" t="inlineStr">
        <is>
          <t>Gxdst</t>
        </is>
      </c>
      <c r="F34" s="8" t="inlineStr"/>
      <c r="G34" s="8" t="inlineStr"/>
      <c r="H34" s="8" t="inlineStr"/>
      <c r="I34" s="8" t="n">
        <v>23299855.3632016</v>
      </c>
    </row>
    <row r="35">
      <c r="A35" s="8" t="inlineStr"/>
      <c r="B35" s="8" t="inlineStr"/>
      <c r="C35" s="8" t="inlineStr">
        <is>
          <t>Chi phí nhà tạm để ở và điều hành thi công (Gxdtt x 0,9% x (1+10%))</t>
        </is>
      </c>
      <c r="E35" s="8" t="inlineStr">
        <is>
          <t>LT</t>
        </is>
      </c>
      <c r="F35" s="8" t="n">
        <v>0.008999999999999999</v>
      </c>
      <c r="G35" s="8" t="inlineStr"/>
      <c r="H35" s="8" t="inlineStr"/>
      <c r="I35" s="8" t="n">
        <v>209698.6982688143</v>
      </c>
    </row>
    <row r="36">
      <c r="A36" s="8" t="inlineStr"/>
      <c r="B36" s="8" t="inlineStr"/>
      <c r="C36" s="8" t="inlineStr">
        <is>
          <t>TỔNG CỘNG (Gxdst + LT)</t>
        </is>
      </c>
      <c r="E36" s="8" t="inlineStr">
        <is>
          <t>Gxd</t>
        </is>
      </c>
      <c r="F36" s="8" t="inlineStr"/>
      <c r="G36" s="8" t="inlineStr"/>
      <c r="H36" s="8" t="inlineStr"/>
      <c r="I36" s="8" t="n">
        <v>23509554.06147041</v>
      </c>
    </row>
    <row r="37">
      <c r="A37" s="8" t="n">
        <v>2</v>
      </c>
      <c r="B37" s="11" t="inlineStr">
        <is>
          <t>BA.12130</t>
        </is>
      </c>
      <c r="C37" s="8" t="inlineStr">
        <is>
          <t>Dàn lạnh âm trần nối ống gió, CSL: 7.1 kW</t>
        </is>
      </c>
      <c r="D37" s="12">
        <f>HYPERLINK("tt38://pl3/6", "👉 Phụ lục III - Trang 6 (Khớp nhóm BA.121)")</f>
        <v/>
      </c>
      <c r="E37" s="8" t="inlineStr">
        <is>
          <t>máy</t>
        </is>
      </c>
      <c r="F37" s="8" t="n">
        <v>1</v>
      </c>
      <c r="G37" s="8" t="inlineStr"/>
      <c r="H37" s="8" t="inlineStr"/>
      <c r="I37" s="8" t="inlineStr"/>
    </row>
    <row r="38">
      <c r="A38" s="8" t="inlineStr"/>
      <c r="B38" s="8" t="inlineStr"/>
      <c r="C38" s="8" t="inlineStr">
        <is>
          <t>a) Vật liệu</t>
        </is>
      </c>
      <c r="E38" s="8" t="inlineStr"/>
      <c r="F38" s="8" t="inlineStr"/>
      <c r="G38" s="8" t="inlineStr"/>
      <c r="H38" s="8" t="inlineStr"/>
      <c r="I38" s="8" t="n">
        <v>525000</v>
      </c>
    </row>
    <row r="39">
      <c r="A39" s="8" t="inlineStr"/>
      <c r="B39" s="8" t="inlineStr">
        <is>
          <t>A33.0009</t>
        </is>
      </c>
      <c r="C39" s="8" t="inlineStr">
        <is>
          <t>Giá đỡ máy âm trần</t>
        </is>
      </c>
      <c r="E39" s="8" t="inlineStr">
        <is>
          <t>cái</t>
        </is>
      </c>
      <c r="F39" s="8" t="n">
        <v>1</v>
      </c>
      <c r="G39" s="8" t="n">
        <v>500000</v>
      </c>
      <c r="H39" s="8" t="n">
        <v>1</v>
      </c>
      <c r="I39" s="8" t="n">
        <v>500000</v>
      </c>
    </row>
    <row r="40">
      <c r="A40" s="8" t="inlineStr"/>
      <c r="B40" s="8" t="inlineStr">
        <is>
          <t>Z999</t>
        </is>
      </c>
      <c r="C40" s="8" t="inlineStr">
        <is>
          <t>Vật liệu khác</t>
        </is>
      </c>
      <c r="E40" s="8" t="inlineStr">
        <is>
          <t>%</t>
        </is>
      </c>
      <c r="F40" s="8" t="n">
        <v>5</v>
      </c>
      <c r="G40" s="8" t="n">
        <v>500000</v>
      </c>
      <c r="H40" s="8" t="inlineStr"/>
      <c r="I40" s="8" t="n">
        <v>25000</v>
      </c>
    </row>
    <row r="41">
      <c r="A41" s="8" t="inlineStr"/>
      <c r="B41" s="8" t="inlineStr"/>
      <c r="C41" s="8" t="inlineStr">
        <is>
          <t>Cộng</t>
        </is>
      </c>
      <c r="E41" s="8" t="inlineStr"/>
      <c r="F41" s="8" t="inlineStr"/>
      <c r="G41" s="8" t="inlineStr"/>
      <c r="H41" s="8" t="inlineStr"/>
      <c r="I41" s="8" t="n">
        <v>525000</v>
      </c>
    </row>
    <row r="42">
      <c r="A42" s="8" t="inlineStr"/>
      <c r="B42" s="8" t="inlineStr"/>
      <c r="C42" s="8" t="inlineStr">
        <is>
          <t>b) Nhân công</t>
        </is>
      </c>
      <c r="E42" s="8" t="inlineStr"/>
      <c r="F42" s="8" t="inlineStr"/>
      <c r="G42" s="8" t="inlineStr"/>
      <c r="H42" s="8" t="inlineStr"/>
      <c r="I42" s="8" t="n">
        <v>559370</v>
      </c>
    </row>
    <row r="43">
      <c r="A43" s="8" t="inlineStr"/>
      <c r="B43" s="8" t="inlineStr">
        <is>
          <t>N3</t>
        </is>
      </c>
      <c r="C43" s="8" t="inlineStr">
        <is>
          <t>Nhân công nhóm 3</t>
        </is>
      </c>
      <c r="E43" s="8" t="inlineStr">
        <is>
          <t>công</t>
        </is>
      </c>
      <c r="F43" s="8" t="n">
        <v>1.31</v>
      </c>
      <c r="G43" s="8" t="n">
        <v>427000</v>
      </c>
      <c r="H43" s="8" t="n">
        <v>1</v>
      </c>
      <c r="I43" s="8" t="n">
        <v>559370</v>
      </c>
    </row>
    <row r="44">
      <c r="A44" s="8" t="inlineStr"/>
      <c r="B44" s="8" t="inlineStr"/>
      <c r="C44" s="8" t="inlineStr">
        <is>
          <t>c) Máy thi công</t>
        </is>
      </c>
      <c r="E44" s="8" t="inlineStr"/>
      <c r="F44" s="8" t="inlineStr"/>
      <c r="G44" s="8" t="inlineStr"/>
      <c r="H44" s="8" t="inlineStr"/>
      <c r="I44" s="8" t="n">
        <v>5456.88</v>
      </c>
    </row>
    <row r="45">
      <c r="A45" s="8" t="inlineStr"/>
      <c r="B45" s="8" t="inlineStr">
        <is>
          <t>M112.1701</t>
        </is>
      </c>
      <c r="C45" s="8" t="inlineStr">
        <is>
          <t>Máy khoan bê tông cầm tay 0,62 kW</t>
        </is>
      </c>
      <c r="E45" s="8" t="inlineStr">
        <is>
          <t>ca</t>
        </is>
      </c>
      <c r="F45" s="8" t="n">
        <v>0.36</v>
      </c>
      <c r="G45" s="8" t="n">
        <v>15158</v>
      </c>
      <c r="H45" s="8" t="n">
        <v>1</v>
      </c>
      <c r="I45" s="8" t="n">
        <v>5456.88</v>
      </c>
    </row>
    <row r="46">
      <c r="A46" s="8" t="inlineStr"/>
      <c r="B46" s="8" t="inlineStr"/>
      <c r="C46" s="8" t="inlineStr">
        <is>
          <t>Cộng chi phí trực tiếp (VL+NC+M)</t>
        </is>
      </c>
      <c r="E46" s="8" t="inlineStr">
        <is>
          <t>T</t>
        </is>
      </c>
      <c r="F46" s="8" t="inlineStr"/>
      <c r="G46" s="8" t="inlineStr"/>
      <c r="H46" s="8" t="inlineStr"/>
      <c r="I46" s="8" t="n">
        <v>1089826.88</v>
      </c>
    </row>
    <row r="47">
      <c r="A47" s="8" t="inlineStr"/>
      <c r="B47" s="8" t="inlineStr"/>
      <c r="C47" s="8" t="inlineStr">
        <is>
          <t>CHI PHÍ GIÁN TIẾP</t>
        </is>
      </c>
      <c r="E47" s="8" t="inlineStr">
        <is>
          <t>GT</t>
        </is>
      </c>
      <c r="F47" s="8" t="inlineStr"/>
      <c r="G47" s="8" t="inlineStr"/>
      <c r="H47" s="8" t="inlineStr"/>
      <c r="I47" s="8" t="n">
        <v>106803.03424</v>
      </c>
    </row>
    <row r="48">
      <c r="A48" s="8" t="inlineStr"/>
      <c r="B48" s="8" t="inlineStr"/>
      <c r="C48" s="8" t="inlineStr">
        <is>
          <t>Chi phí chung (T x 7,3%)</t>
        </is>
      </c>
      <c r="E48" s="8" t="inlineStr">
        <is>
          <t>C</t>
        </is>
      </c>
      <c r="F48" s="8" t="inlineStr">
        <is>
          <t>7,3%</t>
        </is>
      </c>
      <c r="G48" s="8" t="inlineStr"/>
      <c r="H48" s="8" t="inlineStr"/>
      <c r="I48" s="8" t="n">
        <v>79557.36223999999</v>
      </c>
    </row>
    <row r="49">
      <c r="A49" s="8" t="inlineStr"/>
      <c r="B49" s="8" t="inlineStr"/>
      <c r="C49" s="8" t="inlineStr">
        <is>
          <t>Chi phí một số công việc không xác định được khối lượng từ thiết kế (T x 2,5%)</t>
        </is>
      </c>
      <c r="E49" s="8" t="inlineStr">
        <is>
          <t>TT</t>
        </is>
      </c>
      <c r="F49" s="8" t="inlineStr">
        <is>
          <t>2,5%</t>
        </is>
      </c>
      <c r="G49" s="8" t="inlineStr"/>
      <c r="H49" s="8" t="inlineStr"/>
      <c r="I49" s="8" t="n">
        <v>27245.672</v>
      </c>
    </row>
    <row r="50">
      <c r="A50" s="8" t="inlineStr"/>
      <c r="B50" s="8" t="inlineStr"/>
      <c r="C50" s="8" t="inlineStr">
        <is>
          <t>THU NHẬP CHỊU THUẾ TÍNH TRƯỚC (T+GT) x 5,5%</t>
        </is>
      </c>
      <c r="E50" s="8" t="inlineStr">
        <is>
          <t>TL</t>
        </is>
      </c>
      <c r="F50" s="8" t="inlineStr">
        <is>
          <t>5,5%</t>
        </is>
      </c>
      <c r="G50" s="8" t="inlineStr"/>
      <c r="H50" s="8" t="inlineStr"/>
      <c r="I50" s="8" t="n">
        <v>65814.64528319999</v>
      </c>
    </row>
    <row r="51">
      <c r="A51" s="8" t="inlineStr"/>
      <c r="B51" s="8" t="inlineStr"/>
      <c r="C51" s="8" t="inlineStr">
        <is>
          <t>Chi phí xây dựng trước thuế (T + GT + TL)</t>
        </is>
      </c>
      <c r="E51" s="8" t="inlineStr">
        <is>
          <t>Gxdtt</t>
        </is>
      </c>
      <c r="F51" s="8" t="inlineStr"/>
      <c r="G51" s="8" t="inlineStr"/>
      <c r="H51" s="8" t="inlineStr"/>
      <c r="I51" s="8" t="n">
        <v>1262444.5595232</v>
      </c>
    </row>
    <row r="52">
      <c r="A52" s="8" t="inlineStr"/>
      <c r="B52" s="8" t="inlineStr"/>
      <c r="C52" s="8" t="inlineStr">
        <is>
          <t>THUẾ GIÁ TRỊ GIA TĂNG (Gxdtt x 10%)</t>
        </is>
      </c>
      <c r="E52" s="8" t="inlineStr">
        <is>
          <t>GTGT</t>
        </is>
      </c>
      <c r="F52" s="8" t="n">
        <v>0.1</v>
      </c>
      <c r="G52" s="8" t="inlineStr"/>
      <c r="H52" s="8" t="inlineStr"/>
      <c r="I52" s="8" t="n">
        <v>126244.45595232</v>
      </c>
    </row>
    <row r="53">
      <c r="A53" s="8" t="inlineStr"/>
      <c r="B53" s="8" t="inlineStr"/>
      <c r="C53" s="8" t="inlineStr">
        <is>
          <t>Chi phí xây dựng sau thuế (Gxdtt + GTGT)</t>
        </is>
      </c>
      <c r="E53" s="8" t="inlineStr">
        <is>
          <t>Gxdst</t>
        </is>
      </c>
      <c r="F53" s="8" t="inlineStr"/>
      <c r="G53" s="8" t="inlineStr"/>
      <c r="H53" s="8" t="inlineStr"/>
      <c r="I53" s="8" t="n">
        <v>1388689.01547552</v>
      </c>
    </row>
    <row r="54">
      <c r="A54" s="8" t="inlineStr"/>
      <c r="B54" s="8" t="inlineStr"/>
      <c r="C54" s="8" t="inlineStr">
        <is>
          <t>Chi phí nhà tạm để ở và điều hành thi công (Gxdtt x 0,9% x (1+10%))</t>
        </is>
      </c>
      <c r="E54" s="8" t="inlineStr">
        <is>
          <t>LT</t>
        </is>
      </c>
      <c r="F54" s="8" t="n">
        <v>0.008999999999999999</v>
      </c>
      <c r="G54" s="8" t="inlineStr"/>
      <c r="H54" s="8" t="inlineStr"/>
      <c r="I54" s="8" t="n">
        <v>12498.20113927968</v>
      </c>
    </row>
    <row r="55">
      <c r="A55" s="8" t="inlineStr"/>
      <c r="B55" s="8" t="inlineStr"/>
      <c r="C55" s="8" t="inlineStr">
        <is>
          <t>TỔNG CỘNG (Gxdst + LT)</t>
        </is>
      </c>
      <c r="E55" s="8" t="inlineStr">
        <is>
          <t>Gxd</t>
        </is>
      </c>
      <c r="F55" s="8" t="inlineStr"/>
      <c r="G55" s="8" t="inlineStr"/>
      <c r="H55" s="8" t="inlineStr"/>
      <c r="I55" s="8" t="n">
        <v>1401187.2166148</v>
      </c>
    </row>
    <row r="56">
      <c r="A56" s="8" t="n">
        <v>3</v>
      </c>
      <c r="B56" s="11" t="inlineStr">
        <is>
          <t>BA.12130</t>
        </is>
      </c>
      <c r="C56" s="8" t="inlineStr">
        <is>
          <t>Dàn lạnh cassette, CSL: 9.0 kW</t>
        </is>
      </c>
      <c r="D56" s="12">
        <f>HYPERLINK("tt38://pl3/6", "👉 Phụ lục III - Trang 6 (Khớp nhóm BA.121)")</f>
        <v/>
      </c>
      <c r="E56" s="8" t="inlineStr">
        <is>
          <t>máy</t>
        </is>
      </c>
      <c r="F56" s="8" t="n">
        <v>1</v>
      </c>
      <c r="G56" s="8" t="inlineStr"/>
      <c r="H56" s="8" t="inlineStr"/>
      <c r="I56" s="8" t="inlineStr"/>
    </row>
    <row r="57">
      <c r="A57" s="8" t="inlineStr"/>
      <c r="B57" s="8" t="inlineStr"/>
      <c r="C57" s="8" t="inlineStr">
        <is>
          <t>a) Vật liệu</t>
        </is>
      </c>
      <c r="E57" s="8" t="inlineStr"/>
      <c r="F57" s="8" t="inlineStr"/>
      <c r="G57" s="8" t="inlineStr"/>
      <c r="H57" s="8" t="inlineStr"/>
      <c r="I57" s="8" t="n">
        <v>525000</v>
      </c>
    </row>
    <row r="58">
      <c r="A58" s="8" t="inlineStr"/>
      <c r="B58" s="8" t="inlineStr">
        <is>
          <t>A33.0009</t>
        </is>
      </c>
      <c r="C58" s="8" t="inlineStr">
        <is>
          <t>Giá đỡ máy cassettle</t>
        </is>
      </c>
      <c r="E58" s="8" t="inlineStr">
        <is>
          <t>cái</t>
        </is>
      </c>
      <c r="F58" s="8" t="n">
        <v>1</v>
      </c>
      <c r="G58" s="8" t="n">
        <v>500000</v>
      </c>
      <c r="H58" s="8" t="n">
        <v>1</v>
      </c>
      <c r="I58" s="8" t="n">
        <v>500000</v>
      </c>
    </row>
    <row r="59">
      <c r="A59" s="8" t="inlineStr"/>
      <c r="B59" s="8" t="inlineStr">
        <is>
          <t>Z999</t>
        </is>
      </c>
      <c r="C59" s="8" t="inlineStr">
        <is>
          <t>Vật liệu khác</t>
        </is>
      </c>
      <c r="E59" s="8" t="inlineStr">
        <is>
          <t>%</t>
        </is>
      </c>
      <c r="F59" s="8" t="n">
        <v>5</v>
      </c>
      <c r="G59" s="8" t="n">
        <v>500000</v>
      </c>
      <c r="H59" s="8" t="inlineStr"/>
      <c r="I59" s="8" t="n">
        <v>25000</v>
      </c>
    </row>
    <row r="60">
      <c r="A60" s="8" t="inlineStr"/>
      <c r="B60" s="8" t="inlineStr"/>
      <c r="C60" s="8" t="inlineStr">
        <is>
          <t>Cộng</t>
        </is>
      </c>
      <c r="E60" s="8" t="inlineStr"/>
      <c r="F60" s="8" t="inlineStr"/>
      <c r="G60" s="8" t="inlineStr"/>
      <c r="H60" s="8" t="inlineStr"/>
      <c r="I60" s="8" t="n">
        <v>525000</v>
      </c>
    </row>
    <row r="61">
      <c r="A61" s="8" t="inlineStr"/>
      <c r="B61" s="8" t="inlineStr"/>
      <c r="C61" s="8" t="inlineStr">
        <is>
          <t>b) Nhân công</t>
        </is>
      </c>
      <c r="E61" s="8" t="inlineStr"/>
      <c r="F61" s="8" t="inlineStr"/>
      <c r="G61" s="8" t="inlineStr"/>
      <c r="H61" s="8" t="inlineStr"/>
      <c r="I61" s="8" t="n">
        <v>559370</v>
      </c>
    </row>
    <row r="62">
      <c r="A62" s="8" t="inlineStr"/>
      <c r="B62" s="8" t="inlineStr">
        <is>
          <t>N3</t>
        </is>
      </c>
      <c r="C62" s="8" t="inlineStr">
        <is>
          <t>Nhân công nhóm 3</t>
        </is>
      </c>
      <c r="E62" s="8" t="inlineStr">
        <is>
          <t>công</t>
        </is>
      </c>
      <c r="F62" s="8" t="n">
        <v>1.31</v>
      </c>
      <c r="G62" s="8" t="n">
        <v>427000</v>
      </c>
      <c r="H62" s="8" t="n">
        <v>1</v>
      </c>
      <c r="I62" s="8" t="n">
        <v>559370</v>
      </c>
    </row>
    <row r="63">
      <c r="A63" s="8" t="inlineStr"/>
      <c r="B63" s="8" t="inlineStr"/>
      <c r="C63" s="8" t="inlineStr">
        <is>
          <t>c) Máy thi công</t>
        </is>
      </c>
      <c r="E63" s="8" t="inlineStr"/>
      <c r="F63" s="8" t="inlineStr"/>
      <c r="G63" s="8" t="inlineStr"/>
      <c r="H63" s="8" t="inlineStr"/>
      <c r="I63" s="8" t="n">
        <v>5456.88</v>
      </c>
    </row>
    <row r="64">
      <c r="A64" s="8" t="inlineStr"/>
      <c r="B64" s="8" t="inlineStr">
        <is>
          <t>M112.1701</t>
        </is>
      </c>
      <c r="C64" s="8" t="inlineStr">
        <is>
          <t>Máy khoan bê tông cầm tay 0,62 kW</t>
        </is>
      </c>
      <c r="E64" s="8" t="inlineStr">
        <is>
          <t>ca</t>
        </is>
      </c>
      <c r="F64" s="8" t="n">
        <v>0.36</v>
      </c>
      <c r="G64" s="8" t="n">
        <v>15158</v>
      </c>
      <c r="H64" s="8" t="n">
        <v>1</v>
      </c>
      <c r="I64" s="8" t="n">
        <v>5456.88</v>
      </c>
    </row>
    <row r="65">
      <c r="A65" s="8" t="inlineStr"/>
      <c r="B65" s="8" t="inlineStr"/>
      <c r="C65" s="8" t="inlineStr">
        <is>
          <t>Cộng chi phí trực tiếp (VL+NC+M)</t>
        </is>
      </c>
      <c r="E65" s="8" t="inlineStr">
        <is>
          <t>T</t>
        </is>
      </c>
      <c r="F65" s="8" t="inlineStr"/>
      <c r="G65" s="8" t="inlineStr"/>
      <c r="H65" s="8" t="inlineStr"/>
      <c r="I65" s="8" t="n">
        <v>1089826.88</v>
      </c>
    </row>
    <row r="66">
      <c r="A66" s="8" t="inlineStr"/>
      <c r="B66" s="8" t="inlineStr"/>
      <c r="C66" s="8" t="inlineStr">
        <is>
          <t>CHI PHÍ GIÁN TIẾP</t>
        </is>
      </c>
      <c r="E66" s="8" t="inlineStr">
        <is>
          <t>GT</t>
        </is>
      </c>
      <c r="F66" s="8" t="inlineStr"/>
      <c r="G66" s="8" t="inlineStr"/>
      <c r="H66" s="8" t="inlineStr"/>
      <c r="I66" s="8" t="n">
        <v>106803.03424</v>
      </c>
    </row>
    <row r="67">
      <c r="A67" s="8" t="inlineStr"/>
      <c r="B67" s="8" t="inlineStr"/>
      <c r="C67" s="8" t="inlineStr">
        <is>
          <t>Chi phí chung (T x 7,3%)</t>
        </is>
      </c>
      <c r="E67" s="8" t="inlineStr">
        <is>
          <t>C</t>
        </is>
      </c>
      <c r="F67" s="8" t="inlineStr">
        <is>
          <t>7,3%</t>
        </is>
      </c>
      <c r="G67" s="8" t="inlineStr"/>
      <c r="H67" s="8" t="inlineStr"/>
      <c r="I67" s="8" t="n">
        <v>79557.36223999999</v>
      </c>
    </row>
    <row r="68">
      <c r="A68" s="8" t="inlineStr"/>
      <c r="B68" s="8" t="inlineStr"/>
      <c r="C68" s="8" t="inlineStr">
        <is>
          <t>Chi phí một số công việc không xác định được khối lượng từ thiết kế (T x 2,5%)</t>
        </is>
      </c>
      <c r="E68" s="8" t="inlineStr">
        <is>
          <t>TT</t>
        </is>
      </c>
      <c r="F68" s="8" t="inlineStr">
        <is>
          <t>2,5%</t>
        </is>
      </c>
      <c r="G68" s="8" t="inlineStr"/>
      <c r="H68" s="8" t="inlineStr"/>
      <c r="I68" s="8" t="n">
        <v>27245.672</v>
      </c>
    </row>
    <row r="69">
      <c r="A69" s="8" t="inlineStr"/>
      <c r="B69" s="8" t="inlineStr"/>
      <c r="C69" s="8" t="inlineStr">
        <is>
          <t>THU NHẬP CHỊU THUẾ TÍNH TRƯỚC (T+GT) x 5,5%</t>
        </is>
      </c>
      <c r="E69" s="8" t="inlineStr">
        <is>
          <t>TL</t>
        </is>
      </c>
      <c r="F69" s="8" t="inlineStr">
        <is>
          <t>5,5%</t>
        </is>
      </c>
      <c r="G69" s="8" t="inlineStr"/>
      <c r="H69" s="8" t="inlineStr"/>
      <c r="I69" s="8" t="n">
        <v>65814.64528319999</v>
      </c>
    </row>
    <row r="70">
      <c r="A70" s="8" t="inlineStr"/>
      <c r="B70" s="8" t="inlineStr"/>
      <c r="C70" s="8" t="inlineStr">
        <is>
          <t>Chi phí xây dựng trước thuế (T + GT + TL)</t>
        </is>
      </c>
      <c r="E70" s="8" t="inlineStr">
        <is>
          <t>Gxdtt</t>
        </is>
      </c>
      <c r="F70" s="8" t="inlineStr"/>
      <c r="G70" s="8" t="inlineStr"/>
      <c r="H70" s="8" t="inlineStr"/>
      <c r="I70" s="8" t="n">
        <v>1262444.5595232</v>
      </c>
    </row>
    <row r="71">
      <c r="A71" s="8" t="inlineStr"/>
      <c r="B71" s="8" t="inlineStr"/>
      <c r="C71" s="8" t="inlineStr">
        <is>
          <t>THUẾ GIÁ TRỊ GIA TĂNG (Gxdtt x 10%)</t>
        </is>
      </c>
      <c r="E71" s="8" t="inlineStr">
        <is>
          <t>GTGT</t>
        </is>
      </c>
      <c r="F71" s="8" t="n">
        <v>0.1</v>
      </c>
      <c r="G71" s="8" t="inlineStr"/>
      <c r="H71" s="8" t="inlineStr"/>
      <c r="I71" s="8" t="n">
        <v>126244.45595232</v>
      </c>
    </row>
    <row r="72">
      <c r="A72" s="8" t="inlineStr"/>
      <c r="B72" s="8" t="inlineStr"/>
      <c r="C72" s="8" t="inlineStr">
        <is>
          <t>Chi phí xây dựng sau thuế (Gxdtt + GTGT)</t>
        </is>
      </c>
      <c r="E72" s="8" t="inlineStr">
        <is>
          <t>Gxdst</t>
        </is>
      </c>
      <c r="F72" s="8" t="inlineStr"/>
      <c r="G72" s="8" t="inlineStr"/>
      <c r="H72" s="8" t="inlineStr"/>
      <c r="I72" s="8" t="n">
        <v>1388689.01547552</v>
      </c>
    </row>
    <row r="73">
      <c r="A73" s="8" t="inlineStr"/>
      <c r="B73" s="8" t="inlineStr"/>
      <c r="C73" s="8" t="inlineStr">
        <is>
          <t>Chi phí nhà tạm để ở và điều hành thi công (Gxdtt x 0,9% x (1+10%))</t>
        </is>
      </c>
      <c r="E73" s="8" t="inlineStr">
        <is>
          <t>LT</t>
        </is>
      </c>
      <c r="F73" s="8" t="n">
        <v>0.008999999999999999</v>
      </c>
      <c r="G73" s="8" t="inlineStr"/>
      <c r="H73" s="8" t="inlineStr"/>
      <c r="I73" s="8" t="n">
        <v>12498.20113927968</v>
      </c>
    </row>
    <row r="74">
      <c r="A74" s="8" t="inlineStr"/>
      <c r="B74" s="8" t="inlineStr"/>
      <c r="C74" s="8" t="inlineStr">
        <is>
          <t>TỔNG CỘNG (Gxdst + LT)</t>
        </is>
      </c>
      <c r="E74" s="8" t="inlineStr">
        <is>
          <t>Gxd</t>
        </is>
      </c>
      <c r="F74" s="8" t="inlineStr"/>
      <c r="G74" s="8" t="inlineStr"/>
      <c r="H74" s="8" t="inlineStr"/>
      <c r="I74" s="8" t="n">
        <v>1401187.2166148</v>
      </c>
    </row>
    <row r="75">
      <c r="A75" s="8" t="n">
        <v>4</v>
      </c>
      <c r="B75" s="11" t="inlineStr">
        <is>
          <t>BA.12130</t>
        </is>
      </c>
      <c r="C75" s="8" t="inlineStr">
        <is>
          <t>Dàn lạnh cassette, CSL: 11.2 kW</t>
        </is>
      </c>
      <c r="D75" s="12">
        <f>HYPERLINK("tt38://pl3/6", "👉 Phụ lục III - Trang 6 (Khớp nhóm BA.121)")</f>
        <v/>
      </c>
      <c r="E75" s="8" t="inlineStr">
        <is>
          <t>máy</t>
        </is>
      </c>
      <c r="F75" s="8" t="n">
        <v>1</v>
      </c>
      <c r="G75" s="8" t="inlineStr"/>
      <c r="H75" s="8" t="inlineStr"/>
      <c r="I75" s="8" t="inlineStr"/>
    </row>
    <row r="76">
      <c r="A76" s="8" t="inlineStr"/>
      <c r="B76" s="8" t="inlineStr"/>
      <c r="C76" s="8" t="inlineStr">
        <is>
          <t>a) Vật liệu</t>
        </is>
      </c>
      <c r="E76" s="8" t="inlineStr"/>
      <c r="F76" s="8" t="inlineStr"/>
      <c r="G76" s="8" t="inlineStr"/>
      <c r="H76" s="8" t="inlineStr"/>
      <c r="I76" s="8" t="n">
        <v>525000</v>
      </c>
    </row>
    <row r="77">
      <c r="A77" s="8" t="inlineStr"/>
      <c r="B77" s="8" t="inlineStr">
        <is>
          <t>A33.0009</t>
        </is>
      </c>
      <c r="C77" s="8" t="inlineStr">
        <is>
          <t>Giá đỡ máy cassettle</t>
        </is>
      </c>
      <c r="E77" s="8" t="inlineStr">
        <is>
          <t>cái</t>
        </is>
      </c>
      <c r="F77" s="8" t="n">
        <v>1</v>
      </c>
      <c r="G77" s="8" t="n">
        <v>500000</v>
      </c>
      <c r="H77" s="8" t="n">
        <v>1</v>
      </c>
      <c r="I77" s="8" t="n">
        <v>500000</v>
      </c>
    </row>
    <row r="78">
      <c r="A78" s="8" t="inlineStr"/>
      <c r="B78" s="8" t="inlineStr">
        <is>
          <t>Z999</t>
        </is>
      </c>
      <c r="C78" s="8" t="inlineStr">
        <is>
          <t>Vật liệu khác</t>
        </is>
      </c>
      <c r="E78" s="8" t="inlineStr">
        <is>
          <t>%</t>
        </is>
      </c>
      <c r="F78" s="8" t="n">
        <v>5</v>
      </c>
      <c r="G78" s="8" t="n">
        <v>500000</v>
      </c>
      <c r="H78" s="8" t="inlineStr"/>
      <c r="I78" s="8" t="n">
        <v>25000</v>
      </c>
    </row>
    <row r="79">
      <c r="A79" s="8" t="inlineStr"/>
      <c r="B79" s="8" t="inlineStr"/>
      <c r="C79" s="8" t="inlineStr">
        <is>
          <t>Cộng</t>
        </is>
      </c>
      <c r="E79" s="8" t="inlineStr"/>
      <c r="F79" s="8" t="inlineStr"/>
      <c r="G79" s="8" t="inlineStr"/>
      <c r="H79" s="8" t="inlineStr"/>
      <c r="I79" s="8" t="n">
        <v>525000</v>
      </c>
    </row>
    <row r="80">
      <c r="A80" s="8" t="inlineStr"/>
      <c r="B80" s="8" t="inlineStr"/>
      <c r="C80" s="8" t="inlineStr">
        <is>
          <t>b) Nhân công</t>
        </is>
      </c>
      <c r="E80" s="8" t="inlineStr"/>
      <c r="F80" s="8" t="inlineStr"/>
      <c r="G80" s="8" t="inlineStr"/>
      <c r="H80" s="8" t="inlineStr"/>
      <c r="I80" s="8" t="n">
        <v>559370</v>
      </c>
    </row>
    <row r="81">
      <c r="A81" s="8" t="inlineStr"/>
      <c r="B81" s="8" t="inlineStr">
        <is>
          <t>N3</t>
        </is>
      </c>
      <c r="C81" s="8" t="inlineStr">
        <is>
          <t>Nhân công nhóm 3</t>
        </is>
      </c>
      <c r="E81" s="8" t="inlineStr">
        <is>
          <t>công</t>
        </is>
      </c>
      <c r="F81" s="8" t="n">
        <v>1.31</v>
      </c>
      <c r="G81" s="8" t="n">
        <v>427000</v>
      </c>
      <c r="H81" s="8" t="n">
        <v>1</v>
      </c>
      <c r="I81" s="8" t="n">
        <v>559370</v>
      </c>
    </row>
    <row r="82">
      <c r="A82" s="8" t="inlineStr"/>
      <c r="B82" s="8" t="inlineStr"/>
      <c r="C82" s="8" t="inlineStr">
        <is>
          <t>c) Máy thi công</t>
        </is>
      </c>
      <c r="E82" s="8" t="inlineStr"/>
      <c r="F82" s="8" t="inlineStr"/>
      <c r="G82" s="8" t="inlineStr"/>
      <c r="H82" s="8" t="inlineStr"/>
      <c r="I82" s="8" t="n">
        <v>5456.88</v>
      </c>
    </row>
    <row r="83">
      <c r="A83" s="8" t="inlineStr"/>
      <c r="B83" s="8" t="inlineStr">
        <is>
          <t>M112.1701</t>
        </is>
      </c>
      <c r="C83" s="8" t="inlineStr">
        <is>
          <t>Máy khoan bê tông cầm tay 0,62 kW</t>
        </is>
      </c>
      <c r="E83" s="8" t="inlineStr">
        <is>
          <t>ca</t>
        </is>
      </c>
      <c r="F83" s="8" t="n">
        <v>0.36</v>
      </c>
      <c r="G83" s="8" t="n">
        <v>15158</v>
      </c>
      <c r="H83" s="8" t="n">
        <v>1</v>
      </c>
      <c r="I83" s="8" t="n">
        <v>5456.88</v>
      </c>
    </row>
    <row r="84">
      <c r="A84" s="8" t="inlineStr"/>
      <c r="B84" s="8" t="inlineStr"/>
      <c r="C84" s="8" t="inlineStr">
        <is>
          <t>Cộng chi phí trực tiếp (VL+NC+M)</t>
        </is>
      </c>
      <c r="E84" s="8" t="inlineStr">
        <is>
          <t>T</t>
        </is>
      </c>
      <c r="F84" s="8" t="inlineStr"/>
      <c r="G84" s="8" t="inlineStr"/>
      <c r="H84" s="8" t="inlineStr"/>
      <c r="I84" s="8" t="n">
        <v>1089826.88</v>
      </c>
    </row>
    <row r="85">
      <c r="A85" s="8" t="inlineStr"/>
      <c r="B85" s="8" t="inlineStr"/>
      <c r="C85" s="8" t="inlineStr">
        <is>
          <t>CHI PHÍ GIÁN TIẾP</t>
        </is>
      </c>
      <c r="E85" s="8" t="inlineStr">
        <is>
          <t>GT</t>
        </is>
      </c>
      <c r="F85" s="8" t="inlineStr"/>
      <c r="G85" s="8" t="inlineStr"/>
      <c r="H85" s="8" t="inlineStr"/>
      <c r="I85" s="8" t="n">
        <v>106803.03424</v>
      </c>
    </row>
    <row r="86">
      <c r="A86" s="8" t="inlineStr"/>
      <c r="B86" s="8" t="inlineStr"/>
      <c r="C86" s="8" t="inlineStr">
        <is>
          <t>Chi phí chung (T x 7,3%)</t>
        </is>
      </c>
      <c r="E86" s="8" t="inlineStr">
        <is>
          <t>C</t>
        </is>
      </c>
      <c r="F86" s="8" t="inlineStr">
        <is>
          <t>7,3%</t>
        </is>
      </c>
      <c r="G86" s="8" t="inlineStr"/>
      <c r="H86" s="8" t="inlineStr"/>
      <c r="I86" s="8" t="n">
        <v>79557.36223999999</v>
      </c>
    </row>
    <row r="87">
      <c r="A87" s="8" t="inlineStr"/>
      <c r="B87" s="8" t="inlineStr"/>
      <c r="C87" s="8" t="inlineStr">
        <is>
          <t>Chi phí một số công việc không xác định được khối lượng từ thiết kế (T x 2,5%)</t>
        </is>
      </c>
      <c r="E87" s="8" t="inlineStr">
        <is>
          <t>TT</t>
        </is>
      </c>
      <c r="F87" s="8" t="inlineStr">
        <is>
          <t>2,5%</t>
        </is>
      </c>
      <c r="G87" s="8" t="inlineStr"/>
      <c r="H87" s="8" t="inlineStr"/>
      <c r="I87" s="8" t="n">
        <v>27245.672</v>
      </c>
    </row>
    <row r="88">
      <c r="A88" s="8" t="inlineStr"/>
      <c r="B88" s="8" t="inlineStr"/>
      <c r="C88" s="8" t="inlineStr">
        <is>
          <t>THU NHẬP CHỊU THUẾ TÍNH TRƯỚC (T+GT) x 5,5%</t>
        </is>
      </c>
      <c r="E88" s="8" t="inlineStr">
        <is>
          <t>TL</t>
        </is>
      </c>
      <c r="F88" s="8" t="inlineStr">
        <is>
          <t>5,5%</t>
        </is>
      </c>
      <c r="G88" s="8" t="inlineStr"/>
      <c r="H88" s="8" t="inlineStr"/>
      <c r="I88" s="8" t="n">
        <v>65814.64528319999</v>
      </c>
    </row>
    <row r="89">
      <c r="A89" s="8" t="inlineStr"/>
      <c r="B89" s="8" t="inlineStr"/>
      <c r="C89" s="8" t="inlineStr">
        <is>
          <t>Chi phí xây dựng trước thuế (T + GT + TL)</t>
        </is>
      </c>
      <c r="E89" s="8" t="inlineStr">
        <is>
          <t>Gxdtt</t>
        </is>
      </c>
      <c r="F89" s="8" t="inlineStr"/>
      <c r="G89" s="8" t="inlineStr"/>
      <c r="H89" s="8" t="inlineStr"/>
      <c r="I89" s="8" t="n">
        <v>1262444.5595232</v>
      </c>
    </row>
    <row r="90">
      <c r="A90" s="8" t="inlineStr"/>
      <c r="B90" s="8" t="inlineStr"/>
      <c r="C90" s="8" t="inlineStr">
        <is>
          <t>THUẾ GIÁ TRỊ GIA TĂNG (Gxdtt x 10%)</t>
        </is>
      </c>
      <c r="E90" s="8" t="inlineStr">
        <is>
          <t>GTGT</t>
        </is>
      </c>
      <c r="F90" s="8" t="n">
        <v>0.1</v>
      </c>
      <c r="G90" s="8" t="inlineStr"/>
      <c r="H90" s="8" t="inlineStr"/>
      <c r="I90" s="8" t="n">
        <v>126244.45595232</v>
      </c>
    </row>
    <row r="91">
      <c r="A91" s="8" t="inlineStr"/>
      <c r="B91" s="8" t="inlineStr"/>
      <c r="C91" s="8" t="inlineStr">
        <is>
          <t>Chi phí xây dựng sau thuế (Gxdtt + GTGT)</t>
        </is>
      </c>
      <c r="E91" s="8" t="inlineStr">
        <is>
          <t>Gxdst</t>
        </is>
      </c>
      <c r="F91" s="8" t="inlineStr"/>
      <c r="G91" s="8" t="inlineStr"/>
      <c r="H91" s="8" t="inlineStr"/>
      <c r="I91" s="8" t="n">
        <v>1388689.01547552</v>
      </c>
    </row>
    <row r="92">
      <c r="A92" s="8" t="inlineStr"/>
      <c r="B92" s="8" t="inlineStr"/>
      <c r="C92" s="8" t="inlineStr">
        <is>
          <t>Chi phí nhà tạm để ở và điều hành thi công (Gxdtt x 0,9% x (1+10%))</t>
        </is>
      </c>
      <c r="E92" s="8" t="inlineStr">
        <is>
          <t>LT</t>
        </is>
      </c>
      <c r="F92" s="8" t="n">
        <v>0.008999999999999999</v>
      </c>
      <c r="G92" s="8" t="inlineStr"/>
      <c r="H92" s="8" t="inlineStr"/>
      <c r="I92" s="8" t="n">
        <v>12498.20113927968</v>
      </c>
    </row>
    <row r="93">
      <c r="A93" s="8" t="inlineStr"/>
      <c r="B93" s="8" t="inlineStr"/>
      <c r="C93" s="8" t="inlineStr">
        <is>
          <t>TỔNG CỘNG (Gxdst + LT)</t>
        </is>
      </c>
      <c r="E93" s="8" t="inlineStr">
        <is>
          <t>Gxd</t>
        </is>
      </c>
      <c r="F93" s="8" t="inlineStr"/>
      <c r="G93" s="8" t="inlineStr"/>
      <c r="H93" s="8" t="inlineStr"/>
      <c r="I93" s="8" t="n">
        <v>1401187.2166148</v>
      </c>
    </row>
    <row r="94">
      <c r="A94" s="8" t="n">
        <v>5</v>
      </c>
      <c r="B94" s="11" t="inlineStr">
        <is>
          <t>BA.12130</t>
        </is>
      </c>
      <c r="C94" s="8" t="inlineStr">
        <is>
          <t>Dàn lạnh cassette, CSL: 14.0 kW</t>
        </is>
      </c>
      <c r="D94" s="12">
        <f>HYPERLINK("tt38://pl3/6", "👉 Phụ lục III - Trang 6 (Khớp nhóm BA.121)")</f>
        <v/>
      </c>
      <c r="E94" s="8" t="inlineStr">
        <is>
          <t>máy</t>
        </is>
      </c>
      <c r="F94" s="8" t="n">
        <v>1</v>
      </c>
      <c r="G94" s="8" t="inlineStr"/>
      <c r="H94" s="8" t="inlineStr"/>
      <c r="I94" s="8" t="inlineStr"/>
    </row>
    <row r="95">
      <c r="A95" s="8" t="inlineStr"/>
      <c r="B95" s="8" t="inlineStr"/>
      <c r="C95" s="8" t="inlineStr">
        <is>
          <t>a) Vật liệu</t>
        </is>
      </c>
      <c r="E95" s="8" t="inlineStr"/>
      <c r="F95" s="8" t="inlineStr"/>
      <c r="G95" s="8" t="inlineStr"/>
      <c r="H95" s="8" t="inlineStr"/>
      <c r="I95" s="8" t="n">
        <v>525000</v>
      </c>
    </row>
    <row r="96">
      <c r="A96" s="8" t="inlineStr"/>
      <c r="B96" s="8" t="inlineStr">
        <is>
          <t>A33.0009</t>
        </is>
      </c>
      <c r="C96" s="8" t="inlineStr">
        <is>
          <t>Giá đỡ máy cassettle</t>
        </is>
      </c>
      <c r="E96" s="8" t="inlineStr">
        <is>
          <t>cái</t>
        </is>
      </c>
      <c r="F96" s="8" t="n">
        <v>1</v>
      </c>
      <c r="G96" s="8" t="n">
        <v>500000</v>
      </c>
      <c r="H96" s="8" t="n">
        <v>1</v>
      </c>
      <c r="I96" s="8" t="n">
        <v>500000</v>
      </c>
    </row>
    <row r="97">
      <c r="A97" s="8" t="inlineStr"/>
      <c r="B97" s="8" t="inlineStr">
        <is>
          <t>Z999</t>
        </is>
      </c>
      <c r="C97" s="8" t="inlineStr">
        <is>
          <t>Vật liệu khác</t>
        </is>
      </c>
      <c r="E97" s="8" t="inlineStr">
        <is>
          <t>%</t>
        </is>
      </c>
      <c r="F97" s="8" t="n">
        <v>5</v>
      </c>
      <c r="G97" s="8" t="n">
        <v>500000</v>
      </c>
      <c r="H97" s="8" t="inlineStr"/>
      <c r="I97" s="8" t="n">
        <v>25000</v>
      </c>
    </row>
    <row r="98">
      <c r="A98" s="8" t="inlineStr"/>
      <c r="B98" s="8" t="inlineStr"/>
      <c r="C98" s="8" t="inlineStr">
        <is>
          <t>Cộng</t>
        </is>
      </c>
      <c r="E98" s="8" t="inlineStr"/>
      <c r="F98" s="8" t="inlineStr"/>
      <c r="G98" s="8" t="inlineStr"/>
      <c r="H98" s="8" t="inlineStr"/>
      <c r="I98" s="8" t="n">
        <v>525000</v>
      </c>
    </row>
    <row r="99">
      <c r="A99" s="8" t="inlineStr"/>
      <c r="B99" s="8" t="inlineStr"/>
      <c r="C99" s="8" t="inlineStr">
        <is>
          <t>b) Nhân công</t>
        </is>
      </c>
      <c r="E99" s="8" t="inlineStr"/>
      <c r="F99" s="8" t="inlineStr"/>
      <c r="G99" s="8" t="inlineStr"/>
      <c r="H99" s="8" t="inlineStr"/>
      <c r="I99" s="8" t="n">
        <v>559370</v>
      </c>
    </row>
    <row r="100">
      <c r="A100" s="8" t="inlineStr"/>
      <c r="B100" s="8" t="inlineStr">
        <is>
          <t>N3</t>
        </is>
      </c>
      <c r="C100" s="8" t="inlineStr">
        <is>
          <t>Nhân công nhóm 3</t>
        </is>
      </c>
      <c r="E100" s="8" t="inlineStr">
        <is>
          <t>công</t>
        </is>
      </c>
      <c r="F100" s="8" t="n">
        <v>1.31</v>
      </c>
      <c r="G100" s="8" t="n">
        <v>427000</v>
      </c>
      <c r="H100" s="8" t="n">
        <v>1</v>
      </c>
      <c r="I100" s="8" t="n">
        <v>559370</v>
      </c>
    </row>
    <row r="101">
      <c r="A101" s="8" t="inlineStr"/>
      <c r="B101" s="8" t="inlineStr"/>
      <c r="C101" s="8" t="inlineStr">
        <is>
          <t>c) Máy thi công</t>
        </is>
      </c>
      <c r="E101" s="8" t="inlineStr"/>
      <c r="F101" s="8" t="inlineStr"/>
      <c r="G101" s="8" t="inlineStr"/>
      <c r="H101" s="8" t="inlineStr"/>
      <c r="I101" s="8" t="n">
        <v>5456.88</v>
      </c>
    </row>
    <row r="102">
      <c r="A102" s="8" t="inlineStr"/>
      <c r="B102" s="8" t="inlineStr">
        <is>
          <t>M112.1701</t>
        </is>
      </c>
      <c r="C102" s="8" t="inlineStr">
        <is>
          <t>Máy khoan bê tông cầm tay 0,62 kW</t>
        </is>
      </c>
      <c r="E102" s="8" t="inlineStr">
        <is>
          <t>ca</t>
        </is>
      </c>
      <c r="F102" s="8" t="n">
        <v>0.36</v>
      </c>
      <c r="G102" s="8" t="n">
        <v>15158</v>
      </c>
      <c r="H102" s="8" t="n">
        <v>1</v>
      </c>
      <c r="I102" s="8" t="n">
        <v>5456.88</v>
      </c>
    </row>
    <row r="103">
      <c r="A103" s="8" t="inlineStr"/>
      <c r="B103" s="8" t="inlineStr"/>
      <c r="C103" s="8" t="inlineStr">
        <is>
          <t>Cộng chi phí trực tiếp (VL+NC+M)</t>
        </is>
      </c>
      <c r="E103" s="8" t="inlineStr">
        <is>
          <t>T</t>
        </is>
      </c>
      <c r="F103" s="8" t="inlineStr"/>
      <c r="G103" s="8" t="inlineStr"/>
      <c r="H103" s="8" t="inlineStr"/>
      <c r="I103" s="8" t="n">
        <v>1089826.88</v>
      </c>
    </row>
    <row r="104">
      <c r="A104" s="8" t="inlineStr"/>
      <c r="B104" s="8" t="inlineStr"/>
      <c r="C104" s="8" t="inlineStr">
        <is>
          <t>CHI PHÍ GIÁN TIẾP</t>
        </is>
      </c>
      <c r="E104" s="8" t="inlineStr">
        <is>
          <t>GT</t>
        </is>
      </c>
      <c r="F104" s="8" t="inlineStr"/>
      <c r="G104" s="8" t="inlineStr"/>
      <c r="H104" s="8" t="inlineStr"/>
      <c r="I104" s="8" t="n">
        <v>106803.03424</v>
      </c>
    </row>
    <row r="105">
      <c r="A105" s="8" t="inlineStr"/>
      <c r="B105" s="8" t="inlineStr"/>
      <c r="C105" s="8" t="inlineStr">
        <is>
          <t>Chi phí chung (T x 7,3%)</t>
        </is>
      </c>
      <c r="E105" s="8" t="inlineStr">
        <is>
          <t>C</t>
        </is>
      </c>
      <c r="F105" s="8" t="inlineStr">
        <is>
          <t>7,3%</t>
        </is>
      </c>
      <c r="G105" s="8" t="inlineStr"/>
      <c r="H105" s="8" t="inlineStr"/>
      <c r="I105" s="8" t="n">
        <v>79557.36223999999</v>
      </c>
    </row>
    <row r="106">
      <c r="A106" s="8" t="inlineStr"/>
      <c r="B106" s="8" t="inlineStr"/>
      <c r="C106" s="8" t="inlineStr">
        <is>
          <t>Chi phí một số công việc không xác định được khối lượng từ thiết kế (T x 2,5%)</t>
        </is>
      </c>
      <c r="E106" s="8" t="inlineStr">
        <is>
          <t>TT</t>
        </is>
      </c>
      <c r="F106" s="8" t="inlineStr">
        <is>
          <t>2,5%</t>
        </is>
      </c>
      <c r="G106" s="8" t="inlineStr"/>
      <c r="H106" s="8" t="inlineStr"/>
      <c r="I106" s="8" t="n">
        <v>27245.672</v>
      </c>
    </row>
    <row r="107">
      <c r="A107" s="8" t="inlineStr"/>
      <c r="B107" s="8" t="inlineStr"/>
      <c r="C107" s="8" t="inlineStr">
        <is>
          <t>THU NHẬP CHỊU THUẾ TÍNH TRƯỚC (T+GT) x 5,5%</t>
        </is>
      </c>
      <c r="E107" s="8" t="inlineStr">
        <is>
          <t>TL</t>
        </is>
      </c>
      <c r="F107" s="8" t="inlineStr">
        <is>
          <t>5,5%</t>
        </is>
      </c>
      <c r="G107" s="8" t="inlineStr"/>
      <c r="H107" s="8" t="inlineStr"/>
      <c r="I107" s="8" t="n">
        <v>65814.64528319999</v>
      </c>
    </row>
    <row r="108">
      <c r="A108" s="8" t="inlineStr"/>
      <c r="B108" s="8" t="inlineStr"/>
      <c r="C108" s="8" t="inlineStr">
        <is>
          <t>Chi phí xây dựng trước thuế (T + GT + TL)</t>
        </is>
      </c>
      <c r="E108" s="8" t="inlineStr">
        <is>
          <t>Gxdtt</t>
        </is>
      </c>
      <c r="F108" s="8" t="inlineStr"/>
      <c r="G108" s="8" t="inlineStr"/>
      <c r="H108" s="8" t="inlineStr"/>
      <c r="I108" s="8" t="n">
        <v>1262444.5595232</v>
      </c>
    </row>
    <row r="109">
      <c r="A109" s="8" t="inlineStr"/>
      <c r="B109" s="8" t="inlineStr"/>
      <c r="C109" s="8" t="inlineStr">
        <is>
          <t>THUẾ GIÁ TRỊ GIA TĂNG (Gxdtt x 10%)</t>
        </is>
      </c>
      <c r="E109" s="8" t="inlineStr">
        <is>
          <t>GTGT</t>
        </is>
      </c>
      <c r="F109" s="8" t="n">
        <v>0.1</v>
      </c>
      <c r="G109" s="8" t="inlineStr"/>
      <c r="H109" s="8" t="inlineStr"/>
      <c r="I109" s="8" t="n">
        <v>126244.45595232</v>
      </c>
    </row>
    <row r="110">
      <c r="A110" s="8" t="inlineStr"/>
      <c r="B110" s="8" t="inlineStr"/>
      <c r="C110" s="8" t="inlineStr">
        <is>
          <t>Chi phí xây dựng sau thuế (Gxdtt + GTGT)</t>
        </is>
      </c>
      <c r="E110" s="8" t="inlineStr">
        <is>
          <t>Gxdst</t>
        </is>
      </c>
      <c r="F110" s="8" t="inlineStr"/>
      <c r="G110" s="8" t="inlineStr"/>
      <c r="H110" s="8" t="inlineStr"/>
      <c r="I110" s="8" t="n">
        <v>1388689.01547552</v>
      </c>
    </row>
    <row r="111">
      <c r="A111" s="8" t="inlineStr"/>
      <c r="B111" s="8" t="inlineStr"/>
      <c r="C111" s="8" t="inlineStr">
        <is>
          <t>Chi phí nhà tạm để ở và điều hành thi công (Gxdtt x 0,9% x (1+10%))</t>
        </is>
      </c>
      <c r="E111" s="8" t="inlineStr">
        <is>
          <t>LT</t>
        </is>
      </c>
      <c r="F111" s="8" t="n">
        <v>0.008999999999999999</v>
      </c>
      <c r="G111" s="8" t="inlineStr"/>
      <c r="H111" s="8" t="inlineStr"/>
      <c r="I111" s="8" t="n">
        <v>12498.20113927968</v>
      </c>
    </row>
    <row r="112">
      <c r="A112" s="8" t="inlineStr"/>
      <c r="B112" s="8" t="inlineStr"/>
      <c r="C112" s="8" t="inlineStr">
        <is>
          <t>TỔNG CỘNG (Gxdst + LT)</t>
        </is>
      </c>
      <c r="E112" s="8" t="inlineStr">
        <is>
          <t>Gxd</t>
        </is>
      </c>
      <c r="F112" s="8" t="inlineStr"/>
      <c r="G112" s="8" t="inlineStr"/>
      <c r="H112" s="8" t="inlineStr"/>
      <c r="I112" s="8" t="n">
        <v>1401187.2166148</v>
      </c>
    </row>
    <row r="113">
      <c r="A113" s="8" t="n">
        <v>6</v>
      </c>
      <c r="B113" s="11" t="inlineStr">
        <is>
          <t>BA.12130</t>
        </is>
      </c>
      <c r="C113" s="8" t="inlineStr">
        <is>
          <t>Dàn lạnh âm trần nối ống gió CSL: 7.1 kW</t>
        </is>
      </c>
      <c r="D113" s="12">
        <f>HYPERLINK("tt38://pl3/6", "👉 Phụ lục III - Trang 6 (Khớp nhóm BA.121)")</f>
        <v/>
      </c>
      <c r="E113" s="8" t="inlineStr">
        <is>
          <t>máy</t>
        </is>
      </c>
      <c r="F113" s="8" t="n">
        <v>1</v>
      </c>
      <c r="G113" s="8" t="inlineStr"/>
      <c r="H113" s="8" t="inlineStr"/>
      <c r="I113" s="8" t="inlineStr"/>
    </row>
    <row r="114">
      <c r="A114" s="8" t="inlineStr"/>
      <c r="B114" s="8" t="inlineStr"/>
      <c r="C114" s="8" t="inlineStr">
        <is>
          <t>a) Vật liệu</t>
        </is>
      </c>
      <c r="E114" s="8" t="inlineStr"/>
      <c r="F114" s="8" t="inlineStr"/>
      <c r="G114" s="8" t="inlineStr"/>
      <c r="H114" s="8" t="inlineStr"/>
      <c r="I114" s="8" t="n">
        <v>525000</v>
      </c>
    </row>
    <row r="115">
      <c r="A115" s="8" t="inlineStr"/>
      <c r="B115" s="8" t="inlineStr">
        <is>
          <t>A33.0009</t>
        </is>
      </c>
      <c r="C115" s="8" t="inlineStr">
        <is>
          <t>Giá đỡ máy âm trần</t>
        </is>
      </c>
      <c r="E115" s="8" t="inlineStr">
        <is>
          <t>cái</t>
        </is>
      </c>
      <c r="F115" s="8" t="n">
        <v>1</v>
      </c>
      <c r="G115" s="8" t="n">
        <v>500000</v>
      </c>
      <c r="H115" s="8" t="n">
        <v>1</v>
      </c>
      <c r="I115" s="8" t="n">
        <v>500000</v>
      </c>
    </row>
    <row r="116">
      <c r="A116" s="8" t="inlineStr"/>
      <c r="B116" s="8" t="inlineStr">
        <is>
          <t>Z999</t>
        </is>
      </c>
      <c r="C116" s="8" t="inlineStr">
        <is>
          <t>Vật liệu khác</t>
        </is>
      </c>
      <c r="E116" s="8" t="inlineStr">
        <is>
          <t>%</t>
        </is>
      </c>
      <c r="F116" s="8" t="n">
        <v>5</v>
      </c>
      <c r="G116" s="8" t="n">
        <v>500000</v>
      </c>
      <c r="H116" s="8" t="inlineStr"/>
      <c r="I116" s="8" t="n">
        <v>25000</v>
      </c>
    </row>
    <row r="117">
      <c r="A117" s="8" t="inlineStr"/>
      <c r="B117" s="8" t="inlineStr"/>
      <c r="C117" s="8" t="inlineStr">
        <is>
          <t>Cộng</t>
        </is>
      </c>
      <c r="E117" s="8" t="inlineStr"/>
      <c r="F117" s="8" t="inlineStr"/>
      <c r="G117" s="8" t="inlineStr"/>
      <c r="H117" s="8" t="inlineStr"/>
      <c r="I117" s="8" t="n">
        <v>525000</v>
      </c>
    </row>
    <row r="118">
      <c r="A118" s="8" t="inlineStr"/>
      <c r="B118" s="8" t="inlineStr"/>
      <c r="C118" s="8" t="inlineStr">
        <is>
          <t>b) Nhân công</t>
        </is>
      </c>
      <c r="E118" s="8" t="inlineStr"/>
      <c r="F118" s="8" t="inlineStr"/>
      <c r="G118" s="8" t="inlineStr"/>
      <c r="H118" s="8" t="inlineStr"/>
      <c r="I118" s="8" t="n">
        <v>559370</v>
      </c>
    </row>
    <row r="119">
      <c r="A119" s="8" t="inlineStr"/>
      <c r="B119" s="8" t="inlineStr">
        <is>
          <t>N3</t>
        </is>
      </c>
      <c r="C119" s="8" t="inlineStr">
        <is>
          <t>Nhân công nhóm 3</t>
        </is>
      </c>
      <c r="E119" s="8" t="inlineStr">
        <is>
          <t>công</t>
        </is>
      </c>
      <c r="F119" s="8" t="n">
        <v>1.31</v>
      </c>
      <c r="G119" s="8" t="n">
        <v>427000</v>
      </c>
      <c r="H119" s="8" t="n">
        <v>1</v>
      </c>
      <c r="I119" s="8" t="n">
        <v>559370</v>
      </c>
    </row>
    <row r="120">
      <c r="A120" s="8" t="inlineStr"/>
      <c r="B120" s="8" t="inlineStr"/>
      <c r="C120" s="8" t="inlineStr">
        <is>
          <t>c) Máy thi công</t>
        </is>
      </c>
      <c r="E120" s="8" t="inlineStr"/>
      <c r="F120" s="8" t="inlineStr"/>
      <c r="G120" s="8" t="inlineStr"/>
      <c r="H120" s="8" t="inlineStr"/>
      <c r="I120" s="8" t="n">
        <v>5456.88</v>
      </c>
    </row>
    <row r="121">
      <c r="A121" s="8" t="inlineStr"/>
      <c r="B121" s="8" t="inlineStr">
        <is>
          <t>M112.1701</t>
        </is>
      </c>
      <c r="C121" s="8" t="inlineStr">
        <is>
          <t>Máy khoan bê tông cầm tay 0,62 kW</t>
        </is>
      </c>
      <c r="E121" s="8" t="inlineStr">
        <is>
          <t>ca</t>
        </is>
      </c>
      <c r="F121" s="8" t="n">
        <v>0.36</v>
      </c>
      <c r="G121" s="8" t="n">
        <v>15158</v>
      </c>
      <c r="H121" s="8" t="n">
        <v>1</v>
      </c>
      <c r="I121" s="8" t="n">
        <v>5456.88</v>
      </c>
    </row>
    <row r="122">
      <c r="A122" s="8" t="inlineStr"/>
      <c r="B122" s="8" t="inlineStr"/>
      <c r="C122" s="8" t="inlineStr">
        <is>
          <t>Cộng chi phí trực tiếp (VL+NC+M)</t>
        </is>
      </c>
      <c r="E122" s="8" t="inlineStr">
        <is>
          <t>T</t>
        </is>
      </c>
      <c r="F122" s="8" t="inlineStr"/>
      <c r="G122" s="8" t="inlineStr"/>
      <c r="H122" s="8" t="inlineStr"/>
      <c r="I122" s="8" t="n">
        <v>1089826.88</v>
      </c>
    </row>
    <row r="123">
      <c r="A123" s="8" t="inlineStr"/>
      <c r="B123" s="8" t="inlineStr"/>
      <c r="C123" s="8" t="inlineStr">
        <is>
          <t>CHI PHÍ GIÁN TIẾP</t>
        </is>
      </c>
      <c r="E123" s="8" t="inlineStr">
        <is>
          <t>GT</t>
        </is>
      </c>
      <c r="F123" s="8" t="inlineStr"/>
      <c r="G123" s="8" t="inlineStr"/>
      <c r="H123" s="8" t="inlineStr"/>
      <c r="I123" s="8" t="n">
        <v>106803.03424</v>
      </c>
    </row>
    <row r="124">
      <c r="A124" s="8" t="inlineStr"/>
      <c r="B124" s="8" t="inlineStr"/>
      <c r="C124" s="8" t="inlineStr">
        <is>
          <t>Chi phí chung (T x 7,3%)</t>
        </is>
      </c>
      <c r="E124" s="8" t="inlineStr">
        <is>
          <t>C</t>
        </is>
      </c>
      <c r="F124" s="8" t="inlineStr">
        <is>
          <t>7,3%</t>
        </is>
      </c>
      <c r="G124" s="8" t="inlineStr"/>
      <c r="H124" s="8" t="inlineStr"/>
      <c r="I124" s="8" t="n">
        <v>79557.36223999999</v>
      </c>
    </row>
    <row r="125">
      <c r="A125" s="8" t="inlineStr"/>
      <c r="B125" s="8" t="inlineStr"/>
      <c r="C125" s="8" t="inlineStr">
        <is>
          <t>Chi phí một số công việc không xác định được khối lượng từ thiết kế (T x 2,5%)</t>
        </is>
      </c>
      <c r="E125" s="8" t="inlineStr">
        <is>
          <t>TT</t>
        </is>
      </c>
      <c r="F125" s="8" t="inlineStr">
        <is>
          <t>2,5%</t>
        </is>
      </c>
      <c r="G125" s="8" t="inlineStr"/>
      <c r="H125" s="8" t="inlineStr"/>
      <c r="I125" s="8" t="n">
        <v>27245.672</v>
      </c>
    </row>
    <row r="126">
      <c r="A126" s="8" t="inlineStr"/>
      <c r="B126" s="8" t="inlineStr"/>
      <c r="C126" s="8" t="inlineStr">
        <is>
          <t>THU NHẬP CHỊU THUẾ TÍNH TRƯỚC (T+GT) x 5,5%</t>
        </is>
      </c>
      <c r="E126" s="8" t="inlineStr">
        <is>
          <t>TL</t>
        </is>
      </c>
      <c r="F126" s="8" t="inlineStr">
        <is>
          <t>5,5%</t>
        </is>
      </c>
      <c r="G126" s="8" t="inlineStr"/>
      <c r="H126" s="8" t="inlineStr"/>
      <c r="I126" s="8" t="n">
        <v>65814.64528319999</v>
      </c>
    </row>
    <row r="127">
      <c r="A127" s="8" t="inlineStr"/>
      <c r="B127" s="8" t="inlineStr"/>
      <c r="C127" s="8" t="inlineStr">
        <is>
          <t>Chi phí xây dựng trước thuế (T + GT + TL)</t>
        </is>
      </c>
      <c r="E127" s="8" t="inlineStr">
        <is>
          <t>Gxdtt</t>
        </is>
      </c>
      <c r="F127" s="8" t="inlineStr"/>
      <c r="G127" s="8" t="inlineStr"/>
      <c r="H127" s="8" t="inlineStr"/>
      <c r="I127" s="8" t="n">
        <v>1262444.5595232</v>
      </c>
    </row>
    <row r="128">
      <c r="A128" s="8" t="inlineStr"/>
      <c r="B128" s="8" t="inlineStr"/>
      <c r="C128" s="8" t="inlineStr">
        <is>
          <t>THUẾ GIÁ TRỊ GIA TĂNG (Gxdtt x 10%)</t>
        </is>
      </c>
      <c r="E128" s="8" t="inlineStr">
        <is>
          <t>GTGT</t>
        </is>
      </c>
      <c r="F128" s="8" t="n">
        <v>0.1</v>
      </c>
      <c r="G128" s="8" t="inlineStr"/>
      <c r="H128" s="8" t="inlineStr"/>
      <c r="I128" s="8" t="n">
        <v>126244.45595232</v>
      </c>
    </row>
    <row r="129">
      <c r="A129" s="8" t="inlineStr"/>
      <c r="B129" s="8" t="inlineStr"/>
      <c r="C129" s="8" t="inlineStr">
        <is>
          <t>Chi phí xây dựng sau thuế (Gxdtt + GTGT)</t>
        </is>
      </c>
      <c r="E129" s="8" t="inlineStr">
        <is>
          <t>Gxdst</t>
        </is>
      </c>
      <c r="F129" s="8" t="inlineStr"/>
      <c r="G129" s="8" t="inlineStr"/>
      <c r="H129" s="8" t="inlineStr"/>
      <c r="I129" s="8" t="n">
        <v>1388689.01547552</v>
      </c>
    </row>
    <row r="130">
      <c r="A130" s="8" t="inlineStr"/>
      <c r="B130" s="8" t="inlineStr"/>
      <c r="C130" s="8" t="inlineStr">
        <is>
          <t>Chi phí nhà tạm để ở và điều hành thi công (Gxdtt x 0,9% x (1+10%))</t>
        </is>
      </c>
      <c r="E130" s="8" t="inlineStr">
        <is>
          <t>LT</t>
        </is>
      </c>
      <c r="F130" s="8" t="n">
        <v>0.008999999999999999</v>
      </c>
      <c r="G130" s="8" t="inlineStr"/>
      <c r="H130" s="8" t="inlineStr"/>
      <c r="I130" s="8" t="n">
        <v>12498.20113927968</v>
      </c>
    </row>
    <row r="131">
      <c r="A131" s="8" t="inlineStr"/>
      <c r="B131" s="8" t="inlineStr"/>
      <c r="C131" s="8" t="inlineStr">
        <is>
          <t>TỔNG CỘNG (Gxdst + LT)</t>
        </is>
      </c>
      <c r="E131" s="8" t="inlineStr">
        <is>
          <t>Gxd</t>
        </is>
      </c>
      <c r="F131" s="8" t="inlineStr"/>
      <c r="G131" s="8" t="inlineStr"/>
      <c r="H131" s="8" t="inlineStr"/>
      <c r="I131" s="8" t="n">
        <v>1401187.2166148</v>
      </c>
    </row>
    <row r="132">
      <c r="A132" s="8" t="n">
        <v>7</v>
      </c>
      <c r="B132" s="11" t="inlineStr">
        <is>
          <t>BA.12130</t>
        </is>
      </c>
      <c r="C132" s="8" t="inlineStr">
        <is>
          <t>Dàn lạnh cassette CSL: 7.1 kW</t>
        </is>
      </c>
      <c r="D132" s="12">
        <f>HYPERLINK("tt38://pl3/6", "👉 Phụ lục III - Trang 6 (Khớp nhóm BA.121)")</f>
        <v/>
      </c>
      <c r="E132" s="8" t="inlineStr">
        <is>
          <t>máy</t>
        </is>
      </c>
      <c r="F132" s="8" t="n">
        <v>1</v>
      </c>
      <c r="G132" s="8" t="inlineStr"/>
      <c r="H132" s="8" t="inlineStr"/>
      <c r="I132" s="8" t="inlineStr"/>
    </row>
    <row r="133">
      <c r="A133" s="8" t="inlineStr"/>
      <c r="B133" s="8" t="inlineStr"/>
      <c r="C133" s="8" t="inlineStr">
        <is>
          <t>a) Vật liệu</t>
        </is>
      </c>
      <c r="E133" s="8" t="inlineStr"/>
      <c r="F133" s="8" t="inlineStr"/>
      <c r="G133" s="8" t="inlineStr"/>
      <c r="H133" s="8" t="inlineStr"/>
      <c r="I133" s="8" t="n">
        <v>525000</v>
      </c>
    </row>
    <row r="134">
      <c r="A134" s="8" t="inlineStr"/>
      <c r="B134" s="8" t="inlineStr">
        <is>
          <t>A33.0009</t>
        </is>
      </c>
      <c r="C134" s="8" t="inlineStr">
        <is>
          <t>Giá đỡ máy cassettle</t>
        </is>
      </c>
      <c r="E134" s="8" t="inlineStr">
        <is>
          <t>cái</t>
        </is>
      </c>
      <c r="F134" s="8" t="n">
        <v>1</v>
      </c>
      <c r="G134" s="8" t="n">
        <v>500000</v>
      </c>
      <c r="H134" s="8" t="n">
        <v>1</v>
      </c>
      <c r="I134" s="8" t="n">
        <v>500000</v>
      </c>
    </row>
    <row r="135">
      <c r="A135" s="8" t="inlineStr"/>
      <c r="B135" s="8" t="inlineStr">
        <is>
          <t>Z999</t>
        </is>
      </c>
      <c r="C135" s="8" t="inlineStr">
        <is>
          <t>Vật liệu khác</t>
        </is>
      </c>
      <c r="E135" s="8" t="inlineStr">
        <is>
          <t>%</t>
        </is>
      </c>
      <c r="F135" s="8" t="n">
        <v>5</v>
      </c>
      <c r="G135" s="8" t="n">
        <v>500000</v>
      </c>
      <c r="H135" s="8" t="inlineStr"/>
      <c r="I135" s="8" t="n">
        <v>25000</v>
      </c>
    </row>
    <row r="136">
      <c r="A136" s="8" t="inlineStr"/>
      <c r="B136" s="8" t="inlineStr"/>
      <c r="C136" s="8" t="inlineStr">
        <is>
          <t>Cộng</t>
        </is>
      </c>
      <c r="E136" s="8" t="inlineStr"/>
      <c r="F136" s="8" t="inlineStr"/>
      <c r="G136" s="8" t="inlineStr"/>
      <c r="H136" s="8" t="inlineStr"/>
      <c r="I136" s="8" t="n">
        <v>525000</v>
      </c>
    </row>
    <row r="137">
      <c r="A137" s="8" t="inlineStr"/>
      <c r="B137" s="8" t="inlineStr"/>
      <c r="C137" s="8" t="inlineStr">
        <is>
          <t>b) Nhân công</t>
        </is>
      </c>
      <c r="E137" s="8" t="inlineStr"/>
      <c r="F137" s="8" t="inlineStr"/>
      <c r="G137" s="8" t="inlineStr"/>
      <c r="H137" s="8" t="inlineStr"/>
      <c r="I137" s="8" t="n">
        <v>559370</v>
      </c>
    </row>
    <row r="138">
      <c r="A138" s="8" t="inlineStr"/>
      <c r="B138" s="8" t="inlineStr">
        <is>
          <t>N3</t>
        </is>
      </c>
      <c r="C138" s="8" t="inlineStr">
        <is>
          <t>Nhân công nhóm 3</t>
        </is>
      </c>
      <c r="E138" s="8" t="inlineStr">
        <is>
          <t>công</t>
        </is>
      </c>
      <c r="F138" s="8" t="n">
        <v>1.31</v>
      </c>
      <c r="G138" s="8" t="n">
        <v>427000</v>
      </c>
      <c r="H138" s="8" t="n">
        <v>1</v>
      </c>
      <c r="I138" s="8" t="n">
        <v>559370</v>
      </c>
    </row>
    <row r="139">
      <c r="A139" s="8" t="inlineStr"/>
      <c r="B139" s="8" t="inlineStr"/>
      <c r="C139" s="8" t="inlineStr">
        <is>
          <t>c) Máy thi công</t>
        </is>
      </c>
      <c r="E139" s="8" t="inlineStr"/>
      <c r="F139" s="8" t="inlineStr"/>
      <c r="G139" s="8" t="inlineStr"/>
      <c r="H139" s="8" t="inlineStr"/>
      <c r="I139" s="8" t="n">
        <v>5456.88</v>
      </c>
    </row>
    <row r="140">
      <c r="A140" s="8" t="inlineStr"/>
      <c r="B140" s="8" t="inlineStr">
        <is>
          <t>M112.1701</t>
        </is>
      </c>
      <c r="C140" s="8" t="inlineStr">
        <is>
          <t>Máy khoan bê tông cầm tay 0,62 kW</t>
        </is>
      </c>
      <c r="E140" s="8" t="inlineStr">
        <is>
          <t>ca</t>
        </is>
      </c>
      <c r="F140" s="8" t="n">
        <v>0.36</v>
      </c>
      <c r="G140" s="8" t="n">
        <v>15158</v>
      </c>
      <c r="H140" s="8" t="n">
        <v>1</v>
      </c>
      <c r="I140" s="8" t="n">
        <v>5456.88</v>
      </c>
    </row>
    <row r="141">
      <c r="A141" s="8" t="inlineStr"/>
      <c r="B141" s="8" t="inlineStr"/>
      <c r="C141" s="8" t="inlineStr">
        <is>
          <t>Cộng chi phí trực tiếp (VL+NC+M)</t>
        </is>
      </c>
      <c r="E141" s="8" t="inlineStr">
        <is>
          <t>T</t>
        </is>
      </c>
      <c r="F141" s="8" t="inlineStr"/>
      <c r="G141" s="8" t="inlineStr"/>
      <c r="H141" s="8" t="inlineStr"/>
      <c r="I141" s="8" t="n">
        <v>1089826.88</v>
      </c>
    </row>
    <row r="142">
      <c r="A142" s="8" t="inlineStr"/>
      <c r="B142" s="8" t="inlineStr"/>
      <c r="C142" s="8" t="inlineStr">
        <is>
          <t>CHI PHÍ GIÁN TIẾP</t>
        </is>
      </c>
      <c r="E142" s="8" t="inlineStr">
        <is>
          <t>GT</t>
        </is>
      </c>
      <c r="F142" s="8" t="inlineStr"/>
      <c r="G142" s="8" t="inlineStr"/>
      <c r="H142" s="8" t="inlineStr"/>
      <c r="I142" s="8" t="n">
        <v>106803.03424</v>
      </c>
    </row>
    <row r="143">
      <c r="A143" s="8" t="inlineStr"/>
      <c r="B143" s="8" t="inlineStr"/>
      <c r="C143" s="8" t="inlineStr">
        <is>
          <t>Chi phí chung (T x 7,3%)</t>
        </is>
      </c>
      <c r="E143" s="8" t="inlineStr">
        <is>
          <t>C</t>
        </is>
      </c>
      <c r="F143" s="8" t="inlineStr">
        <is>
          <t>7,3%</t>
        </is>
      </c>
      <c r="G143" s="8" t="inlineStr"/>
      <c r="H143" s="8" t="inlineStr"/>
      <c r="I143" s="8" t="n">
        <v>79557.36223999999</v>
      </c>
    </row>
    <row r="144">
      <c r="A144" s="8" t="inlineStr"/>
      <c r="B144" s="8" t="inlineStr"/>
      <c r="C144" s="8" t="inlineStr">
        <is>
          <t>Chi phí một số công việc không xác định được khối lượng từ thiết kế (T x 2,5%)</t>
        </is>
      </c>
      <c r="E144" s="8" t="inlineStr">
        <is>
          <t>TT</t>
        </is>
      </c>
      <c r="F144" s="8" t="inlineStr">
        <is>
          <t>2,5%</t>
        </is>
      </c>
      <c r="G144" s="8" t="inlineStr"/>
      <c r="H144" s="8" t="inlineStr"/>
      <c r="I144" s="8" t="n">
        <v>27245.672</v>
      </c>
    </row>
    <row r="145">
      <c r="A145" s="8" t="inlineStr"/>
      <c r="B145" s="8" t="inlineStr"/>
      <c r="C145" s="8" t="inlineStr">
        <is>
          <t>THU NHẬP CHỊU THUẾ TÍNH TRƯỚC (T+GT) x 5,5%</t>
        </is>
      </c>
      <c r="E145" s="8" t="inlineStr">
        <is>
          <t>TL</t>
        </is>
      </c>
      <c r="F145" s="8" t="inlineStr">
        <is>
          <t>5,5%</t>
        </is>
      </c>
      <c r="G145" s="8" t="inlineStr"/>
      <c r="H145" s="8" t="inlineStr"/>
      <c r="I145" s="8" t="n">
        <v>65814.64528319999</v>
      </c>
    </row>
    <row r="146">
      <c r="A146" s="8" t="inlineStr"/>
      <c r="B146" s="8" t="inlineStr"/>
      <c r="C146" s="8" t="inlineStr">
        <is>
          <t>Chi phí xây dựng trước thuế (T + GT + TL)</t>
        </is>
      </c>
      <c r="E146" s="8" t="inlineStr">
        <is>
          <t>Gxdtt</t>
        </is>
      </c>
      <c r="F146" s="8" t="inlineStr"/>
      <c r="G146" s="8" t="inlineStr"/>
      <c r="H146" s="8" t="inlineStr"/>
      <c r="I146" s="8" t="n">
        <v>1262444.5595232</v>
      </c>
    </row>
    <row r="147">
      <c r="A147" s="8" t="inlineStr"/>
      <c r="B147" s="8" t="inlineStr"/>
      <c r="C147" s="8" t="inlineStr">
        <is>
          <t>THUẾ GIÁ TRỊ GIA TĂNG (Gxdtt x 10%)</t>
        </is>
      </c>
      <c r="E147" s="8" t="inlineStr">
        <is>
          <t>GTGT</t>
        </is>
      </c>
      <c r="F147" s="8" t="n">
        <v>0.1</v>
      </c>
      <c r="G147" s="8" t="inlineStr"/>
      <c r="H147" s="8" t="inlineStr"/>
      <c r="I147" s="8" t="n">
        <v>126244.45595232</v>
      </c>
    </row>
    <row r="148">
      <c r="A148" s="8" t="inlineStr"/>
      <c r="B148" s="8" t="inlineStr"/>
      <c r="C148" s="8" t="inlineStr">
        <is>
          <t>Chi phí xây dựng sau thuế (Gxdtt + GTGT)</t>
        </is>
      </c>
      <c r="E148" s="8" t="inlineStr">
        <is>
          <t>Gxdst</t>
        </is>
      </c>
      <c r="F148" s="8" t="inlineStr"/>
      <c r="G148" s="8" t="inlineStr"/>
      <c r="H148" s="8" t="inlineStr"/>
      <c r="I148" s="8" t="n">
        <v>1388689.01547552</v>
      </c>
    </row>
    <row r="149">
      <c r="A149" s="8" t="inlineStr"/>
      <c r="B149" s="8" t="inlineStr"/>
      <c r="C149" s="8" t="inlineStr">
        <is>
          <t>Chi phí nhà tạm để ở và điều hành thi công (Gxdtt x 0,9% x (1+10%))</t>
        </is>
      </c>
      <c r="E149" s="8" t="inlineStr">
        <is>
          <t>LT</t>
        </is>
      </c>
      <c r="F149" s="8" t="n">
        <v>0.008999999999999999</v>
      </c>
      <c r="G149" s="8" t="inlineStr"/>
      <c r="H149" s="8" t="inlineStr"/>
      <c r="I149" s="8" t="n">
        <v>12498.20113927968</v>
      </c>
    </row>
    <row r="150">
      <c r="A150" s="8" t="inlineStr"/>
      <c r="B150" s="8" t="inlineStr"/>
      <c r="C150" s="8" t="inlineStr">
        <is>
          <t>TỔNG CỘNG (Gxdst + LT)</t>
        </is>
      </c>
      <c r="E150" s="8" t="inlineStr">
        <is>
          <t>Gxd</t>
        </is>
      </c>
      <c r="F150" s="8" t="inlineStr"/>
      <c r="G150" s="8" t="inlineStr"/>
      <c r="H150" s="8" t="inlineStr"/>
      <c r="I150" s="8" t="n">
        <v>1401187.2166148</v>
      </c>
    </row>
    <row r="151">
      <c r="A151" s="8" t="n">
        <v>8</v>
      </c>
      <c r="B151" s="11" t="inlineStr">
        <is>
          <t>BA.12130</t>
        </is>
      </c>
      <c r="C151" s="8" t="inlineStr">
        <is>
          <t>Dàn lạnh cassette CSL: 10.0 kW</t>
        </is>
      </c>
      <c r="D151" s="12">
        <f>HYPERLINK("tt38://pl3/6", "👉 Phụ lục III - Trang 6 (Khớp nhóm BA.121)")</f>
        <v/>
      </c>
      <c r="E151" s="8" t="inlineStr">
        <is>
          <t>máy</t>
        </is>
      </c>
      <c r="F151" s="8" t="n">
        <v>1</v>
      </c>
      <c r="G151" s="8" t="inlineStr"/>
      <c r="H151" s="8" t="inlineStr"/>
      <c r="I151" s="8" t="inlineStr"/>
    </row>
    <row r="152">
      <c r="A152" s="8" t="inlineStr"/>
      <c r="B152" s="8" t="inlineStr"/>
      <c r="C152" s="8" t="inlineStr">
        <is>
          <t>a) Vật liệu</t>
        </is>
      </c>
      <c r="E152" s="8" t="inlineStr"/>
      <c r="F152" s="8" t="inlineStr"/>
      <c r="G152" s="8" t="inlineStr"/>
      <c r="H152" s="8" t="inlineStr"/>
      <c r="I152" s="8" t="n">
        <v>525000</v>
      </c>
    </row>
    <row r="153">
      <c r="A153" s="8" t="inlineStr"/>
      <c r="B153" s="8" t="inlineStr">
        <is>
          <t>A33.0009</t>
        </is>
      </c>
      <c r="C153" s="8" t="inlineStr">
        <is>
          <t>Giá đỡ máy cassettle</t>
        </is>
      </c>
      <c r="E153" s="8" t="inlineStr">
        <is>
          <t>cái</t>
        </is>
      </c>
      <c r="F153" s="8" t="n">
        <v>1</v>
      </c>
      <c r="G153" s="8" t="n">
        <v>500000</v>
      </c>
      <c r="H153" s="8" t="n">
        <v>1</v>
      </c>
      <c r="I153" s="8" t="n">
        <v>500000</v>
      </c>
    </row>
    <row r="154">
      <c r="A154" s="8" t="inlineStr"/>
      <c r="B154" s="8" t="inlineStr">
        <is>
          <t>Z999</t>
        </is>
      </c>
      <c r="C154" s="8" t="inlineStr">
        <is>
          <t>Vật liệu khác</t>
        </is>
      </c>
      <c r="E154" s="8" t="inlineStr">
        <is>
          <t>%</t>
        </is>
      </c>
      <c r="F154" s="8" t="n">
        <v>5</v>
      </c>
      <c r="G154" s="8" t="n">
        <v>500000</v>
      </c>
      <c r="H154" s="8" t="inlineStr"/>
      <c r="I154" s="8" t="n">
        <v>25000</v>
      </c>
    </row>
    <row r="155">
      <c r="A155" s="8" t="inlineStr"/>
      <c r="B155" s="8" t="inlineStr"/>
      <c r="C155" s="8" t="inlineStr">
        <is>
          <t>Cộng</t>
        </is>
      </c>
      <c r="E155" s="8" t="inlineStr"/>
      <c r="F155" s="8" t="inlineStr"/>
      <c r="G155" s="8" t="inlineStr"/>
      <c r="H155" s="8" t="inlineStr"/>
      <c r="I155" s="8" t="n">
        <v>525000</v>
      </c>
    </row>
    <row r="156">
      <c r="A156" s="8" t="inlineStr"/>
      <c r="B156" s="8" t="inlineStr"/>
      <c r="C156" s="8" t="inlineStr">
        <is>
          <t>b) Nhân công</t>
        </is>
      </c>
      <c r="E156" s="8" t="inlineStr"/>
      <c r="F156" s="8" t="inlineStr"/>
      <c r="G156" s="8" t="inlineStr"/>
      <c r="H156" s="8" t="inlineStr"/>
      <c r="I156" s="8" t="n">
        <v>559370</v>
      </c>
    </row>
    <row r="157">
      <c r="A157" s="8" t="inlineStr"/>
      <c r="B157" s="8" t="inlineStr">
        <is>
          <t>N3</t>
        </is>
      </c>
      <c r="C157" s="8" t="inlineStr">
        <is>
          <t>Nhân công nhóm 3</t>
        </is>
      </c>
      <c r="E157" s="8" t="inlineStr">
        <is>
          <t>công</t>
        </is>
      </c>
      <c r="F157" s="8" t="n">
        <v>1.31</v>
      </c>
      <c r="G157" s="8" t="n">
        <v>427000</v>
      </c>
      <c r="H157" s="8" t="n">
        <v>1</v>
      </c>
      <c r="I157" s="8" t="n">
        <v>559370</v>
      </c>
    </row>
    <row r="158">
      <c r="A158" s="8" t="inlineStr"/>
      <c r="B158" s="8" t="inlineStr"/>
      <c r="C158" s="8" t="inlineStr">
        <is>
          <t>c) Máy thi công</t>
        </is>
      </c>
      <c r="E158" s="8" t="inlineStr"/>
      <c r="F158" s="8" t="inlineStr"/>
      <c r="G158" s="8" t="inlineStr"/>
      <c r="H158" s="8" t="inlineStr"/>
      <c r="I158" s="8" t="n">
        <v>5456.88</v>
      </c>
    </row>
    <row r="159">
      <c r="A159" s="8" t="inlineStr"/>
      <c r="B159" s="8" t="inlineStr">
        <is>
          <t>M112.1701</t>
        </is>
      </c>
      <c r="C159" s="8" t="inlineStr">
        <is>
          <t>Máy khoan bê tông cầm tay 0,62 kW</t>
        </is>
      </c>
      <c r="E159" s="8" t="inlineStr">
        <is>
          <t>ca</t>
        </is>
      </c>
      <c r="F159" s="8" t="n">
        <v>0.36</v>
      </c>
      <c r="G159" s="8" t="n">
        <v>15158</v>
      </c>
      <c r="H159" s="8" t="n">
        <v>1</v>
      </c>
      <c r="I159" s="8" t="n">
        <v>5456.88</v>
      </c>
    </row>
    <row r="160">
      <c r="A160" s="8" t="inlineStr"/>
      <c r="B160" s="8" t="inlineStr"/>
      <c r="C160" s="8" t="inlineStr">
        <is>
          <t>Cộng chi phí trực tiếp (VL+NC+M)</t>
        </is>
      </c>
      <c r="E160" s="8" t="inlineStr">
        <is>
          <t>T</t>
        </is>
      </c>
      <c r="F160" s="8" t="inlineStr"/>
      <c r="G160" s="8" t="inlineStr"/>
      <c r="H160" s="8" t="inlineStr"/>
      <c r="I160" s="8" t="n">
        <v>1089826.88</v>
      </c>
    </row>
    <row r="161">
      <c r="A161" s="8" t="inlineStr"/>
      <c r="B161" s="8" t="inlineStr"/>
      <c r="C161" s="8" t="inlineStr">
        <is>
          <t>CHI PHÍ GIÁN TIẾP</t>
        </is>
      </c>
      <c r="E161" s="8" t="inlineStr">
        <is>
          <t>GT</t>
        </is>
      </c>
      <c r="F161" s="8" t="inlineStr"/>
      <c r="G161" s="8" t="inlineStr"/>
      <c r="H161" s="8" t="inlineStr"/>
      <c r="I161" s="8" t="n">
        <v>106803.03424</v>
      </c>
    </row>
    <row r="162">
      <c r="A162" s="8" t="inlineStr"/>
      <c r="B162" s="8" t="inlineStr"/>
      <c r="C162" s="8" t="inlineStr">
        <is>
          <t>Chi phí chung (T x 7,3%)</t>
        </is>
      </c>
      <c r="E162" s="8" t="inlineStr">
        <is>
          <t>C</t>
        </is>
      </c>
      <c r="F162" s="8" t="inlineStr">
        <is>
          <t>7,3%</t>
        </is>
      </c>
      <c r="G162" s="8" t="inlineStr"/>
      <c r="H162" s="8" t="inlineStr"/>
      <c r="I162" s="8" t="n">
        <v>79557.36223999999</v>
      </c>
    </row>
    <row r="163">
      <c r="A163" s="8" t="inlineStr"/>
      <c r="B163" s="8" t="inlineStr"/>
      <c r="C163" s="8" t="inlineStr">
        <is>
          <t>Chi phí một số công việc không xác định được khối lượng từ thiết kế (T x 2,5%)</t>
        </is>
      </c>
      <c r="E163" s="8" t="inlineStr">
        <is>
          <t>TT</t>
        </is>
      </c>
      <c r="F163" s="8" t="inlineStr">
        <is>
          <t>2,5%</t>
        </is>
      </c>
      <c r="G163" s="8" t="inlineStr"/>
      <c r="H163" s="8" t="inlineStr"/>
      <c r="I163" s="8" t="n">
        <v>27245.672</v>
      </c>
    </row>
    <row r="164">
      <c r="A164" s="8" t="inlineStr"/>
      <c r="B164" s="8" t="inlineStr"/>
      <c r="C164" s="8" t="inlineStr">
        <is>
          <t>THU NHẬP CHỊU THUẾ TÍNH TRƯỚC (T+GT) x 5,5%</t>
        </is>
      </c>
      <c r="E164" s="8" t="inlineStr">
        <is>
          <t>TL</t>
        </is>
      </c>
      <c r="F164" s="8" t="inlineStr">
        <is>
          <t>5,5%</t>
        </is>
      </c>
      <c r="G164" s="8" t="inlineStr"/>
      <c r="H164" s="8" t="inlineStr"/>
      <c r="I164" s="8" t="n">
        <v>65814.64528319999</v>
      </c>
    </row>
    <row r="165">
      <c r="A165" s="8" t="inlineStr"/>
      <c r="B165" s="8" t="inlineStr"/>
      <c r="C165" s="8" t="inlineStr">
        <is>
          <t>Chi phí xây dựng trước thuế (T + GT + TL)</t>
        </is>
      </c>
      <c r="E165" s="8" t="inlineStr">
        <is>
          <t>Gxdtt</t>
        </is>
      </c>
      <c r="F165" s="8" t="inlineStr"/>
      <c r="G165" s="8" t="inlineStr"/>
      <c r="H165" s="8" t="inlineStr"/>
      <c r="I165" s="8" t="n">
        <v>1262444.5595232</v>
      </c>
    </row>
    <row r="166">
      <c r="A166" s="8" t="inlineStr"/>
      <c r="B166" s="8" t="inlineStr"/>
      <c r="C166" s="8" t="inlineStr">
        <is>
          <t>THUẾ GIÁ TRỊ GIA TĂNG (Gxdtt x 10%)</t>
        </is>
      </c>
      <c r="E166" s="8" t="inlineStr">
        <is>
          <t>GTGT</t>
        </is>
      </c>
      <c r="F166" s="8" t="n">
        <v>0.1</v>
      </c>
      <c r="G166" s="8" t="inlineStr"/>
      <c r="H166" s="8" t="inlineStr"/>
      <c r="I166" s="8" t="n">
        <v>126244.45595232</v>
      </c>
    </row>
    <row r="167">
      <c r="A167" s="8" t="inlineStr"/>
      <c r="B167" s="8" t="inlineStr"/>
      <c r="C167" s="8" t="inlineStr">
        <is>
          <t>Chi phí xây dựng sau thuế (Gxdtt + GTGT)</t>
        </is>
      </c>
      <c r="E167" s="8" t="inlineStr">
        <is>
          <t>Gxdst</t>
        </is>
      </c>
      <c r="F167" s="8" t="inlineStr"/>
      <c r="G167" s="8" t="inlineStr"/>
      <c r="H167" s="8" t="inlineStr"/>
      <c r="I167" s="8" t="n">
        <v>1388689.01547552</v>
      </c>
    </row>
    <row r="168">
      <c r="A168" s="8" t="inlineStr"/>
      <c r="B168" s="8" t="inlineStr"/>
      <c r="C168" s="8" t="inlineStr">
        <is>
          <t>Chi phí nhà tạm để ở và điều hành thi công (Gxdtt x 0,9% x (1+10%))</t>
        </is>
      </c>
      <c r="E168" s="8" t="inlineStr">
        <is>
          <t>LT</t>
        </is>
      </c>
      <c r="F168" s="8" t="n">
        <v>0.008999999999999999</v>
      </c>
      <c r="G168" s="8" t="inlineStr"/>
      <c r="H168" s="8" t="inlineStr"/>
      <c r="I168" s="8" t="n">
        <v>12498.20113927968</v>
      </c>
    </row>
    <row r="169">
      <c r="A169" s="8" t="inlineStr"/>
      <c r="B169" s="8" t="inlineStr"/>
      <c r="C169" s="8" t="inlineStr">
        <is>
          <t>TỔNG CỘNG (Gxdst + LT)</t>
        </is>
      </c>
      <c r="E169" s="8" t="inlineStr">
        <is>
          <t>Gxd</t>
        </is>
      </c>
      <c r="F169" s="8" t="inlineStr"/>
      <c r="G169" s="8" t="inlineStr"/>
      <c r="H169" s="8" t="inlineStr"/>
      <c r="I169" s="8" t="n">
        <v>1401187.2166148</v>
      </c>
    </row>
    <row r="170">
      <c r="A170" s="8" t="n">
        <v>9</v>
      </c>
      <c r="B170" s="11" t="inlineStr">
        <is>
          <t>BA.12130</t>
        </is>
      </c>
      <c r="C170" s="8" t="inlineStr">
        <is>
          <t>Dàn lạnh cassette CSL: 12.5 kW</t>
        </is>
      </c>
      <c r="D170" s="12">
        <f>HYPERLINK("tt38://pl3/6", "👉 Phụ lục III - Trang 6 (Khớp nhóm BA.121)")</f>
        <v/>
      </c>
      <c r="E170" s="8" t="inlineStr">
        <is>
          <t>máy</t>
        </is>
      </c>
      <c r="F170" s="8" t="n">
        <v>1</v>
      </c>
      <c r="G170" s="8" t="inlineStr"/>
      <c r="H170" s="8" t="inlineStr"/>
      <c r="I170" s="8" t="inlineStr"/>
    </row>
    <row r="171">
      <c r="A171" s="8" t="inlineStr"/>
      <c r="B171" s="8" t="inlineStr"/>
      <c r="C171" s="8" t="inlineStr">
        <is>
          <t>a) Vật liệu</t>
        </is>
      </c>
      <c r="E171" s="8" t="inlineStr"/>
      <c r="F171" s="8" t="inlineStr"/>
      <c r="G171" s="8" t="inlineStr"/>
      <c r="H171" s="8" t="inlineStr"/>
      <c r="I171" s="8" t="n">
        <v>525000</v>
      </c>
    </row>
    <row r="172">
      <c r="A172" s="8" t="inlineStr"/>
      <c r="B172" s="8" t="inlineStr">
        <is>
          <t>A33.0009</t>
        </is>
      </c>
      <c r="C172" s="8" t="inlineStr">
        <is>
          <t>Giá đỡ máy cassettle</t>
        </is>
      </c>
      <c r="E172" s="8" t="inlineStr">
        <is>
          <t>cái</t>
        </is>
      </c>
      <c r="F172" s="8" t="n">
        <v>1</v>
      </c>
      <c r="G172" s="8" t="n">
        <v>500000</v>
      </c>
      <c r="H172" s="8" t="n">
        <v>1</v>
      </c>
      <c r="I172" s="8" t="n">
        <v>500000</v>
      </c>
    </row>
    <row r="173">
      <c r="A173" s="8" t="inlineStr"/>
      <c r="B173" s="8" t="inlineStr">
        <is>
          <t>Z999</t>
        </is>
      </c>
      <c r="C173" s="8" t="inlineStr">
        <is>
          <t>Vật liệu khác</t>
        </is>
      </c>
      <c r="E173" s="8" t="inlineStr">
        <is>
          <t>%</t>
        </is>
      </c>
      <c r="F173" s="8" t="n">
        <v>5</v>
      </c>
      <c r="G173" s="8" t="n">
        <v>500000</v>
      </c>
      <c r="H173" s="8" t="inlineStr"/>
      <c r="I173" s="8" t="n">
        <v>25000</v>
      </c>
    </row>
    <row r="174">
      <c r="A174" s="8" t="inlineStr"/>
      <c r="B174" s="8" t="inlineStr"/>
      <c r="C174" s="8" t="inlineStr">
        <is>
          <t>Cộng</t>
        </is>
      </c>
      <c r="E174" s="8" t="inlineStr"/>
      <c r="F174" s="8" t="inlineStr"/>
      <c r="G174" s="8" t="inlineStr"/>
      <c r="H174" s="8" t="inlineStr"/>
      <c r="I174" s="8" t="n">
        <v>525000</v>
      </c>
    </row>
    <row r="175">
      <c r="A175" s="8" t="inlineStr"/>
      <c r="B175" s="8" t="inlineStr"/>
      <c r="C175" s="8" t="inlineStr">
        <is>
          <t>b) Nhân công</t>
        </is>
      </c>
      <c r="E175" s="8" t="inlineStr"/>
      <c r="F175" s="8" t="inlineStr"/>
      <c r="G175" s="8" t="inlineStr"/>
      <c r="H175" s="8" t="inlineStr"/>
      <c r="I175" s="8" t="n">
        <v>559370</v>
      </c>
    </row>
    <row r="176">
      <c r="A176" s="8" t="inlineStr"/>
      <c r="B176" s="8" t="inlineStr">
        <is>
          <t>N3</t>
        </is>
      </c>
      <c r="C176" s="8" t="inlineStr">
        <is>
          <t>Nhân công nhóm 3</t>
        </is>
      </c>
      <c r="E176" s="8" t="inlineStr">
        <is>
          <t>công</t>
        </is>
      </c>
      <c r="F176" s="8" t="n">
        <v>1.31</v>
      </c>
      <c r="G176" s="8" t="n">
        <v>427000</v>
      </c>
      <c r="H176" s="8" t="n">
        <v>1</v>
      </c>
      <c r="I176" s="8" t="n">
        <v>559370</v>
      </c>
    </row>
    <row r="177">
      <c r="A177" s="8" t="inlineStr"/>
      <c r="B177" s="8" t="inlineStr"/>
      <c r="C177" s="8" t="inlineStr">
        <is>
          <t>c) Máy thi công</t>
        </is>
      </c>
      <c r="E177" s="8" t="inlineStr"/>
      <c r="F177" s="8" t="inlineStr"/>
      <c r="G177" s="8" t="inlineStr"/>
      <c r="H177" s="8" t="inlineStr"/>
      <c r="I177" s="8" t="n">
        <v>5456.88</v>
      </c>
    </row>
    <row r="178">
      <c r="A178" s="8" t="inlineStr"/>
      <c r="B178" s="8" t="inlineStr">
        <is>
          <t>M112.1701</t>
        </is>
      </c>
      <c r="C178" s="8" t="inlineStr">
        <is>
          <t>Máy khoan bê tông cầm tay 0,62 kW</t>
        </is>
      </c>
      <c r="E178" s="8" t="inlineStr">
        <is>
          <t>ca</t>
        </is>
      </c>
      <c r="F178" s="8" t="n">
        <v>0.36</v>
      </c>
      <c r="G178" s="8" t="n">
        <v>15158</v>
      </c>
      <c r="H178" s="8" t="n">
        <v>1</v>
      </c>
      <c r="I178" s="8" t="n">
        <v>5456.88</v>
      </c>
    </row>
    <row r="179">
      <c r="A179" s="8" t="inlineStr"/>
      <c r="B179" s="8" t="inlineStr"/>
      <c r="C179" s="8" t="inlineStr">
        <is>
          <t>Cộng chi phí trực tiếp (VL+NC+M)</t>
        </is>
      </c>
      <c r="E179" s="8" t="inlineStr">
        <is>
          <t>T</t>
        </is>
      </c>
      <c r="F179" s="8" t="inlineStr"/>
      <c r="G179" s="8" t="inlineStr"/>
      <c r="H179" s="8" t="inlineStr"/>
      <c r="I179" s="8" t="n">
        <v>1089826.88</v>
      </c>
    </row>
    <row r="180">
      <c r="A180" s="8" t="inlineStr"/>
      <c r="B180" s="8" t="inlineStr"/>
      <c r="C180" s="8" t="inlineStr">
        <is>
          <t>CHI PHÍ GIÁN TIẾP</t>
        </is>
      </c>
      <c r="E180" s="8" t="inlineStr">
        <is>
          <t>GT</t>
        </is>
      </c>
      <c r="F180" s="8" t="inlineStr"/>
      <c r="G180" s="8" t="inlineStr"/>
      <c r="H180" s="8" t="inlineStr"/>
      <c r="I180" s="8" t="n">
        <v>106803.03424</v>
      </c>
    </row>
    <row r="181">
      <c r="A181" s="8" t="inlineStr"/>
      <c r="B181" s="8" t="inlineStr"/>
      <c r="C181" s="8" t="inlineStr">
        <is>
          <t>Chi phí chung (T x 7,3%)</t>
        </is>
      </c>
      <c r="E181" s="8" t="inlineStr">
        <is>
          <t>C</t>
        </is>
      </c>
      <c r="F181" s="8" t="inlineStr">
        <is>
          <t>7,3%</t>
        </is>
      </c>
      <c r="G181" s="8" t="inlineStr"/>
      <c r="H181" s="8" t="inlineStr"/>
      <c r="I181" s="8" t="n">
        <v>79557.36223999999</v>
      </c>
    </row>
    <row r="182">
      <c r="A182" s="8" t="inlineStr"/>
      <c r="B182" s="8" t="inlineStr"/>
      <c r="C182" s="8" t="inlineStr">
        <is>
          <t>Chi phí một số công việc không xác định được khối lượng từ thiết kế (T x 2,5%)</t>
        </is>
      </c>
      <c r="E182" s="8" t="inlineStr">
        <is>
          <t>TT</t>
        </is>
      </c>
      <c r="F182" s="8" t="inlineStr">
        <is>
          <t>2,5%</t>
        </is>
      </c>
      <c r="G182" s="8" t="inlineStr"/>
      <c r="H182" s="8" t="inlineStr"/>
      <c r="I182" s="8" t="n">
        <v>27245.672</v>
      </c>
    </row>
    <row r="183">
      <c r="A183" s="8" t="inlineStr"/>
      <c r="B183" s="8" t="inlineStr"/>
      <c r="C183" s="8" t="inlineStr">
        <is>
          <t>THU NHẬP CHỊU THUẾ TÍNH TRƯỚC (T+GT) x 5,5%</t>
        </is>
      </c>
      <c r="E183" s="8" t="inlineStr">
        <is>
          <t>TL</t>
        </is>
      </c>
      <c r="F183" s="8" t="inlineStr">
        <is>
          <t>5,5%</t>
        </is>
      </c>
      <c r="G183" s="8" t="inlineStr"/>
      <c r="H183" s="8" t="inlineStr"/>
      <c r="I183" s="8" t="n">
        <v>65814.64528319999</v>
      </c>
    </row>
    <row r="184">
      <c r="A184" s="8" t="inlineStr"/>
      <c r="B184" s="8" t="inlineStr"/>
      <c r="C184" s="8" t="inlineStr">
        <is>
          <t>Chi phí xây dựng trước thuế (T + GT + TL)</t>
        </is>
      </c>
      <c r="E184" s="8" t="inlineStr">
        <is>
          <t>Gxdtt</t>
        </is>
      </c>
      <c r="F184" s="8" t="inlineStr"/>
      <c r="G184" s="8" t="inlineStr"/>
      <c r="H184" s="8" t="inlineStr"/>
      <c r="I184" s="8" t="n">
        <v>1262444.5595232</v>
      </c>
    </row>
    <row r="185">
      <c r="A185" s="8" t="inlineStr"/>
      <c r="B185" s="8" t="inlineStr"/>
      <c r="C185" s="8" t="inlineStr">
        <is>
          <t>THUẾ GIÁ TRỊ GIA TĂNG (Gxdtt x 10%)</t>
        </is>
      </c>
      <c r="E185" s="8" t="inlineStr">
        <is>
          <t>GTGT</t>
        </is>
      </c>
      <c r="F185" s="8" t="n">
        <v>0.1</v>
      </c>
      <c r="G185" s="8" t="inlineStr"/>
      <c r="H185" s="8" t="inlineStr"/>
      <c r="I185" s="8" t="n">
        <v>126244.45595232</v>
      </c>
    </row>
    <row r="186">
      <c r="A186" s="8" t="inlineStr"/>
      <c r="B186" s="8" t="inlineStr"/>
      <c r="C186" s="8" t="inlineStr">
        <is>
          <t>Chi phí xây dựng sau thuế (Gxdtt + GTGT)</t>
        </is>
      </c>
      <c r="E186" s="8" t="inlineStr">
        <is>
          <t>Gxdst</t>
        </is>
      </c>
      <c r="F186" s="8" t="inlineStr"/>
      <c r="G186" s="8" t="inlineStr"/>
      <c r="H186" s="8" t="inlineStr"/>
      <c r="I186" s="8" t="n">
        <v>1388689.01547552</v>
      </c>
    </row>
    <row r="187">
      <c r="A187" s="8" t="inlineStr"/>
      <c r="B187" s="8" t="inlineStr"/>
      <c r="C187" s="8" t="inlineStr">
        <is>
          <t>Chi phí nhà tạm để ở và điều hành thi công (Gxdtt x 0,9% x (1+10%))</t>
        </is>
      </c>
      <c r="E187" s="8" t="inlineStr">
        <is>
          <t>LT</t>
        </is>
      </c>
      <c r="F187" s="8" t="n">
        <v>0.008999999999999999</v>
      </c>
      <c r="G187" s="8" t="inlineStr"/>
      <c r="H187" s="8" t="inlineStr"/>
      <c r="I187" s="8" t="n">
        <v>12498.20113927968</v>
      </c>
    </row>
    <row r="188">
      <c r="A188" s="8" t="inlineStr"/>
      <c r="B188" s="8" t="inlineStr"/>
      <c r="C188" s="8" t="inlineStr">
        <is>
          <t>TỔNG CỘNG (Gxdst + LT)</t>
        </is>
      </c>
      <c r="E188" s="8" t="inlineStr">
        <is>
          <t>Gxd</t>
        </is>
      </c>
      <c r="F188" s="8" t="inlineStr"/>
      <c r="G188" s="8" t="inlineStr"/>
      <c r="H188" s="8" t="inlineStr"/>
      <c r="I188" s="8" t="n">
        <v>1401187.2166148</v>
      </c>
    </row>
    <row r="189">
      <c r="A189" s="8" t="n">
        <v>10</v>
      </c>
      <c r="B189" s="11" t="inlineStr">
        <is>
          <t>BA.12110</t>
        </is>
      </c>
      <c r="C189" s="8" t="inlineStr">
        <is>
          <t>Dàn lạnh treo tường CSL: 2.5 kW</t>
        </is>
      </c>
      <c r="D189" s="12">
        <f>HYPERLINK("tt38://pl3/6", "👉 Phụ lục III - Trang 6 (Khớp nhóm BA.121)")</f>
        <v/>
      </c>
      <c r="E189" s="8" t="inlineStr">
        <is>
          <t>máy</t>
        </is>
      </c>
      <c r="F189" s="8" t="n">
        <v>1</v>
      </c>
      <c r="G189" s="8" t="inlineStr"/>
      <c r="H189" s="8" t="inlineStr"/>
      <c r="I189" s="8" t="inlineStr"/>
    </row>
    <row r="190">
      <c r="A190" s="8" t="inlineStr"/>
      <c r="B190" s="8" t="inlineStr"/>
      <c r="C190" s="8" t="inlineStr">
        <is>
          <t>a) Vật liệu</t>
        </is>
      </c>
      <c r="E190" s="8" t="inlineStr"/>
      <c r="F190" s="8" t="inlineStr"/>
      <c r="G190" s="8" t="inlineStr"/>
      <c r="H190" s="8" t="inlineStr"/>
      <c r="I190" s="8" t="n">
        <v>315000</v>
      </c>
    </row>
    <row r="191">
      <c r="A191" s="8" t="inlineStr"/>
      <c r="B191" s="8" t="inlineStr">
        <is>
          <t>A33.0009</t>
        </is>
      </c>
      <c r="C191" s="8" t="inlineStr">
        <is>
          <t>Giá đỡ máy treo tường</t>
        </is>
      </c>
      <c r="E191" s="8" t="inlineStr">
        <is>
          <t>cái</t>
        </is>
      </c>
      <c r="F191" s="8" t="n">
        <v>1</v>
      </c>
      <c r="G191" s="8" t="n">
        <v>300000</v>
      </c>
      <c r="H191" s="8" t="n">
        <v>1</v>
      </c>
      <c r="I191" s="8" t="n">
        <v>300000</v>
      </c>
    </row>
    <row r="192">
      <c r="A192" s="8" t="inlineStr"/>
      <c r="B192" s="8" t="inlineStr">
        <is>
          <t>Z999</t>
        </is>
      </c>
      <c r="C192" s="8" t="inlineStr">
        <is>
          <t>Vật liệu khác</t>
        </is>
      </c>
      <c r="E192" s="8" t="inlineStr">
        <is>
          <t>%</t>
        </is>
      </c>
      <c r="F192" s="8" t="n">
        <v>5</v>
      </c>
      <c r="G192" s="8" t="n">
        <v>300000</v>
      </c>
      <c r="H192" s="8" t="inlineStr"/>
      <c r="I192" s="8" t="n">
        <v>15000</v>
      </c>
    </row>
    <row r="193">
      <c r="A193" s="8" t="inlineStr"/>
      <c r="B193" s="8" t="inlineStr"/>
      <c r="C193" s="8" t="inlineStr">
        <is>
          <t>Cộng</t>
        </is>
      </c>
      <c r="E193" s="8" t="inlineStr"/>
      <c r="F193" s="8" t="inlineStr"/>
      <c r="G193" s="8" t="inlineStr"/>
      <c r="H193" s="8" t="inlineStr"/>
      <c r="I193" s="8" t="n">
        <v>315000</v>
      </c>
    </row>
    <row r="194">
      <c r="A194" s="8" t="inlineStr"/>
      <c r="B194" s="8" t="inlineStr"/>
      <c r="C194" s="8" t="inlineStr">
        <is>
          <t>b) Nhân công</t>
        </is>
      </c>
      <c r="E194" s="8" t="inlineStr"/>
      <c r="F194" s="8" t="inlineStr"/>
      <c r="G194" s="8" t="inlineStr"/>
      <c r="H194" s="8" t="inlineStr"/>
      <c r="I194" s="8" t="n">
        <v>333060</v>
      </c>
    </row>
    <row r="195">
      <c r="A195" s="8" t="inlineStr"/>
      <c r="B195" s="8" t="inlineStr">
        <is>
          <t>N3</t>
        </is>
      </c>
      <c r="C195" s="8" t="inlineStr">
        <is>
          <t>Nhân công nhóm 3</t>
        </is>
      </c>
      <c r="E195" s="8" t="inlineStr">
        <is>
          <t>công</t>
        </is>
      </c>
      <c r="F195" s="8" t="n">
        <v>0.78</v>
      </c>
      <c r="G195" s="8" t="n">
        <v>427000</v>
      </c>
      <c r="H195" s="8" t="n">
        <v>1</v>
      </c>
      <c r="I195" s="8" t="n">
        <v>333060</v>
      </c>
    </row>
    <row r="196">
      <c r="A196" s="8" t="inlineStr"/>
      <c r="B196" s="8" t="inlineStr"/>
      <c r="C196" s="8" t="inlineStr">
        <is>
          <t>c) Máy thi công</t>
        </is>
      </c>
      <c r="E196" s="8" t="inlineStr"/>
      <c r="F196" s="8" t="inlineStr"/>
      <c r="G196" s="8" t="inlineStr"/>
      <c r="H196" s="8" t="inlineStr"/>
      <c r="I196" s="8" t="n">
        <v>4547.4</v>
      </c>
    </row>
    <row r="197">
      <c r="A197" s="8" t="inlineStr"/>
      <c r="B197" s="8" t="inlineStr">
        <is>
          <t>M112.1701</t>
        </is>
      </c>
      <c r="C197" s="8" t="inlineStr">
        <is>
          <t>Máy khoan bê tông cầm tay 0,62 kW</t>
        </is>
      </c>
      <c r="E197" s="8" t="inlineStr">
        <is>
          <t>ca</t>
        </is>
      </c>
      <c r="F197" s="8" t="n">
        <v>0.3</v>
      </c>
      <c r="G197" s="8" t="n">
        <v>15158</v>
      </c>
      <c r="H197" s="8" t="n">
        <v>1</v>
      </c>
      <c r="I197" s="8" t="n">
        <v>4547.4</v>
      </c>
    </row>
    <row r="198">
      <c r="A198" s="8" t="inlineStr"/>
      <c r="B198" s="8" t="inlineStr"/>
      <c r="C198" s="8" t="inlineStr">
        <is>
          <t>Cộng chi phí trực tiếp (VL+NC+M)</t>
        </is>
      </c>
      <c r="E198" s="8" t="inlineStr">
        <is>
          <t>T</t>
        </is>
      </c>
      <c r="F198" s="8" t="inlineStr"/>
      <c r="G198" s="8" t="inlineStr"/>
      <c r="H198" s="8" t="inlineStr"/>
      <c r="I198" s="8" t="n">
        <v>652607.4</v>
      </c>
    </row>
    <row r="199">
      <c r="A199" s="8" t="inlineStr"/>
      <c r="B199" s="8" t="inlineStr"/>
      <c r="C199" s="8" t="inlineStr">
        <is>
          <t>CHI PHÍ GIÁN TIẾP</t>
        </is>
      </c>
      <c r="E199" s="8" t="inlineStr">
        <is>
          <t>GT</t>
        </is>
      </c>
      <c r="F199" s="8" t="inlineStr"/>
      <c r="G199" s="8" t="inlineStr"/>
      <c r="H199" s="8" t="inlineStr"/>
      <c r="I199" s="8" t="n">
        <v>63955.5252</v>
      </c>
    </row>
    <row r="200">
      <c r="A200" s="8" t="inlineStr"/>
      <c r="B200" s="8" t="inlineStr"/>
      <c r="C200" s="8" t="inlineStr">
        <is>
          <t>Chi phí chung (T x 7,3%)</t>
        </is>
      </c>
      <c r="E200" s="8" t="inlineStr">
        <is>
          <t>C</t>
        </is>
      </c>
      <c r="F200" s="8" t="inlineStr">
        <is>
          <t>7,3%</t>
        </is>
      </c>
      <c r="G200" s="8" t="inlineStr"/>
      <c r="H200" s="8" t="inlineStr"/>
      <c r="I200" s="8" t="n">
        <v>47640.3402</v>
      </c>
    </row>
    <row r="201">
      <c r="A201" s="8" t="inlineStr"/>
      <c r="B201" s="8" t="inlineStr"/>
      <c r="C201" s="8" t="inlineStr">
        <is>
          <t>Chi phí một số công việc không xác định được khối lượng từ thiết kế (T x 2,5%)</t>
        </is>
      </c>
      <c r="E201" s="8" t="inlineStr">
        <is>
          <t>TT</t>
        </is>
      </c>
      <c r="F201" s="8" t="inlineStr">
        <is>
          <t>2,5%</t>
        </is>
      </c>
      <c r="G201" s="8" t="inlineStr"/>
      <c r="H201" s="8" t="inlineStr"/>
      <c r="I201" s="8" t="n">
        <v>16315.185</v>
      </c>
    </row>
    <row r="202">
      <c r="A202" s="8" t="inlineStr"/>
      <c r="B202" s="8" t="inlineStr"/>
      <c r="C202" s="8" t="inlineStr">
        <is>
          <t>THU NHẬP CHỊU THUẾ TÍNH TRƯỚC (T+GT) x 5,5%</t>
        </is>
      </c>
      <c r="E202" s="8" t="inlineStr">
        <is>
          <t>TL</t>
        </is>
      </c>
      <c r="F202" s="8" t="inlineStr">
        <is>
          <t>5,5%</t>
        </is>
      </c>
      <c r="G202" s="8" t="inlineStr"/>
      <c r="H202" s="8" t="inlineStr"/>
      <c r="I202" s="8" t="n">
        <v>39410.960886</v>
      </c>
    </row>
    <row r="203">
      <c r="A203" s="8" t="inlineStr"/>
      <c r="B203" s="8" t="inlineStr"/>
      <c r="C203" s="8" t="inlineStr">
        <is>
          <t>Chi phí xây dựng trước thuế (T + GT + TL)</t>
        </is>
      </c>
      <c r="E203" s="8" t="inlineStr">
        <is>
          <t>Gxdtt</t>
        </is>
      </c>
      <c r="F203" s="8" t="inlineStr"/>
      <c r="G203" s="8" t="inlineStr"/>
      <c r="H203" s="8" t="inlineStr"/>
      <c r="I203" s="8" t="n">
        <v>755973.886086</v>
      </c>
    </row>
    <row r="204">
      <c r="A204" s="8" t="inlineStr"/>
      <c r="B204" s="8" t="inlineStr"/>
      <c r="C204" s="8" t="inlineStr">
        <is>
          <t>THUẾ GIÁ TRỊ GIA TĂNG (Gxdtt x 10%)</t>
        </is>
      </c>
      <c r="E204" s="8" t="inlineStr">
        <is>
          <t>GTGT</t>
        </is>
      </c>
      <c r="F204" s="8" t="n">
        <v>0.1</v>
      </c>
      <c r="G204" s="8" t="inlineStr"/>
      <c r="H204" s="8" t="inlineStr"/>
      <c r="I204" s="8" t="n">
        <v>75597.3886086</v>
      </c>
    </row>
    <row r="205">
      <c r="A205" s="8" t="inlineStr"/>
      <c r="B205" s="8" t="inlineStr"/>
      <c r="C205" s="8" t="inlineStr">
        <is>
          <t>Chi phí xây dựng sau thuế (Gxdtt + GTGT)</t>
        </is>
      </c>
      <c r="E205" s="8" t="inlineStr">
        <is>
          <t>Gxdst</t>
        </is>
      </c>
      <c r="F205" s="8" t="inlineStr"/>
      <c r="G205" s="8" t="inlineStr"/>
      <c r="H205" s="8" t="inlineStr"/>
      <c r="I205" s="8" t="n">
        <v>831571.2746946</v>
      </c>
    </row>
    <row r="206">
      <c r="A206" s="8" t="inlineStr"/>
      <c r="B206" s="8" t="inlineStr"/>
      <c r="C206" s="8" t="inlineStr">
        <is>
          <t>Chi phí nhà tạm để ở và điều hành thi công (Gxdtt x 0,9% x (1+10%))</t>
        </is>
      </c>
      <c r="E206" s="8" t="inlineStr">
        <is>
          <t>LT</t>
        </is>
      </c>
      <c r="F206" s="8" t="n">
        <v>0.008999999999999999</v>
      </c>
      <c r="G206" s="8" t="inlineStr"/>
      <c r="H206" s="8" t="inlineStr"/>
      <c r="I206" s="8" t="n">
        <v>7484.1414722514</v>
      </c>
    </row>
    <row r="207">
      <c r="A207" s="8" t="inlineStr"/>
      <c r="B207" s="8" t="inlineStr"/>
      <c r="C207" s="8" t="inlineStr">
        <is>
          <t>TỔNG CỘNG (Gxdst + LT)</t>
        </is>
      </c>
      <c r="E207" s="8" t="inlineStr">
        <is>
          <t>Gxd</t>
        </is>
      </c>
      <c r="F207" s="8" t="inlineStr"/>
      <c r="G207" s="8" t="inlineStr"/>
      <c r="H207" s="8" t="inlineStr"/>
      <c r="I207" s="8" t="n">
        <v>839055.4161668514</v>
      </c>
    </row>
    <row r="208">
      <c r="A208" s="8" t="n">
        <v>11</v>
      </c>
      <c r="B208" s="11" t="inlineStr">
        <is>
          <t>BA.12110</t>
        </is>
      </c>
      <c r="C208" s="8" t="inlineStr">
        <is>
          <t>Dàn lạnh treo tường CSL: 5.0 kW</t>
        </is>
      </c>
      <c r="D208" s="12">
        <f>HYPERLINK("tt38://pl3/6", "👉 Phụ lục III - Trang 6 (Khớp nhóm BA.121)")</f>
        <v/>
      </c>
      <c r="E208" s="8" t="inlineStr">
        <is>
          <t>máy</t>
        </is>
      </c>
      <c r="F208" s="8" t="n">
        <v>1</v>
      </c>
      <c r="G208" s="8" t="inlineStr"/>
      <c r="H208" s="8" t="inlineStr"/>
      <c r="I208" s="8" t="inlineStr"/>
    </row>
    <row r="209">
      <c r="A209" s="8" t="inlineStr"/>
      <c r="B209" s="8" t="inlineStr"/>
      <c r="C209" s="8" t="inlineStr">
        <is>
          <t>a) Vật liệu</t>
        </is>
      </c>
      <c r="E209" s="8" t="inlineStr"/>
      <c r="F209" s="8" t="inlineStr"/>
      <c r="G209" s="8" t="inlineStr"/>
      <c r="H209" s="8" t="inlineStr"/>
      <c r="I209" s="8" t="n">
        <v>315000</v>
      </c>
    </row>
    <row r="210">
      <c r="A210" s="8" t="inlineStr"/>
      <c r="B210" s="8" t="inlineStr">
        <is>
          <t>A33.0009</t>
        </is>
      </c>
      <c r="C210" s="8" t="inlineStr">
        <is>
          <t>Giá đỡ máy treo tường</t>
        </is>
      </c>
      <c r="E210" s="8" t="inlineStr">
        <is>
          <t>cái</t>
        </is>
      </c>
      <c r="F210" s="8" t="n">
        <v>1</v>
      </c>
      <c r="G210" s="8" t="n">
        <v>300000</v>
      </c>
      <c r="H210" s="8" t="n">
        <v>1</v>
      </c>
      <c r="I210" s="8" t="n">
        <v>300000</v>
      </c>
    </row>
    <row r="211">
      <c r="A211" s="8" t="inlineStr"/>
      <c r="B211" s="8" t="inlineStr">
        <is>
          <t>Z999</t>
        </is>
      </c>
      <c r="C211" s="8" t="inlineStr">
        <is>
          <t>Vật liệu khác</t>
        </is>
      </c>
      <c r="E211" s="8" t="inlineStr">
        <is>
          <t>%</t>
        </is>
      </c>
      <c r="F211" s="8" t="n">
        <v>5</v>
      </c>
      <c r="G211" s="8" t="n">
        <v>300000</v>
      </c>
      <c r="H211" s="8" t="inlineStr"/>
      <c r="I211" s="8" t="n">
        <v>15000</v>
      </c>
    </row>
    <row r="212">
      <c r="A212" s="8" t="inlineStr"/>
      <c r="B212" s="8" t="inlineStr"/>
      <c r="C212" s="8" t="inlineStr">
        <is>
          <t>Cộng</t>
        </is>
      </c>
      <c r="E212" s="8" t="inlineStr"/>
      <c r="F212" s="8" t="inlineStr"/>
      <c r="G212" s="8" t="inlineStr"/>
      <c r="H212" s="8" t="inlineStr"/>
      <c r="I212" s="8" t="n">
        <v>315000</v>
      </c>
    </row>
    <row r="213">
      <c r="A213" s="8" t="inlineStr"/>
      <c r="B213" s="8" t="inlineStr"/>
      <c r="C213" s="8" t="inlineStr">
        <is>
          <t>b) Nhân công</t>
        </is>
      </c>
      <c r="E213" s="8" t="inlineStr"/>
      <c r="F213" s="8" t="inlineStr"/>
      <c r="G213" s="8" t="inlineStr"/>
      <c r="H213" s="8" t="inlineStr"/>
      <c r="I213" s="8" t="n">
        <v>333060</v>
      </c>
    </row>
    <row r="214">
      <c r="A214" s="8" t="inlineStr"/>
      <c r="B214" s="8" t="inlineStr">
        <is>
          <t>N3</t>
        </is>
      </c>
      <c r="C214" s="8" t="inlineStr">
        <is>
          <t>Nhân công nhóm 3</t>
        </is>
      </c>
      <c r="E214" s="8" t="inlineStr">
        <is>
          <t>công</t>
        </is>
      </c>
      <c r="F214" s="8" t="n">
        <v>0.78</v>
      </c>
      <c r="G214" s="8" t="n">
        <v>427000</v>
      </c>
      <c r="H214" s="8" t="n">
        <v>1</v>
      </c>
      <c r="I214" s="8" t="n">
        <v>333060</v>
      </c>
    </row>
    <row r="215">
      <c r="A215" s="8" t="inlineStr"/>
      <c r="B215" s="8" t="inlineStr"/>
      <c r="C215" s="8" t="inlineStr">
        <is>
          <t>c) Máy thi công</t>
        </is>
      </c>
      <c r="E215" s="8" t="inlineStr"/>
      <c r="F215" s="8" t="inlineStr"/>
      <c r="G215" s="8" t="inlineStr"/>
      <c r="H215" s="8" t="inlineStr"/>
      <c r="I215" s="8" t="n">
        <v>4547.4</v>
      </c>
    </row>
    <row r="216">
      <c r="A216" s="8" t="inlineStr"/>
      <c r="B216" s="8" t="inlineStr">
        <is>
          <t>M112.1701</t>
        </is>
      </c>
      <c r="C216" s="8" t="inlineStr">
        <is>
          <t>Máy khoan bê tông cầm tay 0,62 kW</t>
        </is>
      </c>
      <c r="E216" s="8" t="inlineStr">
        <is>
          <t>ca</t>
        </is>
      </c>
      <c r="F216" s="8" t="n">
        <v>0.3</v>
      </c>
      <c r="G216" s="8" t="n">
        <v>15158</v>
      </c>
      <c r="H216" s="8" t="n">
        <v>1</v>
      </c>
      <c r="I216" s="8" t="n">
        <v>4547.4</v>
      </c>
    </row>
    <row r="217">
      <c r="A217" s="8" t="inlineStr"/>
      <c r="B217" s="8" t="inlineStr"/>
      <c r="C217" s="8" t="inlineStr">
        <is>
          <t>Cộng chi phí trực tiếp (VL+NC+M)</t>
        </is>
      </c>
      <c r="E217" s="8" t="inlineStr">
        <is>
          <t>T</t>
        </is>
      </c>
      <c r="F217" s="8" t="inlineStr"/>
      <c r="G217" s="8" t="inlineStr"/>
      <c r="H217" s="8" t="inlineStr"/>
      <c r="I217" s="8" t="n">
        <v>652607.4</v>
      </c>
    </row>
    <row r="218">
      <c r="A218" s="8" t="inlineStr"/>
      <c r="B218" s="8" t="inlineStr"/>
      <c r="C218" s="8" t="inlineStr">
        <is>
          <t>CHI PHÍ GIÁN TIẾP</t>
        </is>
      </c>
      <c r="E218" s="8" t="inlineStr">
        <is>
          <t>GT</t>
        </is>
      </c>
      <c r="F218" s="8" t="inlineStr"/>
      <c r="G218" s="8" t="inlineStr"/>
      <c r="H218" s="8" t="inlineStr"/>
      <c r="I218" s="8" t="n">
        <v>63955.5252</v>
      </c>
    </row>
    <row r="219">
      <c r="A219" s="8" t="inlineStr"/>
      <c r="B219" s="8" t="inlineStr"/>
      <c r="C219" s="8" t="inlineStr">
        <is>
          <t>Chi phí chung (T x 7,3%)</t>
        </is>
      </c>
      <c r="E219" s="8" t="inlineStr">
        <is>
          <t>C</t>
        </is>
      </c>
      <c r="F219" s="8" t="inlineStr">
        <is>
          <t>7,3%</t>
        </is>
      </c>
      <c r="G219" s="8" t="inlineStr"/>
      <c r="H219" s="8" t="inlineStr"/>
      <c r="I219" s="8" t="n">
        <v>47640.3402</v>
      </c>
    </row>
    <row r="220">
      <c r="A220" s="8" t="inlineStr"/>
      <c r="B220" s="8" t="inlineStr"/>
      <c r="C220" s="8" t="inlineStr">
        <is>
          <t>Chi phí một số công việc không xác định được khối lượng từ thiết kế (T x 2,5%)</t>
        </is>
      </c>
      <c r="E220" s="8" t="inlineStr">
        <is>
          <t>TT</t>
        </is>
      </c>
      <c r="F220" s="8" t="inlineStr">
        <is>
          <t>2,5%</t>
        </is>
      </c>
      <c r="G220" s="8" t="inlineStr"/>
      <c r="H220" s="8" t="inlineStr"/>
      <c r="I220" s="8" t="n">
        <v>16315.185</v>
      </c>
    </row>
    <row r="221">
      <c r="A221" s="8" t="inlineStr"/>
      <c r="B221" s="8" t="inlineStr"/>
      <c r="C221" s="8" t="inlineStr">
        <is>
          <t>THU NHẬP CHỊU THUẾ TÍNH TRƯỚC (T+GT) x 5,5%</t>
        </is>
      </c>
      <c r="E221" s="8" t="inlineStr">
        <is>
          <t>TL</t>
        </is>
      </c>
      <c r="F221" s="8" t="inlineStr">
        <is>
          <t>5,5%</t>
        </is>
      </c>
      <c r="G221" s="8" t="inlineStr"/>
      <c r="H221" s="8" t="inlineStr"/>
      <c r="I221" s="8" t="n">
        <v>39410.960886</v>
      </c>
    </row>
    <row r="222">
      <c r="A222" s="8" t="inlineStr"/>
      <c r="B222" s="8" t="inlineStr"/>
      <c r="C222" s="8" t="inlineStr">
        <is>
          <t>Chi phí xây dựng trước thuế (T + GT + TL)</t>
        </is>
      </c>
      <c r="E222" s="8" t="inlineStr">
        <is>
          <t>Gxdtt</t>
        </is>
      </c>
      <c r="F222" s="8" t="inlineStr"/>
      <c r="G222" s="8" t="inlineStr"/>
      <c r="H222" s="8" t="inlineStr"/>
      <c r="I222" s="8" t="n">
        <v>755973.886086</v>
      </c>
    </row>
    <row r="223">
      <c r="A223" s="8" t="inlineStr"/>
      <c r="B223" s="8" t="inlineStr"/>
      <c r="C223" s="8" t="inlineStr">
        <is>
          <t>THUẾ GIÁ TRỊ GIA TĂNG (Gxdtt x 10%)</t>
        </is>
      </c>
      <c r="E223" s="8" t="inlineStr">
        <is>
          <t>GTGT</t>
        </is>
      </c>
      <c r="F223" s="8" t="n">
        <v>0.1</v>
      </c>
      <c r="G223" s="8" t="inlineStr"/>
      <c r="H223" s="8" t="inlineStr"/>
      <c r="I223" s="8" t="n">
        <v>75597.3886086</v>
      </c>
    </row>
    <row r="224">
      <c r="A224" s="8" t="inlineStr"/>
      <c r="B224" s="8" t="inlineStr"/>
      <c r="C224" s="8" t="inlineStr">
        <is>
          <t>Chi phí xây dựng sau thuế (Gxdtt + GTGT)</t>
        </is>
      </c>
      <c r="E224" s="8" t="inlineStr">
        <is>
          <t>Gxdst</t>
        </is>
      </c>
      <c r="F224" s="8" t="inlineStr"/>
      <c r="G224" s="8" t="inlineStr"/>
      <c r="H224" s="8" t="inlineStr"/>
      <c r="I224" s="8" t="n">
        <v>831571.2746946</v>
      </c>
    </row>
    <row r="225">
      <c r="A225" s="8" t="inlineStr"/>
      <c r="B225" s="8" t="inlineStr"/>
      <c r="C225" s="8" t="inlineStr">
        <is>
          <t>Chi phí nhà tạm để ở và điều hành thi công (Gxdtt x 0,9% x (1+10%))</t>
        </is>
      </c>
      <c r="E225" s="8" t="inlineStr">
        <is>
          <t>LT</t>
        </is>
      </c>
      <c r="F225" s="8" t="n">
        <v>0.008999999999999999</v>
      </c>
      <c r="G225" s="8" t="inlineStr"/>
      <c r="H225" s="8" t="inlineStr"/>
      <c r="I225" s="8" t="n">
        <v>7484.1414722514</v>
      </c>
    </row>
    <row r="226">
      <c r="A226" s="8" t="inlineStr"/>
      <c r="B226" s="8" t="inlineStr"/>
      <c r="C226" s="8" t="inlineStr">
        <is>
          <t>TỔNG CỘNG (Gxdst + LT)</t>
        </is>
      </c>
      <c r="E226" s="8" t="inlineStr">
        <is>
          <t>Gxd</t>
        </is>
      </c>
      <c r="F226" s="8" t="inlineStr"/>
      <c r="G226" s="8" t="inlineStr"/>
      <c r="H226" s="8" t="inlineStr"/>
      <c r="I226" s="8" t="n">
        <v>839055.4161668514</v>
      </c>
    </row>
    <row r="227">
      <c r="A227" s="8" t="n">
        <v>12</v>
      </c>
      <c r="B227" s="11" t="inlineStr">
        <is>
          <t>BA.12110</t>
        </is>
      </c>
      <c r="C227" s="8" t="inlineStr">
        <is>
          <t>Dàn lạnh treo tường CSL: 7.1 kW</t>
        </is>
      </c>
      <c r="D227" s="12">
        <f>HYPERLINK("tt38://pl3/6", "👉 Phụ lục III - Trang 6 (Khớp nhóm BA.121)")</f>
        <v/>
      </c>
      <c r="E227" s="8" t="inlineStr">
        <is>
          <t>máy</t>
        </is>
      </c>
      <c r="F227" s="8" t="n">
        <v>1</v>
      </c>
      <c r="G227" s="8" t="inlineStr"/>
      <c r="H227" s="8" t="inlineStr"/>
      <c r="I227" s="8" t="inlineStr"/>
    </row>
    <row r="228">
      <c r="A228" s="8" t="inlineStr"/>
      <c r="B228" s="8" t="inlineStr"/>
      <c r="C228" s="8" t="inlineStr">
        <is>
          <t>a) Vật liệu</t>
        </is>
      </c>
      <c r="E228" s="8" t="inlineStr"/>
      <c r="F228" s="8" t="inlineStr"/>
      <c r="G228" s="8" t="inlineStr"/>
      <c r="H228" s="8" t="inlineStr"/>
      <c r="I228" s="8" t="n">
        <v>315000</v>
      </c>
    </row>
    <row r="229">
      <c r="A229" s="8" t="inlineStr"/>
      <c r="B229" s="8" t="inlineStr">
        <is>
          <t>A33.0009</t>
        </is>
      </c>
      <c r="C229" s="8" t="inlineStr">
        <is>
          <t>Giá đỡ máy treo tường</t>
        </is>
      </c>
      <c r="E229" s="8" t="inlineStr">
        <is>
          <t>cái</t>
        </is>
      </c>
      <c r="F229" s="8" t="n">
        <v>1</v>
      </c>
      <c r="G229" s="8" t="n">
        <v>300000</v>
      </c>
      <c r="H229" s="8" t="n">
        <v>1</v>
      </c>
      <c r="I229" s="8" t="n">
        <v>300000</v>
      </c>
    </row>
    <row r="230">
      <c r="A230" s="8" t="inlineStr"/>
      <c r="B230" s="8" t="inlineStr">
        <is>
          <t>Z999</t>
        </is>
      </c>
      <c r="C230" s="8" t="inlineStr">
        <is>
          <t>Vật liệu khác</t>
        </is>
      </c>
      <c r="E230" s="8" t="inlineStr">
        <is>
          <t>%</t>
        </is>
      </c>
      <c r="F230" s="8" t="n">
        <v>5</v>
      </c>
      <c r="G230" s="8" t="n">
        <v>300000</v>
      </c>
      <c r="H230" s="8" t="inlineStr"/>
      <c r="I230" s="8" t="n">
        <v>15000</v>
      </c>
    </row>
    <row r="231">
      <c r="A231" s="8" t="inlineStr"/>
      <c r="B231" s="8" t="inlineStr"/>
      <c r="C231" s="8" t="inlineStr">
        <is>
          <t>Cộng</t>
        </is>
      </c>
      <c r="E231" s="8" t="inlineStr"/>
      <c r="F231" s="8" t="inlineStr"/>
      <c r="G231" s="8" t="inlineStr"/>
      <c r="H231" s="8" t="inlineStr"/>
      <c r="I231" s="8" t="n">
        <v>315000</v>
      </c>
    </row>
    <row r="232">
      <c r="A232" s="8" t="inlineStr"/>
      <c r="B232" s="8" t="inlineStr"/>
      <c r="C232" s="8" t="inlineStr">
        <is>
          <t>b) Nhân công</t>
        </is>
      </c>
      <c r="E232" s="8" t="inlineStr"/>
      <c r="F232" s="8" t="inlineStr"/>
      <c r="G232" s="8" t="inlineStr"/>
      <c r="H232" s="8" t="inlineStr"/>
      <c r="I232" s="8" t="n">
        <v>333060</v>
      </c>
    </row>
    <row r="233">
      <c r="A233" s="8" t="inlineStr"/>
      <c r="B233" s="8" t="inlineStr">
        <is>
          <t>N3</t>
        </is>
      </c>
      <c r="C233" s="8" t="inlineStr">
        <is>
          <t>Nhân công nhóm 3</t>
        </is>
      </c>
      <c r="E233" s="8" t="inlineStr">
        <is>
          <t>công</t>
        </is>
      </c>
      <c r="F233" s="8" t="n">
        <v>0.78</v>
      </c>
      <c r="G233" s="8" t="n">
        <v>427000</v>
      </c>
      <c r="H233" s="8" t="n">
        <v>1</v>
      </c>
      <c r="I233" s="8" t="n">
        <v>333060</v>
      </c>
    </row>
    <row r="234">
      <c r="A234" s="8" t="inlineStr"/>
      <c r="B234" s="8" t="inlineStr"/>
      <c r="C234" s="8" t="inlineStr">
        <is>
          <t>c) Máy thi công</t>
        </is>
      </c>
      <c r="E234" s="8" t="inlineStr"/>
      <c r="F234" s="8" t="inlineStr"/>
      <c r="G234" s="8" t="inlineStr"/>
      <c r="H234" s="8" t="inlineStr"/>
      <c r="I234" s="8" t="n">
        <v>4547.4</v>
      </c>
    </row>
    <row r="235">
      <c r="A235" s="8" t="inlineStr"/>
      <c r="B235" s="8" t="inlineStr">
        <is>
          <t>M112.1701</t>
        </is>
      </c>
      <c r="C235" s="8" t="inlineStr">
        <is>
          <t>Máy khoan bê tông cầm tay 0,62 kW</t>
        </is>
      </c>
      <c r="E235" s="8" t="inlineStr">
        <is>
          <t>ca</t>
        </is>
      </c>
      <c r="F235" s="8" t="n">
        <v>0.3</v>
      </c>
      <c r="G235" s="8" t="n">
        <v>15158</v>
      </c>
      <c r="H235" s="8" t="n">
        <v>1</v>
      </c>
      <c r="I235" s="8" t="n">
        <v>4547.4</v>
      </c>
    </row>
    <row r="236">
      <c r="A236" s="8" t="inlineStr"/>
      <c r="B236" s="8" t="inlineStr"/>
      <c r="C236" s="8" t="inlineStr">
        <is>
          <t>Cộng chi phí trực tiếp (VL+NC+M)</t>
        </is>
      </c>
      <c r="E236" s="8" t="inlineStr">
        <is>
          <t>T</t>
        </is>
      </c>
      <c r="F236" s="8" t="inlineStr"/>
      <c r="G236" s="8" t="inlineStr"/>
      <c r="H236" s="8" t="inlineStr"/>
      <c r="I236" s="8" t="n">
        <v>652607.4</v>
      </c>
    </row>
    <row r="237">
      <c r="A237" s="8" t="inlineStr"/>
      <c r="B237" s="8" t="inlineStr"/>
      <c r="C237" s="8" t="inlineStr">
        <is>
          <t>CHI PHÍ GIÁN TIẾP</t>
        </is>
      </c>
      <c r="E237" s="8" t="inlineStr">
        <is>
          <t>GT</t>
        </is>
      </c>
      <c r="F237" s="8" t="inlineStr"/>
      <c r="G237" s="8" t="inlineStr"/>
      <c r="H237" s="8" t="inlineStr"/>
      <c r="I237" s="8" t="n">
        <v>63955.5252</v>
      </c>
    </row>
    <row r="238">
      <c r="A238" s="8" t="inlineStr"/>
      <c r="B238" s="8" t="inlineStr"/>
      <c r="C238" s="8" t="inlineStr">
        <is>
          <t>Chi phí chung (T x 7,3%)</t>
        </is>
      </c>
      <c r="E238" s="8" t="inlineStr">
        <is>
          <t>C</t>
        </is>
      </c>
      <c r="F238" s="8" t="inlineStr">
        <is>
          <t>7,3%</t>
        </is>
      </c>
      <c r="G238" s="8" t="inlineStr"/>
      <c r="H238" s="8" t="inlineStr"/>
      <c r="I238" s="8" t="n">
        <v>47640.3402</v>
      </c>
    </row>
    <row r="239">
      <c r="A239" s="8" t="inlineStr"/>
      <c r="B239" s="8" t="inlineStr"/>
      <c r="C239" s="8" t="inlineStr">
        <is>
          <t>Chi phí một số công việc không xác định được khối lượng từ thiết kế (T x 2,5%)</t>
        </is>
      </c>
      <c r="E239" s="8" t="inlineStr">
        <is>
          <t>TT</t>
        </is>
      </c>
      <c r="F239" s="8" t="inlineStr">
        <is>
          <t>2,5%</t>
        </is>
      </c>
      <c r="G239" s="8" t="inlineStr"/>
      <c r="H239" s="8" t="inlineStr"/>
      <c r="I239" s="8" t="n">
        <v>16315.185</v>
      </c>
    </row>
    <row r="240">
      <c r="A240" s="8" t="inlineStr"/>
      <c r="B240" s="8" t="inlineStr"/>
      <c r="C240" s="8" t="inlineStr">
        <is>
          <t>THU NHẬP CHỊU THUẾ TÍNH TRƯỚC (T+GT) x 5,5%</t>
        </is>
      </c>
      <c r="E240" s="8" t="inlineStr">
        <is>
          <t>TL</t>
        </is>
      </c>
      <c r="F240" s="8" t="inlineStr">
        <is>
          <t>5,5%</t>
        </is>
      </c>
      <c r="G240" s="8" t="inlineStr"/>
      <c r="H240" s="8" t="inlineStr"/>
      <c r="I240" s="8" t="n">
        <v>39410.960886</v>
      </c>
    </row>
    <row r="241">
      <c r="A241" s="8" t="inlineStr"/>
      <c r="B241" s="8" t="inlineStr"/>
      <c r="C241" s="8" t="inlineStr">
        <is>
          <t>Chi phí xây dựng trước thuế (T + GT + TL)</t>
        </is>
      </c>
      <c r="E241" s="8" t="inlineStr">
        <is>
          <t>Gxdtt</t>
        </is>
      </c>
      <c r="F241" s="8" t="inlineStr"/>
      <c r="G241" s="8" t="inlineStr"/>
      <c r="H241" s="8" t="inlineStr"/>
      <c r="I241" s="8" t="n">
        <v>755973.886086</v>
      </c>
    </row>
    <row r="242">
      <c r="A242" s="8" t="inlineStr"/>
      <c r="B242" s="8" t="inlineStr"/>
      <c r="C242" s="8" t="inlineStr">
        <is>
          <t>THUẾ GIÁ TRỊ GIA TĂNG (Gxdtt x 10%)</t>
        </is>
      </c>
      <c r="E242" s="8" t="inlineStr">
        <is>
          <t>GTGT</t>
        </is>
      </c>
      <c r="F242" s="8" t="n">
        <v>0.1</v>
      </c>
      <c r="G242" s="8" t="inlineStr"/>
      <c r="H242" s="8" t="inlineStr"/>
      <c r="I242" s="8" t="n">
        <v>75597.3886086</v>
      </c>
    </row>
    <row r="243">
      <c r="A243" s="8" t="inlineStr"/>
      <c r="B243" s="8" t="inlineStr"/>
      <c r="C243" s="8" t="inlineStr">
        <is>
          <t>Chi phí xây dựng sau thuế (Gxdtt + GTGT)</t>
        </is>
      </c>
      <c r="E243" s="8" t="inlineStr">
        <is>
          <t>Gxdst</t>
        </is>
      </c>
      <c r="F243" s="8" t="inlineStr"/>
      <c r="G243" s="8" t="inlineStr"/>
      <c r="H243" s="8" t="inlineStr"/>
      <c r="I243" s="8" t="n">
        <v>831571.2746946</v>
      </c>
    </row>
    <row r="244">
      <c r="A244" s="8" t="inlineStr"/>
      <c r="B244" s="8" t="inlineStr"/>
      <c r="C244" s="8" t="inlineStr">
        <is>
          <t>Chi phí nhà tạm để ở và điều hành thi công (Gxdtt x 0,9% x (1+10%))</t>
        </is>
      </c>
      <c r="E244" s="8" t="inlineStr">
        <is>
          <t>LT</t>
        </is>
      </c>
      <c r="F244" s="8" t="n">
        <v>0.008999999999999999</v>
      </c>
      <c r="G244" s="8" t="inlineStr"/>
      <c r="H244" s="8" t="inlineStr"/>
      <c r="I244" s="8" t="n">
        <v>7484.1414722514</v>
      </c>
    </row>
    <row r="245">
      <c r="A245" s="8" t="inlineStr"/>
      <c r="B245" s="8" t="inlineStr"/>
      <c r="C245" s="8" t="inlineStr">
        <is>
          <t>TỔNG CỘNG (Gxdst + LT)</t>
        </is>
      </c>
      <c r="E245" s="8" t="inlineStr">
        <is>
          <t>Gxd</t>
        </is>
      </c>
      <c r="F245" s="8" t="inlineStr"/>
      <c r="G245" s="8" t="inlineStr"/>
      <c r="H245" s="8" t="inlineStr"/>
      <c r="I245" s="8" t="n">
        <v>839055.4161668514</v>
      </c>
    </row>
    <row r="246">
      <c r="A246" s="8" t="inlineStr">
        <is>
          <t>BẢNG CHIẾT TÍNH DỰ THẦU HẠNG MỤC CÔNG TRÌNH</t>
        </is>
      </c>
      <c r="B246" s="8" t="inlineStr"/>
      <c r="C246" s="8" t="inlineStr"/>
      <c r="E246" s="8" t="inlineStr"/>
      <c r="F246" s="8" t="inlineStr"/>
      <c r="G246" s="8" t="inlineStr"/>
      <c r="H246" s="8" t="inlineStr"/>
      <c r="I246" s="8" t="inlineStr"/>
    </row>
    <row r="247">
      <c r="A247" s="8" t="inlineStr">
        <is>
          <t>DỰ ÁN: XÂY DỰNG NHÀ Ở CHO LỰC LƯỢNG VŨ TRANG CÔNG AN NHÂN DÂN TẠI Ô ĐẤT NO1 THUỘC LÔ ĐẤT D12 KHU ĐÔ THỊ MỚI CẦU GIẤY,
 PHƯỜNG CẦU GIẤY, THÀNH PHỐ HÀ NỘI</t>
        </is>
      </c>
      <c r="B247" s="8" t="inlineStr"/>
      <c r="C247" s="8" t="inlineStr"/>
      <c r="E247" s="8" t="inlineStr"/>
      <c r="F247" s="8" t="inlineStr"/>
      <c r="G247" s="8" t="inlineStr"/>
      <c r="H247" s="8" t="inlineStr"/>
      <c r="I247" s="8" t="inlineStr"/>
    </row>
    <row r="248">
      <c r="A248" s="8" t="inlineStr">
        <is>
          <t>HẠNG MỤC: ĐIỀU HÒA KHÔNG KHÍ &amp; THÔNG GIÓ - VẬT TƯ XÂY LẮP</t>
        </is>
      </c>
      <c r="B248" s="8" t="inlineStr"/>
      <c r="C248" s="8" t="inlineStr"/>
      <c r="E248" s="8" t="inlineStr"/>
      <c r="F248" s="8" t="inlineStr"/>
      <c r="G248" s="8" t="inlineStr"/>
      <c r="H248" s="8" t="inlineStr"/>
      <c r="I248" s="8" t="inlineStr"/>
    </row>
    <row r="249">
      <c r="A249" s="8" t="inlineStr">
        <is>
          <t>STT</t>
        </is>
      </c>
      <c r="B249" s="8" t="inlineStr">
        <is>
          <t>Mã số</t>
        </is>
      </c>
      <c r="C249" s="8" t="inlineStr">
        <is>
          <t>Thành phần hao phí</t>
        </is>
      </c>
      <c r="E249" s="8" t="inlineStr">
        <is>
          <t>Đơn vị</t>
        </is>
      </c>
      <c r="F249" s="8" t="inlineStr">
        <is>
          <t>Định mức</t>
        </is>
      </c>
      <c r="G249" s="8" t="inlineStr">
        <is>
          <t>Đơn giá
(đ)</t>
        </is>
      </c>
      <c r="H249" s="8" t="inlineStr">
        <is>
          <t>Hệ số</t>
        </is>
      </c>
      <c r="I249" s="8" t="inlineStr">
        <is>
          <t>Thành tiền
(đ)</t>
        </is>
      </c>
    </row>
    <row r="250">
      <c r="A250" s="8" t="inlineStr"/>
      <c r="B250" s="8" t="inlineStr">
        <is>
          <t>*</t>
        </is>
      </c>
      <c r="C250" s="8" t="inlineStr">
        <is>
          <t>Ống đồng</t>
        </is>
      </c>
      <c r="E250" s="8" t="inlineStr"/>
      <c r="F250" s="8" t="inlineStr"/>
      <c r="G250" s="8" t="inlineStr"/>
      <c r="H250" s="8" t="inlineStr"/>
      <c r="I250" s="8" t="inlineStr"/>
    </row>
    <row r="251">
      <c r="A251" s="8" t="n">
        <v>1</v>
      </c>
      <c r="B251" s="11" t="inlineStr">
        <is>
          <t>BB.51001</t>
        </is>
      </c>
      <c r="C251" s="8" t="inlineStr">
        <is>
          <t>Ống đồng_D6.4_0.81mm</t>
        </is>
      </c>
      <c r="D251" s="12">
        <f>HYPERLINK("tt38://pl3/100", "👉 Phụ lục III - Trang 100 (Khớp nhóm BB.5100)")</f>
        <v/>
      </c>
      <c r="E251" s="8" t="inlineStr">
        <is>
          <t>100m</t>
        </is>
      </c>
      <c r="F251" s="8" t="n">
        <v>1</v>
      </c>
      <c r="G251" s="8" t="inlineStr"/>
      <c r="H251" s="8" t="inlineStr"/>
      <c r="I251" s="8" t="inlineStr"/>
    </row>
    <row r="252">
      <c r="A252" s="8" t="inlineStr"/>
      <c r="B252" s="8" t="inlineStr"/>
      <c r="C252" s="8" t="inlineStr">
        <is>
          <t>a) Vật liệu</t>
        </is>
      </c>
      <c r="E252" s="8" t="inlineStr"/>
      <c r="F252" s="8" t="inlineStr"/>
      <c r="G252" s="8" t="inlineStr"/>
      <c r="H252" s="8" t="inlineStr"/>
      <c r="I252" s="8" t="n">
        <v>5082383.0054818</v>
      </c>
    </row>
    <row r="253">
      <c r="A253" s="8" t="inlineStr"/>
      <c r="B253" s="8" t="inlineStr">
        <is>
          <t>A33.0458</t>
        </is>
      </c>
      <c r="C253" s="8" t="inlineStr">
        <is>
          <t>Ống đồng_D6.4_0.81mm</t>
        </is>
      </c>
      <c r="E253" s="8" t="inlineStr">
        <is>
          <t>m</t>
        </is>
      </c>
      <c r="F253" s="8" t="n">
        <v>100.5</v>
      </c>
      <c r="G253" s="8" t="n">
        <v>50400</v>
      </c>
      <c r="H253" s="8" t="n">
        <v>1</v>
      </c>
      <c r="I253" s="8" t="n">
        <v>5065200</v>
      </c>
    </row>
    <row r="254">
      <c r="A254" s="8" t="inlineStr"/>
      <c r="B254" s="8" t="inlineStr">
        <is>
          <t>A33.0113</t>
        </is>
      </c>
      <c r="C254" s="8" t="inlineStr">
        <is>
          <t>Que hàn đồng</t>
        </is>
      </c>
      <c r="E254" s="8" t="inlineStr">
        <is>
          <t>kg</t>
        </is>
      </c>
      <c r="F254" s="8" t="n">
        <v>0.065</v>
      </c>
      <c r="G254" s="8" t="n">
        <v>250000</v>
      </c>
      <c r="H254" s="8" t="n">
        <v>1</v>
      </c>
      <c r="I254" s="8" t="n">
        <v>16250</v>
      </c>
    </row>
    <row r="255">
      <c r="A255" s="8" t="inlineStr"/>
      <c r="B255" s="8" t="inlineStr">
        <is>
          <t>A33.0001</t>
        </is>
      </c>
      <c r="C255" s="8" t="inlineStr">
        <is>
          <t>Ô xy</t>
        </is>
      </c>
      <c r="E255" s="8" t="inlineStr">
        <is>
          <t>chai</t>
        </is>
      </c>
      <c r="F255" s="8" t="n">
        <v>0.003</v>
      </c>
      <c r="G255" s="8" t="n">
        <v>30000</v>
      </c>
      <c r="H255" s="8" t="n">
        <v>1</v>
      </c>
      <c r="I255" s="8" t="n">
        <v>90</v>
      </c>
    </row>
    <row r="256">
      <c r="A256" s="8" t="inlineStr"/>
      <c r="B256" s="8" t="inlineStr">
        <is>
          <t>A24.0931</t>
        </is>
      </c>
      <c r="C256" s="8" t="inlineStr">
        <is>
          <t>Khí gas</t>
        </is>
      </c>
      <c r="E256" s="8" t="inlineStr">
        <is>
          <t>kg</t>
        </is>
      </c>
      <c r="F256" s="8" t="n">
        <v>0.006</v>
      </c>
      <c r="G256" s="8" t="n">
        <v>37803</v>
      </c>
      <c r="H256" s="8" t="n">
        <v>1</v>
      </c>
      <c r="I256" s="8" t="n">
        <v>226.818</v>
      </c>
    </row>
    <row r="257">
      <c r="A257" s="8" t="inlineStr"/>
      <c r="B257" s="8" t="inlineStr">
        <is>
          <t>A33.0469</t>
        </is>
      </c>
      <c r="C257" s="8" t="inlineStr">
        <is>
          <t>Thuốc hàn</t>
        </is>
      </c>
      <c r="E257" s="8" t="inlineStr">
        <is>
          <t>kg</t>
        </is>
      </c>
      <c r="F257" s="8" t="n">
        <v>0.004</v>
      </c>
      <c r="G257" s="8" t="n">
        <v>27000</v>
      </c>
      <c r="H257" s="8" t="n">
        <v>1</v>
      </c>
      <c r="I257" s="8" t="n">
        <v>108</v>
      </c>
    </row>
    <row r="258">
      <c r="A258" s="8" t="inlineStr"/>
      <c r="B258" s="8" t="inlineStr">
        <is>
          <t>Z999</t>
        </is>
      </c>
      <c r="C258" s="8" t="inlineStr">
        <is>
          <t>Vật liệu khác</t>
        </is>
      </c>
      <c r="E258" s="8" t="inlineStr">
        <is>
          <t>%</t>
        </is>
      </c>
      <c r="F258" s="8" t="n">
        <v>0.01</v>
      </c>
      <c r="G258" s="8" t="n">
        <v>5081874.818</v>
      </c>
      <c r="H258" s="8" t="inlineStr"/>
      <c r="I258" s="8" t="n">
        <v>508.1874818</v>
      </c>
    </row>
    <row r="259">
      <c r="A259" s="8" t="inlineStr"/>
      <c r="B259" s="8" t="inlineStr"/>
      <c r="C259" s="8" t="inlineStr">
        <is>
          <t>Cộng</t>
        </is>
      </c>
      <c r="E259" s="8" t="inlineStr"/>
      <c r="F259" s="8" t="inlineStr"/>
      <c r="G259" s="8" t="inlineStr"/>
      <c r="H259" s="8" t="inlineStr"/>
      <c r="I259" s="8" t="n">
        <v>5082383.0054818</v>
      </c>
    </row>
    <row r="260">
      <c r="A260" s="8" t="inlineStr"/>
      <c r="B260" s="8" t="inlineStr"/>
      <c r="C260" s="8" t="inlineStr">
        <is>
          <t>b) Nhân công</t>
        </is>
      </c>
      <c r="E260" s="8" t="inlineStr"/>
      <c r="F260" s="8" t="inlineStr"/>
      <c r="G260" s="8" t="inlineStr"/>
      <c r="H260" s="8" t="inlineStr"/>
      <c r="I260" s="8" t="n">
        <v>5764500</v>
      </c>
    </row>
    <row r="261">
      <c r="A261" s="8" t="inlineStr"/>
      <c r="B261" s="8" t="inlineStr">
        <is>
          <t>N3</t>
        </is>
      </c>
      <c r="C261" s="8" t="inlineStr">
        <is>
          <t>Nhân công nhóm 3</t>
        </is>
      </c>
      <c r="E261" s="8" t="inlineStr">
        <is>
          <t>công</t>
        </is>
      </c>
      <c r="F261" s="8" t="n">
        <v>13.5</v>
      </c>
      <c r="G261" s="8" t="n">
        <v>427000</v>
      </c>
      <c r="H261" s="8" t="n">
        <v>1</v>
      </c>
      <c r="I261" s="8" t="n">
        <v>5764500</v>
      </c>
    </row>
    <row r="262">
      <c r="A262" s="8" t="inlineStr"/>
      <c r="B262" s="8" t="inlineStr"/>
      <c r="C262" s="8" t="inlineStr">
        <is>
          <t>Cộng chi phí trực tiếp (VL+NC+M)</t>
        </is>
      </c>
      <c r="E262" s="8" t="inlineStr">
        <is>
          <t>T</t>
        </is>
      </c>
      <c r="F262" s="8" t="inlineStr"/>
      <c r="G262" s="8" t="inlineStr"/>
      <c r="H262" s="8" t="inlineStr"/>
      <c r="I262" s="8" t="n">
        <v>10846883.0054818</v>
      </c>
    </row>
    <row r="263">
      <c r="A263" s="8" t="inlineStr"/>
      <c r="B263" s="8" t="inlineStr"/>
      <c r="C263" s="8" t="inlineStr">
        <is>
          <t>CHI PHÍ GIÁN TIẾP</t>
        </is>
      </c>
      <c r="E263" s="8" t="inlineStr">
        <is>
          <t>GT</t>
        </is>
      </c>
      <c r="F263" s="8" t="inlineStr"/>
      <c r="G263" s="8" t="inlineStr"/>
      <c r="H263" s="8" t="inlineStr"/>
      <c r="I263" s="8" t="n">
        <v>1062994.534537216</v>
      </c>
    </row>
    <row r="264">
      <c r="A264" s="8" t="inlineStr"/>
      <c r="B264" s="8" t="inlineStr"/>
      <c r="C264" s="8" t="inlineStr">
        <is>
          <t>Chi phí chung (T x 7,3%)</t>
        </is>
      </c>
      <c r="E264" s="8" t="inlineStr">
        <is>
          <t>C</t>
        </is>
      </c>
      <c r="F264" s="8" t="inlineStr">
        <is>
          <t>7,3%</t>
        </is>
      </c>
      <c r="G264" s="8" t="inlineStr"/>
      <c r="H264" s="8" t="inlineStr"/>
      <c r="I264" s="8" t="n">
        <v>791822.4594001713</v>
      </c>
    </row>
    <row r="265">
      <c r="A265" s="8" t="inlineStr"/>
      <c r="B265" s="8" t="inlineStr"/>
      <c r="C265" s="8" t="inlineStr">
        <is>
          <t>Chi phí một số công việc không xác định được khối lượng từ thiết kế (T x 2,5%)</t>
        </is>
      </c>
      <c r="E265" s="8" t="inlineStr">
        <is>
          <t>TT</t>
        </is>
      </c>
      <c r="F265" s="8" t="inlineStr">
        <is>
          <t>2,5%</t>
        </is>
      </c>
      <c r="G265" s="8" t="inlineStr"/>
      <c r="H265" s="8" t="inlineStr"/>
      <c r="I265" s="8" t="n">
        <v>271172.075137045</v>
      </c>
    </row>
    <row r="266">
      <c r="A266" s="8" t="inlineStr"/>
      <c r="B266" s="8" t="inlineStr"/>
      <c r="C266" s="8" t="inlineStr">
        <is>
          <t>THU NHẬP CHỊU THUẾ TÍNH TRƯỚC (T+GT) x 5,5%</t>
        </is>
      </c>
      <c r="E266" s="8" t="inlineStr">
        <is>
          <t>TL</t>
        </is>
      </c>
      <c r="F266" s="8" t="inlineStr">
        <is>
          <t>5,5%</t>
        </is>
      </c>
      <c r="G266" s="8" t="inlineStr"/>
      <c r="H266" s="8" t="inlineStr"/>
      <c r="I266" s="8" t="n">
        <v>655043.2647010459</v>
      </c>
    </row>
    <row r="267">
      <c r="A267" s="8" t="inlineStr"/>
      <c r="B267" s="8" t="inlineStr"/>
      <c r="C267" s="8" t="inlineStr">
        <is>
          <t>Chi phí xây dựng trước thuế (T + GT + TL)</t>
        </is>
      </c>
      <c r="E267" s="8" t="inlineStr">
        <is>
          <t>Gxdtt</t>
        </is>
      </c>
      <c r="F267" s="8" t="inlineStr"/>
      <c r="G267" s="8" t="inlineStr"/>
      <c r="H267" s="8" t="inlineStr"/>
      <c r="I267" s="8" t="n">
        <v>12564920.80472006</v>
      </c>
    </row>
    <row r="268">
      <c r="A268" s="8" t="inlineStr"/>
      <c r="B268" s="8" t="inlineStr"/>
      <c r="C268" s="8" t="inlineStr">
        <is>
          <t>THUẾ GIÁ TRỊ GIA TĂNG (Gxdtt x 10%)</t>
        </is>
      </c>
      <c r="E268" s="8" t="inlineStr">
        <is>
          <t>GTGT</t>
        </is>
      </c>
      <c r="F268" s="8" t="n">
        <v>0.1</v>
      </c>
      <c r="G268" s="8" t="inlineStr"/>
      <c r="H268" s="8" t="inlineStr"/>
      <c r="I268" s="8" t="n">
        <v>1256492.080472006</v>
      </c>
    </row>
    <row r="269">
      <c r="A269" s="8" t="inlineStr"/>
      <c r="B269" s="8" t="inlineStr"/>
      <c r="C269" s="8" t="inlineStr">
        <is>
          <t>Chi phí xây dựng sau thuế (Gxdtt + GTGT)</t>
        </is>
      </c>
      <c r="E269" s="8" t="inlineStr">
        <is>
          <t>Gxdst</t>
        </is>
      </c>
      <c r="F269" s="8" t="inlineStr"/>
      <c r="G269" s="8" t="inlineStr"/>
      <c r="H269" s="8" t="inlineStr"/>
      <c r="I269" s="8" t="n">
        <v>13821412.88519207</v>
      </c>
    </row>
    <row r="270">
      <c r="A270" s="8" t="inlineStr"/>
      <c r="B270" s="8" t="inlineStr"/>
      <c r="C270" s="8" t="inlineStr">
        <is>
          <t>Chi phí nhà tạm để ở và điều hành thi công (Gxdtt x 0,9% x (1+10%))</t>
        </is>
      </c>
      <c r="E270" s="8" t="inlineStr">
        <is>
          <t>LT</t>
        </is>
      </c>
      <c r="F270" s="8" t="n">
        <v>0.008999999999999999</v>
      </c>
      <c r="G270" s="8" t="inlineStr"/>
      <c r="H270" s="8" t="inlineStr"/>
      <c r="I270" s="8" t="n">
        <v>124392.7159667286</v>
      </c>
    </row>
    <row r="271">
      <c r="A271" s="8" t="inlineStr"/>
      <c r="B271" s="8" t="inlineStr"/>
      <c r="C271" s="8" t="inlineStr">
        <is>
          <t>TỔNG CỘNG (Gxdst + LT)</t>
        </is>
      </c>
      <c r="E271" s="8" t="inlineStr">
        <is>
          <t>Gxd</t>
        </is>
      </c>
      <c r="F271" s="8" t="inlineStr"/>
      <c r="G271" s="8" t="inlineStr"/>
      <c r="H271" s="8" t="inlineStr"/>
      <c r="I271" s="8" t="n">
        <v>13945805.6011588</v>
      </c>
    </row>
    <row r="272">
      <c r="A272" s="8" t="n">
        <v>2</v>
      </c>
      <c r="B272" s="11" t="inlineStr">
        <is>
          <t>BB.51002</t>
        </is>
      </c>
      <c r="C272" s="8" t="inlineStr">
        <is>
          <t>Ống đồng_D9.5_0.81mm</t>
        </is>
      </c>
      <c r="D272" s="12">
        <f>HYPERLINK("tt38://pl3/100", "👉 Phụ lục III - Trang 100 (Khớp nhóm BB.5100)")</f>
        <v/>
      </c>
      <c r="E272" s="8" t="inlineStr">
        <is>
          <t>100m</t>
        </is>
      </c>
      <c r="F272" s="8" t="n">
        <v>1</v>
      </c>
      <c r="G272" s="8" t="inlineStr"/>
      <c r="H272" s="8" t="inlineStr"/>
      <c r="I272" s="8" t="inlineStr"/>
    </row>
    <row r="273">
      <c r="A273" s="8" t="inlineStr"/>
      <c r="B273" s="8" t="inlineStr"/>
      <c r="C273" s="8" t="inlineStr">
        <is>
          <t>a) Vật liệu</t>
        </is>
      </c>
      <c r="E273" s="8" t="inlineStr"/>
      <c r="F273" s="8" t="inlineStr"/>
      <c r="G273" s="8" t="inlineStr"/>
      <c r="H273" s="8" t="inlineStr"/>
      <c r="I273" s="8" t="n">
        <v>7982732.617442399</v>
      </c>
    </row>
    <row r="274">
      <c r="A274" s="8" t="inlineStr"/>
      <c r="B274" s="8" t="inlineStr">
        <is>
          <t>A33.0459</t>
        </is>
      </c>
      <c r="C274" s="8" t="inlineStr">
        <is>
          <t>Ống đồng_D9.5_0.81mm</t>
        </is>
      </c>
      <c r="E274" s="8" t="inlineStr">
        <is>
          <t>m</t>
        </is>
      </c>
      <c r="F274" s="8" t="n">
        <v>100.5</v>
      </c>
      <c r="G274" s="8" t="n">
        <v>79200</v>
      </c>
      <c r="H274" s="8" t="n">
        <v>1</v>
      </c>
      <c r="I274" s="8" t="n">
        <v>7959600</v>
      </c>
    </row>
    <row r="275">
      <c r="A275" s="8" t="inlineStr"/>
      <c r="B275" s="8" t="inlineStr">
        <is>
          <t>A33.0113</t>
        </is>
      </c>
      <c r="C275" s="8" t="inlineStr">
        <is>
          <t>Que hàn đồng</t>
        </is>
      </c>
      <c r="E275" s="8" t="inlineStr">
        <is>
          <t>kg</t>
        </is>
      </c>
      <c r="F275" s="8" t="n">
        <v>0.08699999999999999</v>
      </c>
      <c r="G275" s="8" t="n">
        <v>250000</v>
      </c>
      <c r="H275" s="8" t="n">
        <v>1</v>
      </c>
      <c r="I275" s="8" t="n">
        <v>21750</v>
      </c>
    </row>
    <row r="276">
      <c r="A276" s="8" t="inlineStr"/>
      <c r="B276" s="8" t="inlineStr">
        <is>
          <t>A33.0001</t>
        </is>
      </c>
      <c r="C276" s="8" t="inlineStr">
        <is>
          <t>Ô xy</t>
        </is>
      </c>
      <c r="E276" s="8" t="inlineStr">
        <is>
          <t>chai</t>
        </is>
      </c>
      <c r="F276" s="8" t="n">
        <v>0.004</v>
      </c>
      <c r="G276" s="8" t="n">
        <v>30000</v>
      </c>
      <c r="H276" s="8" t="n">
        <v>1</v>
      </c>
      <c r="I276" s="8" t="n">
        <v>120</v>
      </c>
    </row>
    <row r="277">
      <c r="A277" s="8" t="inlineStr"/>
      <c r="B277" s="8" t="inlineStr">
        <is>
          <t>A24.0931</t>
        </is>
      </c>
      <c r="C277" s="8" t="inlineStr">
        <is>
          <t>Khí gas</t>
        </is>
      </c>
      <c r="E277" s="8" t="inlineStr">
        <is>
          <t>kg</t>
        </is>
      </c>
      <c r="F277" s="8" t="n">
        <v>0.008</v>
      </c>
      <c r="G277" s="8" t="n">
        <v>37803</v>
      </c>
      <c r="H277" s="8" t="n">
        <v>1</v>
      </c>
      <c r="I277" s="8" t="n">
        <v>302.424</v>
      </c>
    </row>
    <row r="278">
      <c r="A278" s="8" t="inlineStr"/>
      <c r="B278" s="8" t="inlineStr">
        <is>
          <t>A33.0469</t>
        </is>
      </c>
      <c r="C278" s="8" t="inlineStr">
        <is>
          <t>Thuốc hàn</t>
        </is>
      </c>
      <c r="E278" s="8" t="inlineStr">
        <is>
          <t>kg</t>
        </is>
      </c>
      <c r="F278" s="8" t="n">
        <v>0.006</v>
      </c>
      <c r="G278" s="8" t="n">
        <v>27000</v>
      </c>
      <c r="H278" s="8" t="n">
        <v>1</v>
      </c>
      <c r="I278" s="8" t="n">
        <v>162</v>
      </c>
    </row>
    <row r="279">
      <c r="A279" s="8" t="inlineStr"/>
      <c r="B279" s="8" t="inlineStr">
        <is>
          <t>Z999</t>
        </is>
      </c>
      <c r="C279" s="8" t="inlineStr">
        <is>
          <t>Vật liệu khác</t>
        </is>
      </c>
      <c r="E279" s="8" t="inlineStr">
        <is>
          <t>%</t>
        </is>
      </c>
      <c r="F279" s="8" t="n">
        <v>0.01</v>
      </c>
      <c r="G279" s="8" t="n">
        <v>7981934.424</v>
      </c>
      <c r="H279" s="8" t="inlineStr"/>
      <c r="I279" s="8" t="n">
        <v>798.1934423999999</v>
      </c>
    </row>
    <row r="280">
      <c r="A280" s="8" t="inlineStr"/>
      <c r="B280" s="8" t="inlineStr"/>
      <c r="C280" s="8" t="inlineStr">
        <is>
          <t>Cộng</t>
        </is>
      </c>
      <c r="E280" s="8" t="inlineStr"/>
      <c r="F280" s="8" t="inlineStr"/>
      <c r="G280" s="8" t="inlineStr"/>
      <c r="H280" s="8" t="inlineStr"/>
      <c r="I280" s="8" t="n">
        <v>7982732.617442399</v>
      </c>
    </row>
    <row r="281">
      <c r="A281" s="8" t="inlineStr"/>
      <c r="B281" s="8" t="inlineStr"/>
      <c r="C281" s="8" t="inlineStr">
        <is>
          <t>b) Nhân công</t>
        </is>
      </c>
      <c r="E281" s="8" t="inlineStr"/>
      <c r="F281" s="8" t="inlineStr"/>
      <c r="G281" s="8" t="inlineStr"/>
      <c r="H281" s="8" t="inlineStr"/>
      <c r="I281" s="8" t="n">
        <v>6789300</v>
      </c>
    </row>
    <row r="282">
      <c r="A282" s="8" t="inlineStr"/>
      <c r="B282" s="8" t="inlineStr">
        <is>
          <t>N3</t>
        </is>
      </c>
      <c r="C282" s="8" t="inlineStr">
        <is>
          <t>Nhân công nhóm 3</t>
        </is>
      </c>
      <c r="E282" s="8" t="inlineStr">
        <is>
          <t>công</t>
        </is>
      </c>
      <c r="F282" s="8" t="n">
        <v>15.9</v>
      </c>
      <c r="G282" s="8" t="n">
        <v>427000</v>
      </c>
      <c r="H282" s="8" t="n">
        <v>1</v>
      </c>
      <c r="I282" s="8" t="n">
        <v>6789300</v>
      </c>
    </row>
    <row r="283">
      <c r="A283" s="8" t="inlineStr"/>
      <c r="B283" s="8" t="inlineStr"/>
      <c r="C283" s="8" t="inlineStr">
        <is>
          <t>Cộng chi phí trực tiếp (VL+NC+M)</t>
        </is>
      </c>
      <c r="E283" s="8" t="inlineStr">
        <is>
          <t>T</t>
        </is>
      </c>
      <c r="F283" s="8" t="inlineStr"/>
      <c r="G283" s="8" t="inlineStr"/>
      <c r="H283" s="8" t="inlineStr"/>
      <c r="I283" s="8" t="n">
        <v>14772032.6174424</v>
      </c>
    </row>
    <row r="284">
      <c r="A284" s="8" t="inlineStr"/>
      <c r="B284" s="8" t="inlineStr"/>
      <c r="C284" s="8" t="inlineStr">
        <is>
          <t>CHI PHÍ GIÁN TIẾP</t>
        </is>
      </c>
      <c r="E284" s="8" t="inlineStr">
        <is>
          <t>GT</t>
        </is>
      </c>
      <c r="F284" s="8" t="inlineStr"/>
      <c r="G284" s="8" t="inlineStr"/>
      <c r="H284" s="8" t="inlineStr"/>
      <c r="I284" s="8" t="n">
        <v>1447659.196509355</v>
      </c>
    </row>
    <row r="285">
      <c r="A285" s="8" t="inlineStr"/>
      <c r="B285" s="8" t="inlineStr"/>
      <c r="C285" s="8" t="inlineStr">
        <is>
          <t>Chi phí chung (T x 7,3%)</t>
        </is>
      </c>
      <c r="E285" s="8" t="inlineStr">
        <is>
          <t>C</t>
        </is>
      </c>
      <c r="F285" s="8" t="inlineStr">
        <is>
          <t>7,3%</t>
        </is>
      </c>
      <c r="G285" s="8" t="inlineStr"/>
      <c r="H285" s="8" t="inlineStr"/>
      <c r="I285" s="8" t="n">
        <v>1078358.381073295</v>
      </c>
    </row>
    <row r="286">
      <c r="A286" s="8" t="inlineStr"/>
      <c r="B286" s="8" t="inlineStr"/>
      <c r="C286" s="8" t="inlineStr">
        <is>
          <t>Chi phí một số công việc không xác định được khối lượng từ thiết kế (T x 2,5%)</t>
        </is>
      </c>
      <c r="E286" s="8" t="inlineStr">
        <is>
          <t>TT</t>
        </is>
      </c>
      <c r="F286" s="8" t="inlineStr">
        <is>
          <t>2,5%</t>
        </is>
      </c>
      <c r="G286" s="8" t="inlineStr"/>
      <c r="H286" s="8" t="inlineStr"/>
      <c r="I286" s="8" t="n">
        <v>369300.81543606</v>
      </c>
    </row>
    <row r="287">
      <c r="A287" s="8" t="inlineStr"/>
      <c r="B287" s="8" t="inlineStr"/>
      <c r="C287" s="8" t="inlineStr">
        <is>
          <t>THU NHẬP CHỊU THUẾ TÍNH TRƯỚC (T+GT) x 5,5%</t>
        </is>
      </c>
      <c r="E287" s="8" t="inlineStr">
        <is>
          <t>TL</t>
        </is>
      </c>
      <c r="F287" s="8" t="inlineStr">
        <is>
          <t>5,5%</t>
        </is>
      </c>
      <c r="G287" s="8" t="inlineStr"/>
      <c r="H287" s="8" t="inlineStr"/>
      <c r="I287" s="8" t="n">
        <v>892083.0497673465</v>
      </c>
    </row>
    <row r="288">
      <c r="A288" s="8" t="inlineStr"/>
      <c r="B288" s="8" t="inlineStr"/>
      <c r="C288" s="8" t="inlineStr">
        <is>
          <t>Chi phí xây dựng trước thuế (T + GT + TL)</t>
        </is>
      </c>
      <c r="E288" s="8" t="inlineStr">
        <is>
          <t>Gxdtt</t>
        </is>
      </c>
      <c r="F288" s="8" t="inlineStr"/>
      <c r="G288" s="8" t="inlineStr"/>
      <c r="H288" s="8" t="inlineStr"/>
      <c r="I288" s="8" t="n">
        <v>17111774.8637191</v>
      </c>
    </row>
    <row r="289">
      <c r="A289" s="8" t="inlineStr"/>
      <c r="B289" s="8" t="inlineStr"/>
      <c r="C289" s="8" t="inlineStr">
        <is>
          <t>THUẾ GIÁ TRỊ GIA TĂNG (Gxdtt x 10%)</t>
        </is>
      </c>
      <c r="E289" s="8" t="inlineStr">
        <is>
          <t>GTGT</t>
        </is>
      </c>
      <c r="F289" s="8" t="n">
        <v>0.1</v>
      </c>
      <c r="G289" s="8" t="inlineStr"/>
      <c r="H289" s="8" t="inlineStr"/>
      <c r="I289" s="8" t="n">
        <v>1711177.48637191</v>
      </c>
    </row>
    <row r="290">
      <c r="A290" s="8" t="inlineStr"/>
      <c r="B290" s="8" t="inlineStr"/>
      <c r="C290" s="8" t="inlineStr">
        <is>
          <t>Chi phí xây dựng sau thuế (Gxdtt + GTGT)</t>
        </is>
      </c>
      <c r="E290" s="8" t="inlineStr">
        <is>
          <t>Gxdst</t>
        </is>
      </c>
      <c r="F290" s="8" t="inlineStr"/>
      <c r="G290" s="8" t="inlineStr"/>
      <c r="H290" s="8" t="inlineStr"/>
      <c r="I290" s="8" t="n">
        <v>18822952.35009101</v>
      </c>
    </row>
    <row r="291">
      <c r="A291" s="8" t="inlineStr"/>
      <c r="B291" s="8" t="inlineStr"/>
      <c r="C291" s="8" t="inlineStr">
        <is>
          <t>Chi phí nhà tạm để ở và điều hành thi công (Gxdtt x 0,9% x (1+10%))</t>
        </is>
      </c>
      <c r="E291" s="8" t="inlineStr">
        <is>
          <t>LT</t>
        </is>
      </c>
      <c r="F291" s="8" t="n">
        <v>0.008999999999999999</v>
      </c>
      <c r="G291" s="8" t="inlineStr"/>
      <c r="H291" s="8" t="inlineStr"/>
      <c r="I291" s="8" t="n">
        <v>169406.5711508191</v>
      </c>
    </row>
    <row r="292">
      <c r="A292" s="8" t="inlineStr"/>
      <c r="B292" s="8" t="inlineStr"/>
      <c r="C292" s="8" t="inlineStr">
        <is>
          <t>TỔNG CỘNG (Gxdst + LT)</t>
        </is>
      </c>
      <c r="E292" s="8" t="inlineStr">
        <is>
          <t>Gxd</t>
        </is>
      </c>
      <c r="F292" s="8" t="inlineStr"/>
      <c r="G292" s="8" t="inlineStr"/>
      <c r="H292" s="8" t="inlineStr"/>
      <c r="I292" s="8" t="n">
        <v>18992358.92124183</v>
      </c>
    </row>
    <row r="293">
      <c r="A293" s="8" t="n">
        <v>3</v>
      </c>
      <c r="B293" s="11" t="inlineStr">
        <is>
          <t>BB.51003</t>
        </is>
      </c>
      <c r="C293" s="8" t="inlineStr">
        <is>
          <t>Ống đồng_D12.7_0.81mm</t>
        </is>
      </c>
      <c r="D293" s="12">
        <f>HYPERLINK("tt38://pl3/100", "👉 Phụ lục III - Trang 100 (Khớp nhóm BB.5100)")</f>
        <v/>
      </c>
      <c r="E293" s="8" t="inlineStr">
        <is>
          <t>100m</t>
        </is>
      </c>
      <c r="F293" s="8" t="n">
        <v>1</v>
      </c>
      <c r="G293" s="8" t="inlineStr"/>
      <c r="H293" s="8" t="inlineStr"/>
      <c r="I293" s="8" t="inlineStr"/>
    </row>
    <row r="294">
      <c r="A294" s="8" t="inlineStr"/>
      <c r="B294" s="8" t="inlineStr"/>
      <c r="C294" s="8" t="inlineStr">
        <is>
          <t>a) Vật liệu</t>
        </is>
      </c>
      <c r="E294" s="8" t="inlineStr"/>
      <c r="F294" s="8" t="inlineStr"/>
      <c r="G294" s="8" t="inlineStr"/>
      <c r="H294" s="8" t="inlineStr"/>
      <c r="I294" s="8" t="n">
        <v>10883055.226703</v>
      </c>
    </row>
    <row r="295">
      <c r="A295" s="8" t="inlineStr"/>
      <c r="B295" s="8" t="inlineStr">
        <is>
          <t>A33.0460</t>
        </is>
      </c>
      <c r="C295" s="8" t="inlineStr">
        <is>
          <t>Ống đồng_D12.7_0.81mm</t>
        </is>
      </c>
      <c r="E295" s="8" t="inlineStr">
        <is>
          <t>m</t>
        </is>
      </c>
      <c r="F295" s="8" t="n">
        <v>100.5</v>
      </c>
      <c r="G295" s="8" t="n">
        <v>108000</v>
      </c>
      <c r="H295" s="8" t="n">
        <v>1</v>
      </c>
      <c r="I295" s="8" t="n">
        <v>10854000</v>
      </c>
    </row>
    <row r="296">
      <c r="A296" s="8" t="inlineStr"/>
      <c r="B296" s="8" t="inlineStr">
        <is>
          <t>A33.0113</t>
        </is>
      </c>
      <c r="C296" s="8" t="inlineStr">
        <is>
          <t>Que hàn đồng</t>
        </is>
      </c>
      <c r="E296" s="8" t="inlineStr">
        <is>
          <t>kg</t>
        </is>
      </c>
      <c r="F296" s="8" t="n">
        <v>0.109</v>
      </c>
      <c r="G296" s="8" t="n">
        <v>250000</v>
      </c>
      <c r="H296" s="8" t="n">
        <v>1</v>
      </c>
      <c r="I296" s="8" t="n">
        <v>27250</v>
      </c>
    </row>
    <row r="297">
      <c r="A297" s="8" t="inlineStr"/>
      <c r="B297" s="8" t="inlineStr">
        <is>
          <t>A33.0001</t>
        </is>
      </c>
      <c r="C297" s="8" t="inlineStr">
        <is>
          <t>Ô xy</t>
        </is>
      </c>
      <c r="E297" s="8" t="inlineStr">
        <is>
          <t>chai</t>
        </is>
      </c>
      <c r="F297" s="8" t="n">
        <v>0.005</v>
      </c>
      <c r="G297" s="8" t="n">
        <v>30000</v>
      </c>
      <c r="H297" s="8" t="n">
        <v>1</v>
      </c>
      <c r="I297" s="8" t="n">
        <v>150</v>
      </c>
    </row>
    <row r="298">
      <c r="A298" s="8" t="inlineStr"/>
      <c r="B298" s="8" t="inlineStr">
        <is>
          <t>A24.0931</t>
        </is>
      </c>
      <c r="C298" s="8" t="inlineStr">
        <is>
          <t>Khí gas</t>
        </is>
      </c>
      <c r="E298" s="8" t="inlineStr">
        <is>
          <t>kg</t>
        </is>
      </c>
      <c r="F298" s="8" t="n">
        <v>0.01</v>
      </c>
      <c r="G298" s="8" t="n">
        <v>37803</v>
      </c>
      <c r="H298" s="8" t="n">
        <v>1</v>
      </c>
      <c r="I298" s="8" t="n">
        <v>378.03</v>
      </c>
    </row>
    <row r="299">
      <c r="A299" s="8" t="inlineStr"/>
      <c r="B299" s="8" t="inlineStr">
        <is>
          <t>A33.0469</t>
        </is>
      </c>
      <c r="C299" s="8" t="inlineStr">
        <is>
          <t>Thuốc hàn</t>
        </is>
      </c>
      <c r="E299" s="8" t="inlineStr">
        <is>
          <t>kg</t>
        </is>
      </c>
      <c r="F299" s="8" t="n">
        <v>0.007</v>
      </c>
      <c r="G299" s="8" t="n">
        <v>27000</v>
      </c>
      <c r="H299" s="8" t="n">
        <v>1</v>
      </c>
      <c r="I299" s="8" t="n">
        <v>189</v>
      </c>
    </row>
    <row r="300">
      <c r="A300" s="8" t="inlineStr"/>
      <c r="B300" s="8" t="inlineStr">
        <is>
          <t>Z999</t>
        </is>
      </c>
      <c r="C300" s="8" t="inlineStr">
        <is>
          <t>Vật liệu khác</t>
        </is>
      </c>
      <c r="E300" s="8" t="inlineStr">
        <is>
          <t>%</t>
        </is>
      </c>
      <c r="F300" s="8" t="n">
        <v>0.01</v>
      </c>
      <c r="G300" s="8" t="n">
        <v>10881967.03</v>
      </c>
      <c r="H300" s="8" t="inlineStr"/>
      <c r="I300" s="8" t="n">
        <v>1088.196703</v>
      </c>
    </row>
    <row r="301">
      <c r="A301" s="8" t="inlineStr"/>
      <c r="B301" s="8" t="inlineStr"/>
      <c r="C301" s="8" t="inlineStr">
        <is>
          <t>Cộng</t>
        </is>
      </c>
      <c r="E301" s="8" t="inlineStr"/>
      <c r="F301" s="8" t="inlineStr"/>
      <c r="G301" s="8" t="inlineStr"/>
      <c r="H301" s="8" t="inlineStr"/>
      <c r="I301" s="8" t="n">
        <v>10883055.226703</v>
      </c>
    </row>
    <row r="302">
      <c r="A302" s="8" t="inlineStr"/>
      <c r="B302" s="8" t="inlineStr"/>
      <c r="C302" s="8" t="inlineStr">
        <is>
          <t>b) Nhân công</t>
        </is>
      </c>
      <c r="E302" s="8" t="inlineStr"/>
      <c r="F302" s="8" t="inlineStr"/>
      <c r="G302" s="8" t="inlineStr"/>
      <c r="H302" s="8" t="inlineStr"/>
      <c r="I302" s="8" t="n">
        <v>7147979.999999999</v>
      </c>
    </row>
    <row r="303">
      <c r="A303" s="8" t="inlineStr"/>
      <c r="B303" s="8" t="inlineStr">
        <is>
          <t>N3</t>
        </is>
      </c>
      <c r="C303" s="8" t="inlineStr">
        <is>
          <t>Nhân công nhóm 3</t>
        </is>
      </c>
      <c r="E303" s="8" t="inlineStr">
        <is>
          <t>công</t>
        </is>
      </c>
      <c r="F303" s="8" t="n">
        <v>16.74</v>
      </c>
      <c r="G303" s="8" t="n">
        <v>427000</v>
      </c>
      <c r="H303" s="8" t="n">
        <v>1</v>
      </c>
      <c r="I303" s="8" t="n">
        <v>7147979.999999999</v>
      </c>
    </row>
    <row r="304">
      <c r="A304" s="8" t="inlineStr"/>
      <c r="B304" s="8" t="inlineStr"/>
      <c r="C304" s="8" t="inlineStr">
        <is>
          <t>Cộng chi phí trực tiếp (VL+NC+M)</t>
        </is>
      </c>
      <c r="E304" s="8" t="inlineStr">
        <is>
          <t>T</t>
        </is>
      </c>
      <c r="F304" s="8" t="inlineStr"/>
      <c r="G304" s="8" t="inlineStr"/>
      <c r="H304" s="8" t="inlineStr"/>
      <c r="I304" s="8" t="n">
        <v>18031035.226703</v>
      </c>
    </row>
    <row r="305">
      <c r="A305" s="8" t="inlineStr"/>
      <c r="B305" s="8" t="inlineStr"/>
      <c r="C305" s="8" t="inlineStr">
        <is>
          <t>CHI PHÍ GIÁN TIẾP</t>
        </is>
      </c>
      <c r="E305" s="8" t="inlineStr">
        <is>
          <t>GT</t>
        </is>
      </c>
      <c r="F305" s="8" t="inlineStr"/>
      <c r="G305" s="8" t="inlineStr"/>
      <c r="H305" s="8" t="inlineStr"/>
      <c r="I305" s="8" t="n">
        <v>1767041.452216894</v>
      </c>
    </row>
    <row r="306">
      <c r="A306" s="8" t="inlineStr"/>
      <c r="B306" s="8" t="inlineStr"/>
      <c r="C306" s="8" t="inlineStr">
        <is>
          <t>Chi phí chung (T x 7,3%)</t>
        </is>
      </c>
      <c r="E306" s="8" t="inlineStr">
        <is>
          <t>C</t>
        </is>
      </c>
      <c r="F306" s="8" t="inlineStr">
        <is>
          <t>7,3%</t>
        </is>
      </c>
      <c r="G306" s="8" t="inlineStr"/>
      <c r="H306" s="8" t="inlineStr"/>
      <c r="I306" s="8" t="n">
        <v>1316265.571549319</v>
      </c>
    </row>
    <row r="307">
      <c r="A307" s="8" t="inlineStr"/>
      <c r="B307" s="8" t="inlineStr"/>
      <c r="C307" s="8" t="inlineStr">
        <is>
          <t>Chi phí một số công việc không xác định được khối lượng từ thiết kế (T x 2,5%)</t>
        </is>
      </c>
      <c r="E307" s="8" t="inlineStr">
        <is>
          <t>TT</t>
        </is>
      </c>
      <c r="F307" s="8" t="inlineStr">
        <is>
          <t>2,5%</t>
        </is>
      </c>
      <c r="G307" s="8" t="inlineStr"/>
      <c r="H307" s="8" t="inlineStr"/>
      <c r="I307" s="8" t="n">
        <v>450775.880667575</v>
      </c>
    </row>
    <row r="308">
      <c r="A308" s="8" t="inlineStr"/>
      <c r="B308" s="8" t="inlineStr"/>
      <c r="C308" s="8" t="inlineStr">
        <is>
          <t>THU NHẬP CHỊU THUẾ TÍNH TRƯỚC (T+GT) x 5,5%</t>
        </is>
      </c>
      <c r="E308" s="8" t="inlineStr">
        <is>
          <t>TL</t>
        </is>
      </c>
      <c r="F308" s="8" t="inlineStr">
        <is>
          <t>5,5%</t>
        </is>
      </c>
      <c r="G308" s="8" t="inlineStr"/>
      <c r="H308" s="8" t="inlineStr"/>
      <c r="I308" s="8" t="n">
        <v>1088894.217340594</v>
      </c>
    </row>
    <row r="309">
      <c r="A309" s="8" t="inlineStr"/>
      <c r="B309" s="8" t="inlineStr"/>
      <c r="C309" s="8" t="inlineStr">
        <is>
          <t>Chi phí xây dựng trước thuế (T + GT + TL)</t>
        </is>
      </c>
      <c r="E309" s="8" t="inlineStr">
        <is>
          <t>Gxdtt</t>
        </is>
      </c>
      <c r="F309" s="8" t="inlineStr"/>
      <c r="G309" s="8" t="inlineStr"/>
      <c r="H309" s="8" t="inlineStr"/>
      <c r="I309" s="8" t="n">
        <v>20886970.89626049</v>
      </c>
    </row>
    <row r="310">
      <c r="A310" s="8" t="inlineStr"/>
      <c r="B310" s="8" t="inlineStr"/>
      <c r="C310" s="8" t="inlineStr">
        <is>
          <t>THUẾ GIÁ TRỊ GIA TĂNG (Gxdtt x 10%)</t>
        </is>
      </c>
      <c r="E310" s="8" t="inlineStr">
        <is>
          <t>GTGT</t>
        </is>
      </c>
      <c r="F310" s="8" t="n">
        <v>0.1</v>
      </c>
      <c r="G310" s="8" t="inlineStr"/>
      <c r="H310" s="8" t="inlineStr"/>
      <c r="I310" s="8" t="n">
        <v>2088697.089626049</v>
      </c>
    </row>
    <row r="311">
      <c r="A311" s="8" t="inlineStr"/>
      <c r="B311" s="8" t="inlineStr"/>
      <c r="C311" s="8" t="inlineStr">
        <is>
          <t>Chi phí xây dựng sau thuế (Gxdtt + GTGT)</t>
        </is>
      </c>
      <c r="E311" s="8" t="inlineStr">
        <is>
          <t>Gxdst</t>
        </is>
      </c>
      <c r="F311" s="8" t="inlineStr"/>
      <c r="G311" s="8" t="inlineStr"/>
      <c r="H311" s="8" t="inlineStr"/>
      <c r="I311" s="8" t="n">
        <v>22975667.98588653</v>
      </c>
    </row>
    <row r="312">
      <c r="A312" s="8" t="inlineStr"/>
      <c r="B312" s="8" t="inlineStr"/>
      <c r="C312" s="8" t="inlineStr">
        <is>
          <t>Chi phí nhà tạm để ở và điều hành thi công (Gxdtt x 0,9% x (1+10%))</t>
        </is>
      </c>
      <c r="E312" s="8" t="inlineStr">
        <is>
          <t>LT</t>
        </is>
      </c>
      <c r="F312" s="8" t="n">
        <v>0.008999999999999999</v>
      </c>
      <c r="G312" s="8" t="inlineStr"/>
      <c r="H312" s="8" t="inlineStr"/>
      <c r="I312" s="8" t="n">
        <v>206781.0118729788</v>
      </c>
    </row>
    <row r="313">
      <c r="A313" s="8" t="inlineStr"/>
      <c r="B313" s="8" t="inlineStr"/>
      <c r="C313" s="8" t="inlineStr">
        <is>
          <t>TỔNG CỘNG (Gxdst + LT)</t>
        </is>
      </c>
      <c r="E313" s="8" t="inlineStr">
        <is>
          <t>Gxd</t>
        </is>
      </c>
      <c r="F313" s="8" t="inlineStr"/>
      <c r="G313" s="8" t="inlineStr"/>
      <c r="H313" s="8" t="inlineStr"/>
      <c r="I313" s="8" t="n">
        <v>23182448.99775951</v>
      </c>
    </row>
    <row r="314">
      <c r="A314" s="8" t="n">
        <v>4</v>
      </c>
      <c r="B314" s="11" t="inlineStr">
        <is>
          <t>BB.51004</t>
        </is>
      </c>
      <c r="C314" s="8" t="inlineStr">
        <is>
          <t>Ống đồng_D15.9_0.99mm</t>
        </is>
      </c>
      <c r="D314" s="12">
        <f>HYPERLINK("tt38://pl3/100", "👉 Phụ lục III - Trang 100 (Khớp nhóm BB.5100)")</f>
        <v/>
      </c>
      <c r="E314" s="8" t="inlineStr">
        <is>
          <t>100m</t>
        </is>
      </c>
      <c r="F314" s="8" t="n">
        <v>1</v>
      </c>
      <c r="G314" s="8" t="inlineStr"/>
      <c r="H314" s="8" t="inlineStr"/>
      <c r="I314" s="8" t="inlineStr"/>
    </row>
    <row r="315">
      <c r="A315" s="8" t="inlineStr"/>
      <c r="B315" s="8" t="inlineStr"/>
      <c r="C315" s="8" t="inlineStr">
        <is>
          <t>a) Vật liệu</t>
        </is>
      </c>
      <c r="E315" s="8" t="inlineStr"/>
      <c r="F315" s="8" t="inlineStr"/>
      <c r="G315" s="8" t="inlineStr"/>
      <c r="H315" s="8" t="inlineStr"/>
      <c r="I315" s="8" t="n">
        <v>16807230.1909636</v>
      </c>
    </row>
    <row r="316">
      <c r="A316" s="8" t="inlineStr"/>
      <c r="B316" s="8" t="inlineStr">
        <is>
          <t>A33.0461</t>
        </is>
      </c>
      <c r="C316" s="8" t="inlineStr">
        <is>
          <t>Ống đồng_D15.9_0.99mm</t>
        </is>
      </c>
      <c r="E316" s="8" t="inlineStr">
        <is>
          <t>m</t>
        </is>
      </c>
      <c r="F316" s="8" t="n">
        <v>100.5</v>
      </c>
      <c r="G316" s="8" t="n">
        <v>166900</v>
      </c>
      <c r="H316" s="8" t="n">
        <v>1</v>
      </c>
      <c r="I316" s="8" t="n">
        <v>16773450</v>
      </c>
    </row>
    <row r="317">
      <c r="A317" s="8" t="inlineStr"/>
      <c r="B317" s="8" t="inlineStr">
        <is>
          <t>A33.0113</t>
        </is>
      </c>
      <c r="C317" s="8" t="inlineStr">
        <is>
          <t>Que hàn đồng</t>
        </is>
      </c>
      <c r="E317" s="8" t="inlineStr">
        <is>
          <t>kg</t>
        </is>
      </c>
      <c r="F317" s="8" t="n">
        <v>0.125</v>
      </c>
      <c r="G317" s="8" t="n">
        <v>250000</v>
      </c>
      <c r="H317" s="8" t="n">
        <v>1</v>
      </c>
      <c r="I317" s="8" t="n">
        <v>31250</v>
      </c>
    </row>
    <row r="318">
      <c r="A318" s="8" t="inlineStr"/>
      <c r="B318" s="8" t="inlineStr">
        <is>
          <t>A33.0001</t>
        </is>
      </c>
      <c r="C318" s="8" t="inlineStr">
        <is>
          <t>Ô xy</t>
        </is>
      </c>
      <c r="E318" s="8" t="inlineStr">
        <is>
          <t>chai</t>
        </is>
      </c>
      <c r="F318" s="8" t="n">
        <v>0.006</v>
      </c>
      <c r="G318" s="8" t="n">
        <v>30000</v>
      </c>
      <c r="H318" s="8" t="n">
        <v>1</v>
      </c>
      <c r="I318" s="8" t="n">
        <v>180</v>
      </c>
    </row>
    <row r="319">
      <c r="A319" s="8" t="inlineStr"/>
      <c r="B319" s="8" t="inlineStr">
        <is>
          <t>A24.0931</t>
        </is>
      </c>
      <c r="C319" s="8" t="inlineStr">
        <is>
          <t>Khí gas</t>
        </is>
      </c>
      <c r="E319" s="8" t="inlineStr">
        <is>
          <t>kg</t>
        </is>
      </c>
      <c r="F319" s="8" t="n">
        <v>0.012</v>
      </c>
      <c r="G319" s="8" t="n">
        <v>37803</v>
      </c>
      <c r="H319" s="8" t="n">
        <v>1</v>
      </c>
      <c r="I319" s="8" t="n">
        <v>453.636</v>
      </c>
    </row>
    <row r="320">
      <c r="A320" s="8" t="inlineStr"/>
      <c r="B320" s="8" t="inlineStr">
        <is>
          <t>A33.0469</t>
        </is>
      </c>
      <c r="C320" s="8" t="inlineStr">
        <is>
          <t>Thuốc hàn</t>
        </is>
      </c>
      <c r="E320" s="8" t="inlineStr">
        <is>
          <t>kg</t>
        </is>
      </c>
      <c r="F320" s="8" t="n">
        <v>0.008</v>
      </c>
      <c r="G320" s="8" t="n">
        <v>27000</v>
      </c>
      <c r="H320" s="8" t="n">
        <v>1</v>
      </c>
      <c r="I320" s="8" t="n">
        <v>216</v>
      </c>
    </row>
    <row r="321">
      <c r="A321" s="8" t="inlineStr"/>
      <c r="B321" s="8" t="inlineStr">
        <is>
          <t>Z999</t>
        </is>
      </c>
      <c r="C321" s="8" t="inlineStr">
        <is>
          <t>Vật liệu khác</t>
        </is>
      </c>
      <c r="E321" s="8" t="inlineStr">
        <is>
          <t>%</t>
        </is>
      </c>
      <c r="F321" s="8" t="n">
        <v>0.01</v>
      </c>
      <c r="G321" s="8" t="n">
        <v>16805549.636</v>
      </c>
      <c r="H321" s="8" t="inlineStr"/>
      <c r="I321" s="8" t="n">
        <v>1680.5549636</v>
      </c>
    </row>
    <row r="322">
      <c r="A322" s="8" t="inlineStr"/>
      <c r="B322" s="8" t="inlineStr"/>
      <c r="C322" s="8" t="inlineStr">
        <is>
          <t>Cộng</t>
        </is>
      </c>
      <c r="E322" s="8" t="inlineStr"/>
      <c r="F322" s="8" t="inlineStr"/>
      <c r="G322" s="8" t="inlineStr"/>
      <c r="H322" s="8" t="inlineStr"/>
      <c r="I322" s="8" t="n">
        <v>16807230.1909636</v>
      </c>
    </row>
    <row r="323">
      <c r="A323" s="8" t="inlineStr"/>
      <c r="B323" s="8" t="inlineStr"/>
      <c r="C323" s="8" t="inlineStr">
        <is>
          <t>b) Nhân công</t>
        </is>
      </c>
      <c r="E323" s="8" t="inlineStr"/>
      <c r="F323" s="8" t="inlineStr"/>
      <c r="G323" s="8" t="inlineStr"/>
      <c r="H323" s="8" t="inlineStr"/>
      <c r="I323" s="8" t="n">
        <v>7852530</v>
      </c>
    </row>
    <row r="324">
      <c r="A324" s="8" t="inlineStr"/>
      <c r="B324" s="8" t="inlineStr">
        <is>
          <t>N3</t>
        </is>
      </c>
      <c r="C324" s="8" t="inlineStr">
        <is>
          <t>Nhân công nhóm 3</t>
        </is>
      </c>
      <c r="E324" s="8" t="inlineStr">
        <is>
          <t>công</t>
        </is>
      </c>
      <c r="F324" s="8" t="n">
        <v>18.39</v>
      </c>
      <c r="G324" s="8" t="n">
        <v>427000</v>
      </c>
      <c r="H324" s="8" t="n">
        <v>1</v>
      </c>
      <c r="I324" s="8" t="n">
        <v>7852530</v>
      </c>
    </row>
    <row r="325">
      <c r="A325" s="8" t="inlineStr"/>
      <c r="B325" s="8" t="inlineStr"/>
      <c r="C325" s="8" t="inlineStr">
        <is>
          <t>Cộng chi phí trực tiếp (VL+NC+M)</t>
        </is>
      </c>
      <c r="E325" s="8" t="inlineStr">
        <is>
          <t>T</t>
        </is>
      </c>
      <c r="F325" s="8" t="inlineStr"/>
      <c r="G325" s="8" t="inlineStr"/>
      <c r="H325" s="8" t="inlineStr"/>
      <c r="I325" s="8" t="n">
        <v>24659760.1909636</v>
      </c>
    </row>
    <row r="326">
      <c r="A326" s="8" t="inlineStr"/>
      <c r="B326" s="8" t="inlineStr"/>
      <c r="C326" s="8" t="inlineStr">
        <is>
          <t>CHI PHÍ GIÁN TIẾP</t>
        </is>
      </c>
      <c r="E326" s="8" t="inlineStr">
        <is>
          <t>GT</t>
        </is>
      </c>
      <c r="F326" s="8" t="inlineStr"/>
      <c r="G326" s="8" t="inlineStr"/>
      <c r="H326" s="8" t="inlineStr"/>
      <c r="I326" s="8" t="n">
        <v>2416656.498714433</v>
      </c>
    </row>
    <row r="327">
      <c r="A327" s="8" t="inlineStr"/>
      <c r="B327" s="8" t="inlineStr"/>
      <c r="C327" s="8" t="inlineStr">
        <is>
          <t>Chi phí chung (T x 7,3%)</t>
        </is>
      </c>
      <c r="E327" s="8" t="inlineStr">
        <is>
          <t>C</t>
        </is>
      </c>
      <c r="F327" s="8" t="inlineStr">
        <is>
          <t>7,3%</t>
        </is>
      </c>
      <c r="G327" s="8" t="inlineStr"/>
      <c r="H327" s="8" t="inlineStr"/>
      <c r="I327" s="8" t="n">
        <v>1800162.493940343</v>
      </c>
    </row>
    <row r="328">
      <c r="A328" s="8" t="inlineStr"/>
      <c r="B328" s="8" t="inlineStr"/>
      <c r="C328" s="8" t="inlineStr">
        <is>
          <t>Chi phí một số công việc không xác định được khối lượng từ thiết kế (T x 2,5%)</t>
        </is>
      </c>
      <c r="E328" s="8" t="inlineStr">
        <is>
          <t>TT</t>
        </is>
      </c>
      <c r="F328" s="8" t="inlineStr">
        <is>
          <t>2,5%</t>
        </is>
      </c>
      <c r="G328" s="8" t="inlineStr"/>
      <c r="H328" s="8" t="inlineStr"/>
      <c r="I328" s="8" t="n">
        <v>616494.00477409</v>
      </c>
    </row>
    <row r="329">
      <c r="A329" s="8" t="inlineStr"/>
      <c r="B329" s="8" t="inlineStr"/>
      <c r="C329" s="8" t="inlineStr">
        <is>
          <t>THU NHẬP CHỊU THUẾ TÍNH TRƯỚC (T+GT) x 5,5%</t>
        </is>
      </c>
      <c r="E329" s="8" t="inlineStr">
        <is>
          <t>TL</t>
        </is>
      </c>
      <c r="F329" s="8" t="inlineStr">
        <is>
          <t>5,5%</t>
        </is>
      </c>
      <c r="G329" s="8" t="inlineStr"/>
      <c r="H329" s="8" t="inlineStr"/>
      <c r="I329" s="8" t="n">
        <v>1489202.917932292</v>
      </c>
    </row>
    <row r="330">
      <c r="A330" s="8" t="inlineStr"/>
      <c r="B330" s="8" t="inlineStr"/>
      <c r="C330" s="8" t="inlineStr">
        <is>
          <t>Chi phí xây dựng trước thuế (T + GT + TL)</t>
        </is>
      </c>
      <c r="E330" s="8" t="inlineStr">
        <is>
          <t>Gxdtt</t>
        </is>
      </c>
      <c r="F330" s="8" t="inlineStr"/>
      <c r="G330" s="8" t="inlineStr"/>
      <c r="H330" s="8" t="inlineStr"/>
      <c r="I330" s="8" t="n">
        <v>28565619.60761032</v>
      </c>
    </row>
    <row r="331">
      <c r="A331" s="8" t="inlineStr"/>
      <c r="B331" s="8" t="inlineStr"/>
      <c r="C331" s="8" t="inlineStr">
        <is>
          <t>THUẾ GIÁ TRỊ GIA TĂNG (Gxdtt x 10%)</t>
        </is>
      </c>
      <c r="E331" s="8" t="inlineStr">
        <is>
          <t>GTGT</t>
        </is>
      </c>
      <c r="F331" s="8" t="n">
        <v>0.1</v>
      </c>
      <c r="G331" s="8" t="inlineStr"/>
      <c r="H331" s="8" t="inlineStr"/>
      <c r="I331" s="8" t="n">
        <v>2856561.960761033</v>
      </c>
    </row>
    <row r="332">
      <c r="A332" s="8" t="inlineStr"/>
      <c r="B332" s="8" t="inlineStr"/>
      <c r="C332" s="8" t="inlineStr">
        <is>
          <t>Chi phí xây dựng sau thuế (Gxdtt + GTGT)</t>
        </is>
      </c>
      <c r="E332" s="8" t="inlineStr">
        <is>
          <t>Gxdst</t>
        </is>
      </c>
      <c r="F332" s="8" t="inlineStr"/>
      <c r="G332" s="8" t="inlineStr"/>
      <c r="H332" s="8" t="inlineStr"/>
      <c r="I332" s="8" t="n">
        <v>31422181.56837136</v>
      </c>
    </row>
    <row r="333">
      <c r="A333" s="8" t="inlineStr"/>
      <c r="B333" s="8" t="inlineStr"/>
      <c r="C333" s="8" t="inlineStr">
        <is>
          <t>Chi phí nhà tạm để ở và điều hành thi công (Gxdtt x 0,9% x (1+10%))</t>
        </is>
      </c>
      <c r="E333" s="8" t="inlineStr">
        <is>
          <t>LT</t>
        </is>
      </c>
      <c r="F333" s="8" t="n">
        <v>0.008999999999999999</v>
      </c>
      <c r="G333" s="8" t="inlineStr"/>
      <c r="H333" s="8" t="inlineStr"/>
      <c r="I333" s="8" t="n">
        <v>282799.6341153422</v>
      </c>
    </row>
    <row r="334">
      <c r="A334" s="8" t="inlineStr"/>
      <c r="B334" s="8" t="inlineStr"/>
      <c r="C334" s="8" t="inlineStr">
        <is>
          <t>TỔNG CỘNG (Gxdst + LT)</t>
        </is>
      </c>
      <c r="E334" s="8" t="inlineStr">
        <is>
          <t>Gxd</t>
        </is>
      </c>
      <c r="F334" s="8" t="inlineStr"/>
      <c r="G334" s="8" t="inlineStr"/>
      <c r="H334" s="8" t="inlineStr"/>
      <c r="I334" s="8" t="n">
        <v>31704981.2024867</v>
      </c>
    </row>
    <row r="335">
      <c r="A335" s="8" t="n">
        <v>5</v>
      </c>
      <c r="B335" s="11" t="inlineStr">
        <is>
          <t>BB.51005</t>
        </is>
      </c>
      <c r="C335" s="8" t="inlineStr">
        <is>
          <t>Ống đồng_D19.1_0.99mm</t>
        </is>
      </c>
      <c r="D335" s="12">
        <f>HYPERLINK("tt38://pl3/100", "👉 Phụ lục III - Trang 100 (Khớp nhóm BB.5100)")</f>
        <v/>
      </c>
      <c r="E335" s="8" t="inlineStr">
        <is>
          <t>100m</t>
        </is>
      </c>
      <c r="F335" s="8" t="n">
        <v>1</v>
      </c>
      <c r="G335" s="8" t="inlineStr"/>
      <c r="H335" s="8" t="inlineStr"/>
      <c r="I335" s="8" t="inlineStr"/>
    </row>
    <row r="336">
      <c r="A336" s="8" t="inlineStr"/>
      <c r="B336" s="8" t="inlineStr"/>
      <c r="C336" s="8" t="inlineStr">
        <is>
          <t>a) Vật liệu</t>
        </is>
      </c>
      <c r="E336" s="8" t="inlineStr"/>
      <c r="F336" s="8" t="inlineStr"/>
      <c r="G336" s="8" t="inlineStr"/>
      <c r="H336" s="8" t="inlineStr"/>
      <c r="I336" s="8" t="n">
        <v>20369250.3573636</v>
      </c>
    </row>
    <row r="337">
      <c r="A337" s="8" t="inlineStr"/>
      <c r="B337" s="8" t="inlineStr">
        <is>
          <t>A33.0462</t>
        </is>
      </c>
      <c r="C337" s="8" t="inlineStr">
        <is>
          <t>Ống đồng_D19.1_0.99mm</t>
        </is>
      </c>
      <c r="E337" s="8" t="inlineStr">
        <is>
          <t>m</t>
        </is>
      </c>
      <c r="F337" s="8" t="n">
        <v>100.5</v>
      </c>
      <c r="G337" s="8" t="n">
        <v>202300</v>
      </c>
      <c r="H337" s="8" t="n">
        <v>1</v>
      </c>
      <c r="I337" s="8" t="n">
        <v>20331150</v>
      </c>
    </row>
    <row r="338">
      <c r="A338" s="8" t="inlineStr"/>
      <c r="B338" s="8" t="inlineStr">
        <is>
          <t>A33.0113</t>
        </is>
      </c>
      <c r="C338" s="8" t="inlineStr">
        <is>
          <t>Que hàn đồng</t>
        </is>
      </c>
      <c r="E338" s="8" t="inlineStr">
        <is>
          <t>kg</t>
        </is>
      </c>
      <c r="F338" s="8" t="n">
        <v>0.132</v>
      </c>
      <c r="G338" s="8" t="n">
        <v>250000</v>
      </c>
      <c r="H338" s="8" t="n">
        <v>1</v>
      </c>
      <c r="I338" s="8" t="n">
        <v>33000</v>
      </c>
    </row>
    <row r="339">
      <c r="A339" s="8" t="inlineStr"/>
      <c r="B339" s="8" t="inlineStr">
        <is>
          <t>A33.0001</t>
        </is>
      </c>
      <c r="C339" s="8" t="inlineStr">
        <is>
          <t>Ô xy</t>
        </is>
      </c>
      <c r="E339" s="8" t="inlineStr">
        <is>
          <t>chai</t>
        </is>
      </c>
      <c r="F339" s="8" t="n">
        <v>0.006</v>
      </c>
      <c r="G339" s="8" t="n">
        <v>30000</v>
      </c>
      <c r="H339" s="8" t="n">
        <v>1</v>
      </c>
      <c r="I339" s="8" t="n">
        <v>180</v>
      </c>
    </row>
    <row r="340">
      <c r="A340" s="8" t="inlineStr"/>
      <c r="B340" s="8" t="inlineStr">
        <is>
          <t>A24.0931</t>
        </is>
      </c>
      <c r="C340" s="8" t="inlineStr">
        <is>
          <t>Khí gas</t>
        </is>
      </c>
      <c r="E340" s="8" t="inlineStr">
        <is>
          <t>kg</t>
        </is>
      </c>
      <c r="F340" s="8" t="n">
        <v>0.012</v>
      </c>
      <c r="G340" s="8" t="n">
        <v>37803</v>
      </c>
      <c r="H340" s="8" t="n">
        <v>1</v>
      </c>
      <c r="I340" s="8" t="n">
        <v>453.636</v>
      </c>
    </row>
    <row r="341">
      <c r="A341" s="8" t="inlineStr"/>
      <c r="B341" s="8" t="inlineStr">
        <is>
          <t>A33.0469</t>
        </is>
      </c>
      <c r="C341" s="8" t="inlineStr">
        <is>
          <t>Thuốc hàn</t>
        </is>
      </c>
      <c r="E341" s="8" t="inlineStr">
        <is>
          <t>kg</t>
        </is>
      </c>
      <c r="F341" s="8" t="n">
        <v>0.09</v>
      </c>
      <c r="G341" s="8" t="n">
        <v>27000</v>
      </c>
      <c r="H341" s="8" t="n">
        <v>1</v>
      </c>
      <c r="I341" s="8" t="n">
        <v>2430</v>
      </c>
    </row>
    <row r="342">
      <c r="A342" s="8" t="inlineStr"/>
      <c r="B342" s="8" t="inlineStr">
        <is>
          <t>Z999</t>
        </is>
      </c>
      <c r="C342" s="8" t="inlineStr">
        <is>
          <t>Vật liệu khác</t>
        </is>
      </c>
      <c r="E342" s="8" t="inlineStr">
        <is>
          <t>%</t>
        </is>
      </c>
      <c r="F342" s="8" t="n">
        <v>0.01</v>
      </c>
      <c r="G342" s="8" t="n">
        <v>20367213.636</v>
      </c>
      <c r="H342" s="8" t="inlineStr"/>
      <c r="I342" s="8" t="n">
        <v>2036.7213636</v>
      </c>
    </row>
    <row r="343">
      <c r="A343" s="8" t="inlineStr"/>
      <c r="B343" s="8" t="inlineStr"/>
      <c r="C343" s="8" t="inlineStr">
        <is>
          <t>Cộng</t>
        </is>
      </c>
      <c r="E343" s="8" t="inlineStr"/>
      <c r="F343" s="8" t="inlineStr"/>
      <c r="G343" s="8" t="inlineStr"/>
      <c r="H343" s="8" t="inlineStr"/>
      <c r="I343" s="8" t="n">
        <v>20369250.3573636</v>
      </c>
    </row>
    <row r="344">
      <c r="A344" s="8" t="inlineStr"/>
      <c r="B344" s="8" t="inlineStr"/>
      <c r="C344" s="8" t="inlineStr">
        <is>
          <t>b) Nhân công</t>
        </is>
      </c>
      <c r="E344" s="8" t="inlineStr"/>
      <c r="F344" s="8" t="inlineStr"/>
      <c r="G344" s="8" t="inlineStr"/>
      <c r="H344" s="8" t="inlineStr"/>
      <c r="I344" s="8" t="n">
        <v>9475130</v>
      </c>
    </row>
    <row r="345">
      <c r="A345" s="8" t="inlineStr"/>
      <c r="B345" s="8" t="inlineStr">
        <is>
          <t>N3</t>
        </is>
      </c>
      <c r="C345" s="8" t="inlineStr">
        <is>
          <t>Nhân công nhóm 3</t>
        </is>
      </c>
      <c r="E345" s="8" t="inlineStr">
        <is>
          <t>công</t>
        </is>
      </c>
      <c r="F345" s="8" t="n">
        <v>22.19</v>
      </c>
      <c r="G345" s="8" t="n">
        <v>427000</v>
      </c>
      <c r="H345" s="8" t="n">
        <v>1</v>
      </c>
      <c r="I345" s="8" t="n">
        <v>9475130</v>
      </c>
    </row>
    <row r="346">
      <c r="A346" s="8" t="inlineStr"/>
      <c r="B346" s="8" t="inlineStr"/>
      <c r="C346" s="8" t="inlineStr">
        <is>
          <t>Cộng chi phí trực tiếp (VL+NC+M)</t>
        </is>
      </c>
      <c r="E346" s="8" t="inlineStr">
        <is>
          <t>T</t>
        </is>
      </c>
      <c r="F346" s="8" t="inlineStr"/>
      <c r="G346" s="8" t="inlineStr"/>
      <c r="H346" s="8" t="inlineStr"/>
      <c r="I346" s="8" t="n">
        <v>29844380.3573636</v>
      </c>
    </row>
    <row r="347">
      <c r="A347" s="8" t="inlineStr"/>
      <c r="B347" s="8" t="inlineStr"/>
      <c r="C347" s="8" t="inlineStr">
        <is>
          <t>CHI PHÍ GIÁN TIẾP</t>
        </is>
      </c>
      <c r="E347" s="8" t="inlineStr">
        <is>
          <t>GT</t>
        </is>
      </c>
      <c r="F347" s="8" t="inlineStr"/>
      <c r="G347" s="8" t="inlineStr"/>
      <c r="H347" s="8" t="inlineStr"/>
      <c r="I347" s="8" t="n">
        <v>2924749.275021633</v>
      </c>
    </row>
    <row r="348">
      <c r="A348" s="8" t="inlineStr"/>
      <c r="B348" s="8" t="inlineStr"/>
      <c r="C348" s="8" t="inlineStr">
        <is>
          <t>Chi phí chung (T x 7,3%)</t>
        </is>
      </c>
      <c r="E348" s="8" t="inlineStr">
        <is>
          <t>C</t>
        </is>
      </c>
      <c r="F348" s="8" t="inlineStr">
        <is>
          <t>7,3%</t>
        </is>
      </c>
      <c r="G348" s="8" t="inlineStr"/>
      <c r="H348" s="8" t="inlineStr"/>
      <c r="I348" s="8" t="n">
        <v>2178639.766087543</v>
      </c>
    </row>
    <row r="349">
      <c r="A349" s="8" t="inlineStr"/>
      <c r="B349" s="8" t="inlineStr"/>
      <c r="C349" s="8" t="inlineStr">
        <is>
          <t>Chi phí một số công việc không xác định được khối lượng từ thiết kế (T x 2,5%)</t>
        </is>
      </c>
      <c r="E349" s="8" t="inlineStr">
        <is>
          <t>TT</t>
        </is>
      </c>
      <c r="F349" s="8" t="inlineStr">
        <is>
          <t>2,5%</t>
        </is>
      </c>
      <c r="G349" s="8" t="inlineStr"/>
      <c r="H349" s="8" t="inlineStr"/>
      <c r="I349" s="8" t="n">
        <v>746109.50893409</v>
      </c>
    </row>
    <row r="350">
      <c r="A350" s="8" t="inlineStr"/>
      <c r="B350" s="8" t="inlineStr"/>
      <c r="C350" s="8" t="inlineStr">
        <is>
          <t>THU NHẬP CHỊU THUẾ TÍNH TRƯỚC (T+GT) x 5,5%</t>
        </is>
      </c>
      <c r="E350" s="8" t="inlineStr">
        <is>
          <t>TL</t>
        </is>
      </c>
      <c r="F350" s="8" t="inlineStr">
        <is>
          <t>5,5%</t>
        </is>
      </c>
      <c r="G350" s="8" t="inlineStr"/>
      <c r="H350" s="8" t="inlineStr"/>
      <c r="I350" s="8" t="n">
        <v>1802302.129781188</v>
      </c>
    </row>
    <row r="351">
      <c r="A351" s="8" t="inlineStr"/>
      <c r="B351" s="8" t="inlineStr"/>
      <c r="C351" s="8" t="inlineStr">
        <is>
          <t>Chi phí xây dựng trước thuế (T + GT + TL)</t>
        </is>
      </c>
      <c r="E351" s="8" t="inlineStr">
        <is>
          <t>Gxdtt</t>
        </is>
      </c>
      <c r="F351" s="8" t="inlineStr"/>
      <c r="G351" s="8" t="inlineStr"/>
      <c r="H351" s="8" t="inlineStr"/>
      <c r="I351" s="8" t="n">
        <v>34571431.76216642</v>
      </c>
    </row>
    <row r="352">
      <c r="A352" s="8" t="inlineStr"/>
      <c r="B352" s="8" t="inlineStr"/>
      <c r="C352" s="8" t="inlineStr">
        <is>
          <t>THUẾ GIÁ TRỊ GIA TĂNG (Gxdtt x 10%)</t>
        </is>
      </c>
      <c r="E352" s="8" t="inlineStr">
        <is>
          <t>GTGT</t>
        </is>
      </c>
      <c r="F352" s="8" t="n">
        <v>0.1</v>
      </c>
      <c r="G352" s="8" t="inlineStr"/>
      <c r="H352" s="8" t="inlineStr"/>
      <c r="I352" s="8" t="n">
        <v>3457143.176216642</v>
      </c>
    </row>
    <row r="353">
      <c r="A353" s="8" t="inlineStr"/>
      <c r="B353" s="8" t="inlineStr"/>
      <c r="C353" s="8" t="inlineStr">
        <is>
          <t>Chi phí xây dựng sau thuế (Gxdtt + GTGT)</t>
        </is>
      </c>
      <c r="E353" s="8" t="inlineStr">
        <is>
          <t>Gxdst</t>
        </is>
      </c>
      <c r="F353" s="8" t="inlineStr"/>
      <c r="G353" s="8" t="inlineStr"/>
      <c r="H353" s="8" t="inlineStr"/>
      <c r="I353" s="8" t="n">
        <v>38028574.93838306</v>
      </c>
    </row>
    <row r="354">
      <c r="A354" s="8" t="inlineStr"/>
      <c r="B354" s="8" t="inlineStr"/>
      <c r="C354" s="8" t="inlineStr">
        <is>
          <t>Chi phí nhà tạm để ở và điều hành thi công (Gxdtt x 0,9% x (1+10%))</t>
        </is>
      </c>
      <c r="E354" s="8" t="inlineStr">
        <is>
          <t>LT</t>
        </is>
      </c>
      <c r="F354" s="8" t="n">
        <v>0.008999999999999999</v>
      </c>
      <c r="G354" s="8" t="inlineStr"/>
      <c r="H354" s="8" t="inlineStr"/>
      <c r="I354" s="8" t="n">
        <v>342257.1744454476</v>
      </c>
    </row>
    <row r="355">
      <c r="A355" s="8" t="inlineStr"/>
      <c r="B355" s="8" t="inlineStr"/>
      <c r="C355" s="8" t="inlineStr">
        <is>
          <t>TỔNG CỘNG (Gxdst + LT)</t>
        </is>
      </c>
      <c r="E355" s="8" t="inlineStr">
        <is>
          <t>Gxd</t>
        </is>
      </c>
      <c r="F355" s="8" t="inlineStr"/>
      <c r="G355" s="8" t="inlineStr"/>
      <c r="H355" s="8" t="inlineStr"/>
      <c r="I355" s="8" t="n">
        <v>38370832.11282851</v>
      </c>
    </row>
    <row r="356">
      <c r="A356" s="8" t="n">
        <v>6</v>
      </c>
      <c r="B356" s="11" t="inlineStr">
        <is>
          <t>BB.51006</t>
        </is>
      </c>
      <c r="C356" s="8" t="inlineStr">
        <is>
          <t>Ống đồng_D22.2_1.14mm</t>
        </is>
      </c>
      <c r="D356" s="12">
        <f>HYPERLINK("tt38://pl3/100", "👉 Phụ lục III - Trang 100 (Khớp nhóm BB.5100)")</f>
        <v/>
      </c>
      <c r="E356" s="8" t="inlineStr">
        <is>
          <t>100m</t>
        </is>
      </c>
      <c r="F356" s="8" t="n">
        <v>1</v>
      </c>
      <c r="G356" s="8" t="inlineStr"/>
      <c r="H356" s="8" t="inlineStr"/>
      <c r="I356" s="8" t="inlineStr"/>
    </row>
    <row r="357">
      <c r="A357" s="8" t="inlineStr"/>
      <c r="B357" s="8" t="inlineStr"/>
      <c r="C357" s="8" t="inlineStr">
        <is>
          <t>a) Vật liệu</t>
        </is>
      </c>
      <c r="E357" s="8" t="inlineStr"/>
      <c r="F357" s="8" t="inlineStr"/>
      <c r="G357" s="8" t="inlineStr"/>
      <c r="H357" s="8" t="inlineStr"/>
      <c r="I357" s="8" t="n">
        <v>27399625.9306242</v>
      </c>
    </row>
    <row r="358">
      <c r="A358" s="8" t="inlineStr"/>
      <c r="B358" s="8" t="inlineStr">
        <is>
          <t>A33.0463</t>
        </is>
      </c>
      <c r="C358" s="8" t="inlineStr">
        <is>
          <t>Ống đồng_D22.2_1.14mm</t>
        </is>
      </c>
      <c r="E358" s="8" t="inlineStr">
        <is>
          <t>m</t>
        </is>
      </c>
      <c r="F358" s="8" t="n">
        <v>100.5</v>
      </c>
      <c r="G358" s="8" t="n">
        <v>272200</v>
      </c>
      <c r="H358" s="8" t="n">
        <v>1</v>
      </c>
      <c r="I358" s="8" t="n">
        <v>27356100</v>
      </c>
    </row>
    <row r="359">
      <c r="A359" s="8" t="inlineStr"/>
      <c r="B359" s="8" t="inlineStr">
        <is>
          <t>A33.0113</t>
        </is>
      </c>
      <c r="C359" s="8" t="inlineStr">
        <is>
          <t>Que hàn đồng</t>
        </is>
      </c>
      <c r="E359" s="8" t="inlineStr">
        <is>
          <t>kg</t>
        </is>
      </c>
      <c r="F359" s="8" t="n">
        <v>0.159</v>
      </c>
      <c r="G359" s="8" t="n">
        <v>250000</v>
      </c>
      <c r="H359" s="8" t="n">
        <v>1</v>
      </c>
      <c r="I359" s="8" t="n">
        <v>39750</v>
      </c>
    </row>
    <row r="360">
      <c r="A360" s="8" t="inlineStr"/>
      <c r="B360" s="8" t="inlineStr">
        <is>
          <t>A33.0001</t>
        </is>
      </c>
      <c r="C360" s="8" t="inlineStr">
        <is>
          <t>Ô xy</t>
        </is>
      </c>
      <c r="E360" s="8" t="inlineStr">
        <is>
          <t>chai</t>
        </is>
      </c>
      <c r="F360" s="8" t="n">
        <v>0.007</v>
      </c>
      <c r="G360" s="8" t="n">
        <v>30000</v>
      </c>
      <c r="H360" s="8" t="n">
        <v>1</v>
      </c>
      <c r="I360" s="8" t="n">
        <v>210</v>
      </c>
    </row>
    <row r="361">
      <c r="A361" s="8" t="inlineStr"/>
      <c r="B361" s="8" t="inlineStr">
        <is>
          <t>A24.0931</t>
        </is>
      </c>
      <c r="C361" s="8" t="inlineStr">
        <is>
          <t>Khí gas</t>
        </is>
      </c>
      <c r="E361" s="8" t="inlineStr">
        <is>
          <t>kg</t>
        </is>
      </c>
      <c r="F361" s="8" t="n">
        <v>0.014</v>
      </c>
      <c r="G361" s="8" t="n">
        <v>37803</v>
      </c>
      <c r="H361" s="8" t="n">
        <v>1</v>
      </c>
      <c r="I361" s="8" t="n">
        <v>529.242</v>
      </c>
    </row>
    <row r="362">
      <c r="A362" s="8" t="inlineStr"/>
      <c r="B362" s="8" t="inlineStr">
        <is>
          <t>A33.0469</t>
        </is>
      </c>
      <c r="C362" s="8" t="inlineStr">
        <is>
          <t>Thuốc hàn</t>
        </is>
      </c>
      <c r="E362" s="8" t="inlineStr">
        <is>
          <t>kg</t>
        </is>
      </c>
      <c r="F362" s="8" t="n">
        <v>0.011</v>
      </c>
      <c r="G362" s="8" t="n">
        <v>27000</v>
      </c>
      <c r="H362" s="8" t="n">
        <v>1</v>
      </c>
      <c r="I362" s="8" t="n">
        <v>297</v>
      </c>
    </row>
    <row r="363">
      <c r="A363" s="8" t="inlineStr"/>
      <c r="B363" s="8" t="inlineStr">
        <is>
          <t>Z999</t>
        </is>
      </c>
      <c r="C363" s="8" t="inlineStr">
        <is>
          <t>Vật liệu khác</t>
        </is>
      </c>
      <c r="E363" s="8" t="inlineStr">
        <is>
          <t>%</t>
        </is>
      </c>
      <c r="F363" s="8" t="n">
        <v>0.01</v>
      </c>
      <c r="G363" s="8" t="n">
        <v>27396886.242</v>
      </c>
      <c r="H363" s="8" t="inlineStr"/>
      <c r="I363" s="8" t="n">
        <v>2739.6886242</v>
      </c>
    </row>
    <row r="364">
      <c r="A364" s="8" t="inlineStr"/>
      <c r="B364" s="8" t="inlineStr"/>
      <c r="C364" s="8" t="inlineStr">
        <is>
          <t>Cộng</t>
        </is>
      </c>
      <c r="E364" s="8" t="inlineStr"/>
      <c r="F364" s="8" t="inlineStr"/>
      <c r="G364" s="8" t="inlineStr"/>
      <c r="H364" s="8" t="inlineStr"/>
      <c r="I364" s="8" t="n">
        <v>27399625.9306242</v>
      </c>
    </row>
    <row r="365">
      <c r="A365" s="8" t="inlineStr"/>
      <c r="B365" s="8" t="inlineStr"/>
      <c r="C365" s="8" t="inlineStr">
        <is>
          <t>b) Nhân công</t>
        </is>
      </c>
      <c r="E365" s="8" t="inlineStr"/>
      <c r="F365" s="8" t="inlineStr"/>
      <c r="G365" s="8" t="inlineStr"/>
      <c r="H365" s="8" t="inlineStr"/>
      <c r="I365" s="8" t="n">
        <v>9850890</v>
      </c>
    </row>
    <row r="366">
      <c r="A366" s="8" t="inlineStr"/>
      <c r="B366" s="8" t="inlineStr">
        <is>
          <t>N3</t>
        </is>
      </c>
      <c r="C366" s="8" t="inlineStr">
        <is>
          <t>Nhân công nhóm 3</t>
        </is>
      </c>
      <c r="E366" s="8" t="inlineStr">
        <is>
          <t>công</t>
        </is>
      </c>
      <c r="F366" s="8" t="n">
        <v>23.07</v>
      </c>
      <c r="G366" s="8" t="n">
        <v>427000</v>
      </c>
      <c r="H366" s="8" t="n">
        <v>1</v>
      </c>
      <c r="I366" s="8" t="n">
        <v>9850890</v>
      </c>
    </row>
    <row r="367">
      <c r="A367" s="8" t="inlineStr"/>
      <c r="B367" s="8" t="inlineStr"/>
      <c r="C367" s="8" t="inlineStr">
        <is>
          <t>Cộng chi phí trực tiếp (VL+NC+M)</t>
        </is>
      </c>
      <c r="E367" s="8" t="inlineStr">
        <is>
          <t>T</t>
        </is>
      </c>
      <c r="F367" s="8" t="inlineStr"/>
      <c r="G367" s="8" t="inlineStr"/>
      <c r="H367" s="8" t="inlineStr"/>
      <c r="I367" s="8" t="n">
        <v>37250515.9306242</v>
      </c>
    </row>
    <row r="368">
      <c r="A368" s="8" t="inlineStr"/>
      <c r="B368" s="8" t="inlineStr"/>
      <c r="C368" s="8" t="inlineStr">
        <is>
          <t>CHI PHÍ GIÁN TIẾP</t>
        </is>
      </c>
      <c r="E368" s="8" t="inlineStr">
        <is>
          <t>GT</t>
        </is>
      </c>
      <c r="F368" s="8" t="inlineStr"/>
      <c r="G368" s="8" t="inlineStr"/>
      <c r="H368" s="8" t="inlineStr"/>
      <c r="I368" s="8" t="n">
        <v>3650550.561201172</v>
      </c>
    </row>
    <row r="369">
      <c r="A369" s="8" t="inlineStr"/>
      <c r="B369" s="8" t="inlineStr"/>
      <c r="C369" s="8" t="inlineStr">
        <is>
          <t>Chi phí chung (T x 7,3%)</t>
        </is>
      </c>
      <c r="E369" s="8" t="inlineStr">
        <is>
          <t>C</t>
        </is>
      </c>
      <c r="F369" s="8" t="inlineStr">
        <is>
          <t>7,3%</t>
        </is>
      </c>
      <c r="G369" s="8" t="inlineStr"/>
      <c r="H369" s="8" t="inlineStr"/>
      <c r="I369" s="8" t="n">
        <v>2719287.662935567</v>
      </c>
    </row>
    <row r="370">
      <c r="A370" s="8" t="inlineStr"/>
      <c r="B370" s="8" t="inlineStr"/>
      <c r="C370" s="8" t="inlineStr">
        <is>
          <t>Chi phí một số công việc không xác định được khối lượng từ thiết kế (T x 2,5%)</t>
        </is>
      </c>
      <c r="E370" s="8" t="inlineStr">
        <is>
          <t>TT</t>
        </is>
      </c>
      <c r="F370" s="8" t="inlineStr">
        <is>
          <t>2,5%</t>
        </is>
      </c>
      <c r="G370" s="8" t="inlineStr"/>
      <c r="H370" s="8" t="inlineStr"/>
      <c r="I370" s="8" t="n">
        <v>931262.8982656051</v>
      </c>
    </row>
    <row r="371">
      <c r="A371" s="8" t="inlineStr"/>
      <c r="B371" s="8" t="inlineStr"/>
      <c r="C371" s="8" t="inlineStr">
        <is>
          <t>THU NHẬP CHỊU THUẾ TÍNH TRƯỚC (T+GT) x 5,5%</t>
        </is>
      </c>
      <c r="E371" s="8" t="inlineStr">
        <is>
          <t>TL</t>
        </is>
      </c>
      <c r="F371" s="8" t="inlineStr">
        <is>
          <t>5,5%</t>
        </is>
      </c>
      <c r="G371" s="8" t="inlineStr"/>
      <c r="H371" s="8" t="inlineStr"/>
      <c r="I371" s="8" t="n">
        <v>2249558.657050395</v>
      </c>
    </row>
    <row r="372">
      <c r="A372" s="8" t="inlineStr"/>
      <c r="B372" s="8" t="inlineStr"/>
      <c r="C372" s="8" t="inlineStr">
        <is>
          <t>Chi phí xây dựng trước thuế (T + GT + TL)</t>
        </is>
      </c>
      <c r="E372" s="8" t="inlineStr">
        <is>
          <t>Gxdtt</t>
        </is>
      </c>
      <c r="F372" s="8" t="inlineStr"/>
      <c r="G372" s="8" t="inlineStr"/>
      <c r="H372" s="8" t="inlineStr"/>
      <c r="I372" s="8" t="n">
        <v>43150625.14887577</v>
      </c>
    </row>
    <row r="373">
      <c r="A373" s="8" t="inlineStr"/>
      <c r="B373" s="8" t="inlineStr"/>
      <c r="C373" s="8" t="inlineStr">
        <is>
          <t>THUẾ GIÁ TRỊ GIA TĂNG (Gxdtt x 10%)</t>
        </is>
      </c>
      <c r="E373" s="8" t="inlineStr">
        <is>
          <t>GTGT</t>
        </is>
      </c>
      <c r="F373" s="8" t="n">
        <v>0.1</v>
      </c>
      <c r="G373" s="8" t="inlineStr"/>
      <c r="H373" s="8" t="inlineStr"/>
      <c r="I373" s="8" t="n">
        <v>4315062.514887577</v>
      </c>
    </row>
    <row r="374">
      <c r="A374" s="8" t="inlineStr"/>
      <c r="B374" s="8" t="inlineStr"/>
      <c r="C374" s="8" t="inlineStr">
        <is>
          <t>Chi phí xây dựng sau thuế (Gxdtt + GTGT)</t>
        </is>
      </c>
      <c r="E374" s="8" t="inlineStr">
        <is>
          <t>Gxdst</t>
        </is>
      </c>
      <c r="F374" s="8" t="inlineStr"/>
      <c r="G374" s="8" t="inlineStr"/>
      <c r="H374" s="8" t="inlineStr"/>
      <c r="I374" s="8" t="n">
        <v>47465687.66376334</v>
      </c>
    </row>
    <row r="375">
      <c r="A375" s="8" t="inlineStr"/>
      <c r="B375" s="8" t="inlineStr"/>
      <c r="C375" s="8" t="inlineStr">
        <is>
          <t>Chi phí nhà tạm để ở và điều hành thi công (Gxdtt x 0,9% x (1+10%))</t>
        </is>
      </c>
      <c r="E375" s="8" t="inlineStr">
        <is>
          <t>LT</t>
        </is>
      </c>
      <c r="F375" s="8" t="n">
        <v>0.008999999999999999</v>
      </c>
      <c r="G375" s="8" t="inlineStr"/>
      <c r="H375" s="8" t="inlineStr"/>
      <c r="I375" s="8" t="n">
        <v>427191.1889738701</v>
      </c>
    </row>
    <row r="376">
      <c r="A376" s="8" t="inlineStr"/>
      <c r="B376" s="8" t="inlineStr"/>
      <c r="C376" s="8" t="inlineStr">
        <is>
          <t>TỔNG CỘNG (Gxdst + LT)</t>
        </is>
      </c>
      <c r="E376" s="8" t="inlineStr">
        <is>
          <t>Gxd</t>
        </is>
      </c>
      <c r="F376" s="8" t="inlineStr"/>
      <c r="G376" s="8" t="inlineStr"/>
      <c r="H376" s="8" t="inlineStr"/>
      <c r="I376" s="8" t="n">
        <v>47892878.85273721</v>
      </c>
    </row>
    <row r="377">
      <c r="A377" s="8" t="n">
        <v>7</v>
      </c>
      <c r="B377" s="11" t="inlineStr">
        <is>
          <t>BB.51008</t>
        </is>
      </c>
      <c r="C377" s="8" t="inlineStr">
        <is>
          <t>Ống đồng_D28.6_1.27mm</t>
        </is>
      </c>
      <c r="D377" s="12">
        <f>HYPERLINK("tt38://pl3/100", "👉 Phụ lục III - Trang 100 (Khớp nhóm BB.5100)")</f>
        <v/>
      </c>
      <c r="E377" s="8" t="inlineStr">
        <is>
          <t>100m</t>
        </is>
      </c>
      <c r="F377" s="8" t="n">
        <v>1</v>
      </c>
      <c r="G377" s="8" t="inlineStr"/>
      <c r="H377" s="8" t="inlineStr"/>
      <c r="I377" s="8" t="inlineStr"/>
    </row>
    <row r="378">
      <c r="A378" s="8" t="inlineStr"/>
      <c r="B378" s="8" t="inlineStr"/>
      <c r="C378" s="8" t="inlineStr">
        <is>
          <t>a) Vật liệu</t>
        </is>
      </c>
      <c r="E378" s="8" t="inlineStr"/>
      <c r="F378" s="8" t="inlineStr"/>
      <c r="G378" s="8" t="inlineStr"/>
      <c r="H378" s="8" t="inlineStr"/>
      <c r="I378" s="8" t="n">
        <v>39525486.213406</v>
      </c>
    </row>
    <row r="379">
      <c r="A379" s="8" t="inlineStr"/>
      <c r="B379" s="8" t="inlineStr">
        <is>
          <t>A33.0465</t>
        </is>
      </c>
      <c r="C379" s="8" t="inlineStr">
        <is>
          <t>Ống đồng_D28.6_1.27mm</t>
        </is>
      </c>
      <c r="E379" s="8" t="inlineStr">
        <is>
          <t>m</t>
        </is>
      </c>
      <c r="F379" s="8" t="n">
        <v>100.5</v>
      </c>
      <c r="G379" s="8" t="n">
        <v>392700</v>
      </c>
      <c r="H379" s="8" t="n">
        <v>1</v>
      </c>
      <c r="I379" s="8" t="n">
        <v>39466350</v>
      </c>
    </row>
    <row r="380">
      <c r="A380" s="8" t="inlineStr"/>
      <c r="B380" s="8" t="inlineStr">
        <is>
          <t>A33.0113</t>
        </is>
      </c>
      <c r="C380" s="8" t="inlineStr">
        <is>
          <t>Que hàn đồng</t>
        </is>
      </c>
      <c r="E380" s="8" t="inlineStr">
        <is>
          <t>kg</t>
        </is>
      </c>
      <c r="F380" s="8" t="n">
        <v>0.215</v>
      </c>
      <c r="G380" s="8" t="n">
        <v>250000</v>
      </c>
      <c r="H380" s="8" t="n">
        <v>1</v>
      </c>
      <c r="I380" s="8" t="n">
        <v>53750</v>
      </c>
    </row>
    <row r="381">
      <c r="A381" s="8" t="inlineStr"/>
      <c r="B381" s="8" t="inlineStr">
        <is>
          <t>A33.0001</t>
        </is>
      </c>
      <c r="C381" s="8" t="inlineStr">
        <is>
          <t>Ô xy</t>
        </is>
      </c>
      <c r="E381" s="8" t="inlineStr">
        <is>
          <t>chai</t>
        </is>
      </c>
      <c r="F381" s="8" t="n">
        <v>0.01</v>
      </c>
      <c r="G381" s="8" t="n">
        <v>30000</v>
      </c>
      <c r="H381" s="8" t="n">
        <v>1</v>
      </c>
      <c r="I381" s="8" t="n">
        <v>300</v>
      </c>
    </row>
    <row r="382">
      <c r="A382" s="8" t="inlineStr"/>
      <c r="B382" s="8" t="inlineStr">
        <is>
          <t>A24.0931</t>
        </is>
      </c>
      <c r="C382" s="8" t="inlineStr">
        <is>
          <t>Khí gas</t>
        </is>
      </c>
      <c r="E382" s="8" t="inlineStr">
        <is>
          <t>kg</t>
        </is>
      </c>
      <c r="F382" s="8" t="n">
        <v>0.02</v>
      </c>
      <c r="G382" s="8" t="n">
        <v>37803</v>
      </c>
      <c r="H382" s="8" t="n">
        <v>1</v>
      </c>
      <c r="I382" s="8" t="n">
        <v>756.0600000000001</v>
      </c>
    </row>
    <row r="383">
      <c r="A383" s="8" t="inlineStr"/>
      <c r="B383" s="8" t="inlineStr">
        <is>
          <t>A33.0469</t>
        </is>
      </c>
      <c r="C383" s="8" t="inlineStr">
        <is>
          <t>Thuốc hàn</t>
        </is>
      </c>
      <c r="E383" s="8" t="inlineStr">
        <is>
          <t>kg</t>
        </is>
      </c>
      <c r="F383" s="8" t="n">
        <v>0.014</v>
      </c>
      <c r="G383" s="8" t="n">
        <v>27000</v>
      </c>
      <c r="H383" s="8" t="n">
        <v>1</v>
      </c>
      <c r="I383" s="8" t="n">
        <v>378</v>
      </c>
    </row>
    <row r="384">
      <c r="A384" s="8" t="inlineStr"/>
      <c r="B384" s="8" t="inlineStr">
        <is>
          <t>Z999</t>
        </is>
      </c>
      <c r="C384" s="8" t="inlineStr">
        <is>
          <t>Vật liệu khác</t>
        </is>
      </c>
      <c r="E384" s="8" t="inlineStr">
        <is>
          <t>%</t>
        </is>
      </c>
      <c r="F384" s="8" t="n">
        <v>0.01</v>
      </c>
      <c r="G384" s="8" t="n">
        <v>39521534.06</v>
      </c>
      <c r="H384" s="8" t="inlineStr"/>
      <c r="I384" s="8" t="n">
        <v>3952.153406</v>
      </c>
    </row>
    <row r="385">
      <c r="A385" s="8" t="inlineStr"/>
      <c r="B385" s="8" t="inlineStr"/>
      <c r="C385" s="8" t="inlineStr">
        <is>
          <t>Cộng</t>
        </is>
      </c>
      <c r="E385" s="8" t="inlineStr"/>
      <c r="F385" s="8" t="inlineStr"/>
      <c r="G385" s="8" t="inlineStr"/>
      <c r="H385" s="8" t="inlineStr"/>
      <c r="I385" s="8" t="n">
        <v>39525486.213406</v>
      </c>
    </row>
    <row r="386">
      <c r="A386" s="8" t="inlineStr"/>
      <c r="B386" s="8" t="inlineStr"/>
      <c r="C386" s="8" t="inlineStr">
        <is>
          <t>b) Nhân công</t>
        </is>
      </c>
      <c r="E386" s="8" t="inlineStr"/>
      <c r="F386" s="8" t="inlineStr"/>
      <c r="G386" s="8" t="inlineStr"/>
      <c r="H386" s="8" t="inlineStr"/>
      <c r="I386" s="8" t="n">
        <v>10320590</v>
      </c>
    </row>
    <row r="387">
      <c r="A387" s="8" t="inlineStr"/>
      <c r="B387" s="8" t="inlineStr">
        <is>
          <t>N3</t>
        </is>
      </c>
      <c r="C387" s="8" t="inlineStr">
        <is>
          <t>Nhân công nhóm 3</t>
        </is>
      </c>
      <c r="E387" s="8" t="inlineStr">
        <is>
          <t>công</t>
        </is>
      </c>
      <c r="F387" s="8" t="n">
        <v>24.17</v>
      </c>
      <c r="G387" s="8" t="n">
        <v>427000</v>
      </c>
      <c r="H387" s="8" t="n">
        <v>1</v>
      </c>
      <c r="I387" s="8" t="n">
        <v>10320590</v>
      </c>
    </row>
    <row r="388">
      <c r="A388" s="8" t="inlineStr"/>
      <c r="B388" s="8" t="inlineStr"/>
      <c r="C388" s="8" t="inlineStr">
        <is>
          <t>Cộng chi phí trực tiếp (VL+NC+M)</t>
        </is>
      </c>
      <c r="E388" s="8" t="inlineStr">
        <is>
          <t>T</t>
        </is>
      </c>
      <c r="F388" s="8" t="inlineStr"/>
      <c r="G388" s="8" t="inlineStr"/>
      <c r="H388" s="8" t="inlineStr"/>
      <c r="I388" s="8" t="n">
        <v>49846076.213406</v>
      </c>
    </row>
    <row r="389">
      <c r="A389" s="8" t="inlineStr"/>
      <c r="B389" s="8" t="inlineStr"/>
      <c r="C389" s="8" t="inlineStr">
        <is>
          <t>CHI PHÍ GIÁN TIẾP</t>
        </is>
      </c>
      <c r="E389" s="8" t="inlineStr">
        <is>
          <t>GT</t>
        </is>
      </c>
      <c r="F389" s="8" t="inlineStr"/>
      <c r="G389" s="8" t="inlineStr"/>
      <c r="H389" s="8" t="inlineStr"/>
      <c r="I389" s="8" t="n">
        <v>4884915.468913788</v>
      </c>
    </row>
    <row r="390">
      <c r="A390" s="8" t="inlineStr"/>
      <c r="B390" s="8" t="inlineStr"/>
      <c r="C390" s="8" t="inlineStr">
        <is>
          <t>Chi phí chung (T x 7,3%)</t>
        </is>
      </c>
      <c r="E390" s="8" t="inlineStr">
        <is>
          <t>C</t>
        </is>
      </c>
      <c r="F390" s="8" t="inlineStr">
        <is>
          <t>7,3%</t>
        </is>
      </c>
      <c r="G390" s="8" t="inlineStr"/>
      <c r="H390" s="8" t="inlineStr"/>
      <c r="I390" s="8" t="n">
        <v>3638763.563578638</v>
      </c>
    </row>
    <row r="391">
      <c r="A391" s="8" t="inlineStr"/>
      <c r="B391" s="8" t="inlineStr"/>
      <c r="C391" s="8" t="inlineStr">
        <is>
          <t>Chi phí một số công việc không xác định được khối lượng từ thiết kế (T x 2,5%)</t>
        </is>
      </c>
      <c r="E391" s="8" t="inlineStr">
        <is>
          <t>TT</t>
        </is>
      </c>
      <c r="F391" s="8" t="inlineStr">
        <is>
          <t>2,5%</t>
        </is>
      </c>
      <c r="G391" s="8" t="inlineStr"/>
      <c r="H391" s="8" t="inlineStr"/>
      <c r="I391" s="8" t="n">
        <v>1246151.90533515</v>
      </c>
    </row>
    <row r="392">
      <c r="A392" s="8" t="inlineStr"/>
      <c r="B392" s="8" t="inlineStr"/>
      <c r="C392" s="8" t="inlineStr">
        <is>
          <t>THU NHẬP CHỊU THUẾ TÍNH TRƯỚC (T+GT) x 5,5%</t>
        </is>
      </c>
      <c r="E392" s="8" t="inlineStr">
        <is>
          <t>TL</t>
        </is>
      </c>
      <c r="F392" s="8" t="inlineStr">
        <is>
          <t>5,5%</t>
        </is>
      </c>
      <c r="G392" s="8" t="inlineStr"/>
      <c r="H392" s="8" t="inlineStr"/>
      <c r="I392" s="8" t="n">
        <v>3010204.542527589</v>
      </c>
    </row>
    <row r="393">
      <c r="A393" s="8" t="inlineStr"/>
      <c r="B393" s="8" t="inlineStr"/>
      <c r="C393" s="8" t="inlineStr">
        <is>
          <t>Chi phí xây dựng trước thuế (T + GT + TL)</t>
        </is>
      </c>
      <c r="E393" s="8" t="inlineStr">
        <is>
          <t>Gxdtt</t>
        </is>
      </c>
      <c r="F393" s="8" t="inlineStr"/>
      <c r="G393" s="8" t="inlineStr"/>
      <c r="H393" s="8" t="inlineStr"/>
      <c r="I393" s="8" t="n">
        <v>57741196.22484738</v>
      </c>
    </row>
    <row r="394">
      <c r="A394" s="8" t="inlineStr"/>
      <c r="B394" s="8" t="inlineStr"/>
      <c r="C394" s="8" t="inlineStr">
        <is>
          <t>THUẾ GIÁ TRỊ GIA TĂNG (Gxdtt x 10%)</t>
        </is>
      </c>
      <c r="E394" s="8" t="inlineStr">
        <is>
          <t>GTGT</t>
        </is>
      </c>
      <c r="F394" s="8" t="n">
        <v>0.1</v>
      </c>
      <c r="G394" s="8" t="inlineStr"/>
      <c r="H394" s="8" t="inlineStr"/>
      <c r="I394" s="8" t="n">
        <v>5774119.622484738</v>
      </c>
    </row>
    <row r="395">
      <c r="A395" s="8" t="inlineStr"/>
      <c r="B395" s="8" t="inlineStr"/>
      <c r="C395" s="8" t="inlineStr">
        <is>
          <t>Chi phí xây dựng sau thuế (Gxdtt + GTGT)</t>
        </is>
      </c>
      <c r="E395" s="8" t="inlineStr">
        <is>
          <t>Gxdst</t>
        </is>
      </c>
      <c r="F395" s="8" t="inlineStr"/>
      <c r="G395" s="8" t="inlineStr"/>
      <c r="H395" s="8" t="inlineStr"/>
      <c r="I395" s="8" t="n">
        <v>63515315.84733211</v>
      </c>
    </row>
    <row r="396">
      <c r="A396" s="8" t="inlineStr"/>
      <c r="B396" s="8" t="inlineStr"/>
      <c r="C396" s="8" t="inlineStr">
        <is>
          <t>Chi phí nhà tạm để ở và điều hành thi công (Gxdtt x 0,9% x (1+10%))</t>
        </is>
      </c>
      <c r="E396" s="8" t="inlineStr">
        <is>
          <t>LT</t>
        </is>
      </c>
      <c r="F396" s="8" t="n">
        <v>0.008999999999999999</v>
      </c>
      <c r="G396" s="8" t="inlineStr"/>
      <c r="H396" s="8" t="inlineStr"/>
      <c r="I396" s="8" t="n">
        <v>571637.8426259891</v>
      </c>
    </row>
    <row r="397">
      <c r="A397" s="8" t="inlineStr"/>
      <c r="B397" s="8" t="inlineStr"/>
      <c r="C397" s="8" t="inlineStr">
        <is>
          <t>TỔNG CỘNG (Gxdst + LT)</t>
        </is>
      </c>
      <c r="E397" s="8" t="inlineStr">
        <is>
          <t>Gxd</t>
        </is>
      </c>
      <c r="F397" s="8" t="inlineStr"/>
      <c r="G397" s="8" t="inlineStr"/>
      <c r="H397" s="8" t="inlineStr"/>
      <c r="I397" s="8" t="n">
        <v>64086953.6899581</v>
      </c>
    </row>
    <row r="398">
      <c r="A398" s="8" t="n">
        <v>8</v>
      </c>
      <c r="B398" s="11" t="inlineStr">
        <is>
          <t>BB.51010</t>
        </is>
      </c>
      <c r="C398" s="8" t="inlineStr">
        <is>
          <t>Ống đồng_D34.9_1.40mm</t>
        </is>
      </c>
      <c r="D398" s="12">
        <f>HYPERLINK("tt38://pl3/100", "👉 Phụ lục III - Trang 100 (Khớp nhóm BB.510)")</f>
        <v/>
      </c>
      <c r="E398" s="8" t="inlineStr">
        <is>
          <t>100m</t>
        </is>
      </c>
      <c r="F398" s="8" t="n">
        <v>1</v>
      </c>
      <c r="G398" s="8" t="inlineStr"/>
      <c r="H398" s="8" t="inlineStr"/>
      <c r="I398" s="8" t="inlineStr"/>
    </row>
    <row r="399">
      <c r="A399" s="8" t="inlineStr"/>
      <c r="B399" s="8" t="inlineStr"/>
      <c r="C399" s="8" t="inlineStr">
        <is>
          <t>a) Vật liệu</t>
        </is>
      </c>
      <c r="E399" s="8" t="inlineStr"/>
      <c r="F399" s="8" t="inlineStr"/>
      <c r="G399" s="8" t="inlineStr"/>
      <c r="H399" s="8" t="inlineStr"/>
      <c r="I399" s="8" t="n">
        <v>53498375.5746272</v>
      </c>
    </row>
    <row r="400">
      <c r="A400" s="8" t="inlineStr"/>
      <c r="B400" s="8" t="inlineStr">
        <is>
          <t>A33.0467</t>
        </is>
      </c>
      <c r="C400" s="8" t="inlineStr">
        <is>
          <t>Ống đồng_D34.9_1.40mm</t>
        </is>
      </c>
      <c r="E400" s="8" t="inlineStr">
        <is>
          <t>m</t>
        </is>
      </c>
      <c r="F400" s="8" t="n">
        <v>100.5</v>
      </c>
      <c r="G400" s="8" t="n">
        <v>531600</v>
      </c>
      <c r="H400" s="8" t="n">
        <v>1</v>
      </c>
      <c r="I400" s="8" t="n">
        <v>53425800</v>
      </c>
    </row>
    <row r="401">
      <c r="A401" s="8" t="inlineStr"/>
      <c r="B401" s="8" t="inlineStr">
        <is>
          <t>A33.0113</t>
        </is>
      </c>
      <c r="C401" s="8" t="inlineStr">
        <is>
          <t>Que hàn đồng</t>
        </is>
      </c>
      <c r="E401" s="8" t="inlineStr">
        <is>
          <t>kg</t>
        </is>
      </c>
      <c r="F401" s="8" t="n">
        <v>0.262</v>
      </c>
      <c r="G401" s="8" t="n">
        <v>250000</v>
      </c>
      <c r="H401" s="8" t="n">
        <v>1</v>
      </c>
      <c r="I401" s="8" t="n">
        <v>65500</v>
      </c>
    </row>
    <row r="402">
      <c r="A402" s="8" t="inlineStr"/>
      <c r="B402" s="8" t="inlineStr">
        <is>
          <t>A33.0001</t>
        </is>
      </c>
      <c r="C402" s="8" t="inlineStr">
        <is>
          <t>Ô xy</t>
        </is>
      </c>
      <c r="E402" s="8" t="inlineStr">
        <is>
          <t>chai</t>
        </is>
      </c>
      <c r="F402" s="8" t="n">
        <v>0.012</v>
      </c>
      <c r="G402" s="8" t="n">
        <v>30000</v>
      </c>
      <c r="H402" s="8" t="n">
        <v>1</v>
      </c>
      <c r="I402" s="8" t="n">
        <v>360</v>
      </c>
    </row>
    <row r="403">
      <c r="A403" s="8" t="inlineStr"/>
      <c r="B403" s="8" t="inlineStr">
        <is>
          <t>A24.0931</t>
        </is>
      </c>
      <c r="C403" s="8" t="inlineStr">
        <is>
          <t>Khí gas</t>
        </is>
      </c>
      <c r="E403" s="8" t="inlineStr">
        <is>
          <t>kg</t>
        </is>
      </c>
      <c r="F403" s="8" t="n">
        <v>0.024</v>
      </c>
      <c r="G403" s="8" t="n">
        <v>37803</v>
      </c>
      <c r="H403" s="8" t="n">
        <v>1</v>
      </c>
      <c r="I403" s="8" t="n">
        <v>907.272</v>
      </c>
    </row>
    <row r="404">
      <c r="A404" s="8" t="inlineStr"/>
      <c r="B404" s="8" t="inlineStr">
        <is>
          <t>A33.0469</t>
        </is>
      </c>
      <c r="C404" s="8" t="inlineStr">
        <is>
          <t>Thuốc hàn</t>
        </is>
      </c>
      <c r="E404" s="8" t="inlineStr">
        <is>
          <t>kg</t>
        </is>
      </c>
      <c r="F404" s="8" t="n">
        <v>0.017</v>
      </c>
      <c r="G404" s="8" t="n">
        <v>27000</v>
      </c>
      <c r="H404" s="8" t="n">
        <v>1</v>
      </c>
      <c r="I404" s="8" t="n">
        <v>459.0000000000001</v>
      </c>
    </row>
    <row r="405">
      <c r="A405" s="8" t="inlineStr"/>
      <c r="B405" s="8" t="inlineStr">
        <is>
          <t>Z999</t>
        </is>
      </c>
      <c r="C405" s="8" t="inlineStr">
        <is>
          <t>Vật liệu khác</t>
        </is>
      </c>
      <c r="E405" s="8" t="inlineStr">
        <is>
          <t>%</t>
        </is>
      </c>
      <c r="F405" s="8" t="n">
        <v>0.01</v>
      </c>
      <c r="G405" s="8" t="n">
        <v>53493026.272</v>
      </c>
      <c r="H405" s="8" t="inlineStr"/>
      <c r="I405" s="8" t="n">
        <v>5349.3026272</v>
      </c>
    </row>
    <row r="406">
      <c r="A406" s="8" t="inlineStr"/>
      <c r="B406" s="8" t="inlineStr"/>
      <c r="C406" s="8" t="inlineStr">
        <is>
          <t>Cộng</t>
        </is>
      </c>
      <c r="E406" s="8" t="inlineStr"/>
      <c r="F406" s="8" t="inlineStr"/>
      <c r="G406" s="8" t="inlineStr"/>
      <c r="H406" s="8" t="inlineStr"/>
      <c r="I406" s="8" t="n">
        <v>53498375.5746272</v>
      </c>
    </row>
    <row r="407">
      <c r="A407" s="8" t="inlineStr"/>
      <c r="B407" s="8" t="inlineStr"/>
      <c r="C407" s="8" t="inlineStr">
        <is>
          <t>b) Nhân công</t>
        </is>
      </c>
      <c r="E407" s="8" t="inlineStr"/>
      <c r="F407" s="8" t="inlineStr"/>
      <c r="G407" s="8" t="inlineStr"/>
      <c r="H407" s="8" t="inlineStr"/>
      <c r="I407" s="8" t="n">
        <v>10747590</v>
      </c>
    </row>
    <row r="408">
      <c r="A408" s="8" t="inlineStr"/>
      <c r="B408" s="8" t="inlineStr">
        <is>
          <t>N3</t>
        </is>
      </c>
      <c r="C408" s="8" t="inlineStr">
        <is>
          <t>Nhân công nhóm 3</t>
        </is>
      </c>
      <c r="E408" s="8" t="inlineStr">
        <is>
          <t>công</t>
        </is>
      </c>
      <c r="F408" s="8" t="n">
        <v>25.17</v>
      </c>
      <c r="G408" s="8" t="n">
        <v>427000</v>
      </c>
      <c r="H408" s="8" t="n">
        <v>1</v>
      </c>
      <c r="I408" s="8" t="n">
        <v>10747590</v>
      </c>
    </row>
    <row r="409">
      <c r="A409" s="8" t="inlineStr"/>
      <c r="B409" s="8" t="inlineStr"/>
      <c r="C409" s="8" t="inlineStr">
        <is>
          <t>Cộng chi phí trực tiếp (VL+NC+M)</t>
        </is>
      </c>
      <c r="E409" s="8" t="inlineStr">
        <is>
          <t>T</t>
        </is>
      </c>
      <c r="F409" s="8" t="inlineStr"/>
      <c r="G409" s="8" t="inlineStr"/>
      <c r="H409" s="8" t="inlineStr"/>
      <c r="I409" s="8" t="n">
        <v>64245965.5746272</v>
      </c>
    </row>
    <row r="410">
      <c r="A410" s="8" t="inlineStr"/>
      <c r="B410" s="8" t="inlineStr"/>
      <c r="C410" s="8" t="inlineStr">
        <is>
          <t>CHI PHÍ GIÁN TIẾP</t>
        </is>
      </c>
      <c r="E410" s="8" t="inlineStr">
        <is>
          <t>GT</t>
        </is>
      </c>
      <c r="F410" s="8" t="inlineStr"/>
      <c r="G410" s="8" t="inlineStr"/>
      <c r="H410" s="8" t="inlineStr"/>
      <c r="I410" s="8" t="n">
        <v>6296104.626313465</v>
      </c>
    </row>
    <row r="411">
      <c r="A411" s="8" t="inlineStr"/>
      <c r="B411" s="8" t="inlineStr"/>
      <c r="C411" s="8" t="inlineStr">
        <is>
          <t>Chi phí chung (T x 7,3%)</t>
        </is>
      </c>
      <c r="E411" s="8" t="inlineStr">
        <is>
          <t>C</t>
        </is>
      </c>
      <c r="F411" s="8" t="inlineStr">
        <is>
          <t>7,3%</t>
        </is>
      </c>
      <c r="G411" s="8" t="inlineStr"/>
      <c r="H411" s="8" t="inlineStr"/>
      <c r="I411" s="8" t="n">
        <v>4689955.486947785</v>
      </c>
    </row>
    <row r="412">
      <c r="A412" s="8" t="inlineStr"/>
      <c r="B412" s="8" t="inlineStr"/>
      <c r="C412" s="8" t="inlineStr">
        <is>
          <t>Chi phí một số công việc không xác định được khối lượng từ thiết kế (T x 2,5%)</t>
        </is>
      </c>
      <c r="E412" s="8" t="inlineStr">
        <is>
          <t>TT</t>
        </is>
      </c>
      <c r="F412" s="8" t="inlineStr">
        <is>
          <t>2,5%</t>
        </is>
      </c>
      <c r="G412" s="8" t="inlineStr"/>
      <c r="H412" s="8" t="inlineStr"/>
      <c r="I412" s="8" t="n">
        <v>1606149.13936568</v>
      </c>
    </row>
    <row r="413">
      <c r="A413" s="8" t="inlineStr"/>
      <c r="B413" s="8" t="inlineStr"/>
      <c r="C413" s="8" t="inlineStr">
        <is>
          <t>THU NHẬP CHỊU THUẾ TÍNH TRƯỚC (T+GT) x 5,5%</t>
        </is>
      </c>
      <c r="E413" s="8" t="inlineStr">
        <is>
          <t>TL</t>
        </is>
      </c>
      <c r="F413" s="8" t="inlineStr">
        <is>
          <t>5,5%</t>
        </is>
      </c>
      <c r="G413" s="8" t="inlineStr"/>
      <c r="H413" s="8" t="inlineStr"/>
      <c r="I413" s="8" t="n">
        <v>3879813.861051737</v>
      </c>
    </row>
    <row r="414">
      <c r="A414" s="8" t="inlineStr"/>
      <c r="B414" s="8" t="inlineStr"/>
      <c r="C414" s="8" t="inlineStr">
        <is>
          <t>Chi phí xây dựng trước thuế (T + GT + TL)</t>
        </is>
      </c>
      <c r="E414" s="8" t="inlineStr">
        <is>
          <t>Gxdtt</t>
        </is>
      </c>
      <c r="F414" s="8" t="inlineStr"/>
      <c r="G414" s="8" t="inlineStr"/>
      <c r="H414" s="8" t="inlineStr"/>
      <c r="I414" s="8" t="n">
        <v>74421884.06199241</v>
      </c>
    </row>
    <row r="415">
      <c r="A415" s="8" t="inlineStr"/>
      <c r="B415" s="8" t="inlineStr"/>
      <c r="C415" s="8" t="inlineStr">
        <is>
          <t>THUẾ GIÁ TRỊ GIA TĂNG (Gxdtt x 10%)</t>
        </is>
      </c>
      <c r="E415" s="8" t="inlineStr">
        <is>
          <t>GTGT</t>
        </is>
      </c>
      <c r="F415" s="8" t="n">
        <v>0.1</v>
      </c>
      <c r="G415" s="8" t="inlineStr"/>
      <c r="H415" s="8" t="inlineStr"/>
      <c r="I415" s="8" t="n">
        <v>7442188.406199241</v>
      </c>
    </row>
    <row r="416">
      <c r="A416" s="8" t="inlineStr"/>
      <c r="B416" s="8" t="inlineStr"/>
      <c r="C416" s="8" t="inlineStr">
        <is>
          <t>Chi phí xây dựng sau thuế (Gxdtt + GTGT)</t>
        </is>
      </c>
      <c r="E416" s="8" t="inlineStr">
        <is>
          <t>Gxdst</t>
        </is>
      </c>
      <c r="F416" s="8" t="inlineStr"/>
      <c r="G416" s="8" t="inlineStr"/>
      <c r="H416" s="8" t="inlineStr"/>
      <c r="I416" s="8" t="n">
        <v>81864072.46819165</v>
      </c>
    </row>
    <row r="417">
      <c r="A417" s="8" t="inlineStr"/>
      <c r="B417" s="8" t="inlineStr"/>
      <c r="C417" s="8" t="inlineStr">
        <is>
          <t>Chi phí nhà tạm để ở và điều hành thi công (Gxdtt x 0,9% x (1+10%))</t>
        </is>
      </c>
      <c r="E417" s="8" t="inlineStr">
        <is>
          <t>LT</t>
        </is>
      </c>
      <c r="F417" s="8" t="n">
        <v>0.008999999999999999</v>
      </c>
      <c r="G417" s="8" t="inlineStr"/>
      <c r="H417" s="8" t="inlineStr"/>
      <c r="I417" s="8" t="n">
        <v>736776.6522137248</v>
      </c>
    </row>
    <row r="418">
      <c r="A418" s="8" t="inlineStr"/>
      <c r="B418" s="8" t="inlineStr"/>
      <c r="C418" s="8" t="inlineStr">
        <is>
          <t>TỔNG CỘNG (Gxdst + LT)</t>
        </is>
      </c>
      <c r="E418" s="8" t="inlineStr">
        <is>
          <t>Gxd</t>
        </is>
      </c>
      <c r="F418" s="8" t="inlineStr"/>
      <c r="G418" s="8" t="inlineStr"/>
      <c r="H418" s="8" t="inlineStr"/>
      <c r="I418" s="8" t="n">
        <v>82600849.12040538</v>
      </c>
    </row>
    <row r="419">
      <c r="A419" s="8" t="n">
        <v>9</v>
      </c>
      <c r="B419" s="11" t="inlineStr">
        <is>
          <t>BB.51012</t>
        </is>
      </c>
      <c r="C419" s="8" t="inlineStr">
        <is>
          <t>Ống đồng_D41.3_1.53mm</t>
        </is>
      </c>
      <c r="D419" s="12">
        <f>HYPERLINK("tt38://pl3/100", "👉 Phụ lục III - Trang 100 (Khớp nhóm BB.510)")</f>
        <v/>
      </c>
      <c r="E419" s="8" t="inlineStr">
        <is>
          <t>100m</t>
        </is>
      </c>
      <c r="F419" s="8" t="n">
        <v>1</v>
      </c>
      <c r="G419" s="8" t="inlineStr"/>
      <c r="H419" s="8" t="inlineStr"/>
      <c r="I419" s="8" t="inlineStr"/>
    </row>
    <row r="420">
      <c r="A420" s="8" t="inlineStr"/>
      <c r="B420" s="8" t="inlineStr"/>
      <c r="C420" s="8" t="inlineStr">
        <is>
          <t>a) Vật liệu</t>
        </is>
      </c>
      <c r="E420" s="8" t="inlineStr"/>
      <c r="F420" s="8" t="inlineStr"/>
      <c r="G420" s="8" t="inlineStr"/>
      <c r="H420" s="8" t="inlineStr"/>
      <c r="I420" s="8" t="n">
        <v>68855447.73428781</v>
      </c>
    </row>
    <row r="421">
      <c r="A421" s="8" t="inlineStr"/>
      <c r="B421" s="8" t="inlineStr">
        <is>
          <t>A33.0471</t>
        </is>
      </c>
      <c r="C421" s="8" t="inlineStr">
        <is>
          <t>Ống đồng_D41.3_1.53mm</t>
        </is>
      </c>
      <c r="E421" s="8" t="inlineStr">
        <is>
          <t>m</t>
        </is>
      </c>
      <c r="F421" s="8" t="n">
        <v>100.5</v>
      </c>
      <c r="G421" s="8" t="n">
        <v>684300</v>
      </c>
      <c r="H421" s="8" t="n">
        <v>1</v>
      </c>
      <c r="I421" s="8" t="n">
        <v>68772150</v>
      </c>
    </row>
    <row r="422">
      <c r="A422" s="8" t="inlineStr"/>
      <c r="B422" s="8" t="inlineStr">
        <is>
          <t>A33.0113</t>
        </is>
      </c>
      <c r="C422" s="8" t="inlineStr">
        <is>
          <t>Que hàn đồng</t>
        </is>
      </c>
      <c r="E422" s="8" t="inlineStr">
        <is>
          <t>kg</t>
        </is>
      </c>
      <c r="F422" s="8" t="n">
        <v>0.298</v>
      </c>
      <c r="G422" s="8" t="n">
        <v>250000</v>
      </c>
      <c r="H422" s="8" t="n">
        <v>1</v>
      </c>
      <c r="I422" s="8" t="n">
        <v>74500</v>
      </c>
    </row>
    <row r="423">
      <c r="A423" s="8" t="inlineStr"/>
      <c r="B423" s="8" t="inlineStr">
        <is>
          <t>A33.0001</t>
        </is>
      </c>
      <c r="C423" s="8" t="inlineStr">
        <is>
          <t>Ô xy</t>
        </is>
      </c>
      <c r="E423" s="8" t="inlineStr">
        <is>
          <t>chai</t>
        </is>
      </c>
      <c r="F423" s="8" t="n">
        <v>0.013</v>
      </c>
      <c r="G423" s="8" t="n">
        <v>30000</v>
      </c>
      <c r="H423" s="8" t="n">
        <v>1</v>
      </c>
      <c r="I423" s="8" t="n">
        <v>390</v>
      </c>
    </row>
    <row r="424">
      <c r="A424" s="8" t="inlineStr"/>
      <c r="B424" s="8" t="inlineStr">
        <is>
          <t>A24.0931</t>
        </is>
      </c>
      <c r="C424" s="8" t="inlineStr">
        <is>
          <t>Khí gas</t>
        </is>
      </c>
      <c r="E424" s="8" t="inlineStr">
        <is>
          <t>kg</t>
        </is>
      </c>
      <c r="F424" s="8" t="n">
        <v>0.026</v>
      </c>
      <c r="G424" s="8" t="n">
        <v>37803</v>
      </c>
      <c r="H424" s="8" t="n">
        <v>1</v>
      </c>
      <c r="I424" s="8" t="n">
        <v>982.8779999999999</v>
      </c>
    </row>
    <row r="425">
      <c r="A425" s="8" t="inlineStr"/>
      <c r="B425" s="8" t="inlineStr">
        <is>
          <t>A33.0469</t>
        </is>
      </c>
      <c r="C425" s="8" t="inlineStr">
        <is>
          <t>Thuốc hàn</t>
        </is>
      </c>
      <c r="E425" s="8" t="inlineStr">
        <is>
          <t>kg</t>
        </is>
      </c>
      <c r="F425" s="8" t="n">
        <v>0.02</v>
      </c>
      <c r="G425" s="8" t="n">
        <v>27000</v>
      </c>
      <c r="H425" s="8" t="n">
        <v>1</v>
      </c>
      <c r="I425" s="8" t="n">
        <v>540</v>
      </c>
    </row>
    <row r="426">
      <c r="A426" s="8" t="inlineStr"/>
      <c r="B426" s="8" t="inlineStr">
        <is>
          <t>Z999</t>
        </is>
      </c>
      <c r="C426" s="8" t="inlineStr">
        <is>
          <t>Vật liệu khác</t>
        </is>
      </c>
      <c r="E426" s="8" t="inlineStr">
        <is>
          <t>%</t>
        </is>
      </c>
      <c r="F426" s="8" t="n">
        <v>0.01</v>
      </c>
      <c r="G426" s="8" t="n">
        <v>68848562.87800001</v>
      </c>
      <c r="H426" s="8" t="inlineStr"/>
      <c r="I426" s="8" t="n">
        <v>6884.8562878</v>
      </c>
    </row>
    <row r="427">
      <c r="A427" s="8" t="inlineStr"/>
      <c r="B427" s="8" t="inlineStr"/>
      <c r="C427" s="8" t="inlineStr">
        <is>
          <t>Cộng</t>
        </is>
      </c>
      <c r="E427" s="8" t="inlineStr"/>
      <c r="F427" s="8" t="inlineStr"/>
      <c r="G427" s="8" t="inlineStr"/>
      <c r="H427" s="8" t="inlineStr"/>
      <c r="I427" s="8" t="n">
        <v>68855447.73428781</v>
      </c>
    </row>
    <row r="428">
      <c r="A428" s="8" t="inlineStr"/>
      <c r="B428" s="8" t="inlineStr"/>
      <c r="C428" s="8" t="inlineStr">
        <is>
          <t>b) Nhân công</t>
        </is>
      </c>
      <c r="E428" s="8" t="inlineStr"/>
      <c r="F428" s="8" t="inlineStr"/>
      <c r="G428" s="8" t="inlineStr"/>
      <c r="H428" s="8" t="inlineStr"/>
      <c r="I428" s="8" t="n">
        <v>11622940</v>
      </c>
    </row>
    <row r="429">
      <c r="A429" s="8" t="inlineStr"/>
      <c r="B429" s="8" t="inlineStr">
        <is>
          <t>N3</t>
        </is>
      </c>
      <c r="C429" s="8" t="inlineStr">
        <is>
          <t>Nhân công nhóm 3</t>
        </is>
      </c>
      <c r="E429" s="8" t="inlineStr">
        <is>
          <t>công</t>
        </is>
      </c>
      <c r="F429" s="8" t="n">
        <v>27.22</v>
      </c>
      <c r="G429" s="8" t="n">
        <v>427000</v>
      </c>
      <c r="H429" s="8" t="n">
        <v>1</v>
      </c>
      <c r="I429" s="8" t="n">
        <v>11622940</v>
      </c>
    </row>
    <row r="430">
      <c r="A430" s="8" t="inlineStr"/>
      <c r="B430" s="8" t="inlineStr"/>
      <c r="C430" s="8" t="inlineStr">
        <is>
          <t>Cộng chi phí trực tiếp (VL+NC+M)</t>
        </is>
      </c>
      <c r="E430" s="8" t="inlineStr">
        <is>
          <t>T</t>
        </is>
      </c>
      <c r="F430" s="8" t="inlineStr"/>
      <c r="G430" s="8" t="inlineStr"/>
      <c r="H430" s="8" t="inlineStr"/>
      <c r="I430" s="8" t="n">
        <v>80478387.73428781</v>
      </c>
    </row>
    <row r="431">
      <c r="A431" s="8" t="inlineStr"/>
      <c r="B431" s="8" t="inlineStr"/>
      <c r="C431" s="8" t="inlineStr">
        <is>
          <t>CHI PHÍ GIÁN TIẾP</t>
        </is>
      </c>
      <c r="E431" s="8" t="inlineStr">
        <is>
          <t>GT</t>
        </is>
      </c>
      <c r="F431" s="8" t="inlineStr"/>
      <c r="G431" s="8" t="inlineStr"/>
      <c r="H431" s="8" t="inlineStr"/>
      <c r="I431" s="8" t="n">
        <v>7886881.997960206</v>
      </c>
    </row>
    <row r="432">
      <c r="A432" s="8" t="inlineStr"/>
      <c r="B432" s="8" t="inlineStr"/>
      <c r="C432" s="8" t="inlineStr">
        <is>
          <t>Chi phí chung (T x 7,3%)</t>
        </is>
      </c>
      <c r="E432" s="8" t="inlineStr">
        <is>
          <t>C</t>
        </is>
      </c>
      <c r="F432" s="8" t="inlineStr">
        <is>
          <t>7,3%</t>
        </is>
      </c>
      <c r="G432" s="8" t="inlineStr"/>
      <c r="H432" s="8" t="inlineStr"/>
      <c r="I432" s="8" t="n">
        <v>5874922.30460301</v>
      </c>
    </row>
    <row r="433">
      <c r="A433" s="8" t="inlineStr"/>
      <c r="B433" s="8" t="inlineStr"/>
      <c r="C433" s="8" t="inlineStr">
        <is>
          <t>Chi phí một số công việc không xác định được khối lượng từ thiết kế (T x 2,5%)</t>
        </is>
      </c>
      <c r="E433" s="8" t="inlineStr">
        <is>
          <t>TT</t>
        </is>
      </c>
      <c r="F433" s="8" t="inlineStr">
        <is>
          <t>2,5%</t>
        </is>
      </c>
      <c r="G433" s="8" t="inlineStr"/>
      <c r="H433" s="8" t="inlineStr"/>
      <c r="I433" s="8" t="n">
        <v>2011959.693357195</v>
      </c>
    </row>
    <row r="434">
      <c r="A434" s="8" t="inlineStr"/>
      <c r="B434" s="8" t="inlineStr"/>
      <c r="C434" s="8" t="inlineStr">
        <is>
          <t>THU NHẬP CHỊU THUẾ TÍNH TRƯỚC (T+GT) x 5,5%</t>
        </is>
      </c>
      <c r="E434" s="8" t="inlineStr">
        <is>
          <t>TL</t>
        </is>
      </c>
      <c r="F434" s="8" t="inlineStr">
        <is>
          <t>5,5%</t>
        </is>
      </c>
      <c r="G434" s="8" t="inlineStr"/>
      <c r="H434" s="8" t="inlineStr"/>
      <c r="I434" s="8" t="n">
        <v>4860089.835273641</v>
      </c>
    </row>
    <row r="435">
      <c r="A435" s="8" t="inlineStr"/>
      <c r="B435" s="8" t="inlineStr"/>
      <c r="C435" s="8" t="inlineStr">
        <is>
          <t>Chi phí xây dựng trước thuế (T + GT + TL)</t>
        </is>
      </c>
      <c r="E435" s="8" t="inlineStr">
        <is>
          <t>Gxdtt</t>
        </is>
      </c>
      <c r="F435" s="8" t="inlineStr"/>
      <c r="G435" s="8" t="inlineStr"/>
      <c r="H435" s="8" t="inlineStr"/>
      <c r="I435" s="8" t="n">
        <v>93225359.56752166</v>
      </c>
    </row>
    <row r="436">
      <c r="A436" s="8" t="inlineStr"/>
      <c r="B436" s="8" t="inlineStr"/>
      <c r="C436" s="8" t="inlineStr">
        <is>
          <t>THUẾ GIÁ TRỊ GIA TĂNG (Gxdtt x 10%)</t>
        </is>
      </c>
      <c r="E436" s="8" t="inlineStr">
        <is>
          <t>GTGT</t>
        </is>
      </c>
      <c r="F436" s="8" t="n">
        <v>0.1</v>
      </c>
      <c r="G436" s="8" t="inlineStr"/>
      <c r="H436" s="8" t="inlineStr"/>
      <c r="I436" s="8" t="n">
        <v>9322535.956752166</v>
      </c>
    </row>
    <row r="437">
      <c r="A437" s="8" t="inlineStr"/>
      <c r="B437" s="8" t="inlineStr"/>
      <c r="C437" s="8" t="inlineStr">
        <is>
          <t>Chi phí xây dựng sau thuế (Gxdtt + GTGT)</t>
        </is>
      </c>
      <c r="E437" s="8" t="inlineStr">
        <is>
          <t>Gxdst</t>
        </is>
      </c>
      <c r="F437" s="8" t="inlineStr"/>
      <c r="G437" s="8" t="inlineStr"/>
      <c r="H437" s="8" t="inlineStr"/>
      <c r="I437" s="8" t="n">
        <v>102547895.5242738</v>
      </c>
    </row>
    <row r="438">
      <c r="A438" s="8" t="inlineStr"/>
      <c r="B438" s="8" t="inlineStr"/>
      <c r="C438" s="8" t="inlineStr">
        <is>
          <t>Chi phí nhà tạm để ở và điều hành thi công (Gxdtt x 0,9% x (1+10%))</t>
        </is>
      </c>
      <c r="E438" s="8" t="inlineStr">
        <is>
          <t>LT</t>
        </is>
      </c>
      <c r="F438" s="8" t="n">
        <v>0.008999999999999999</v>
      </c>
      <c r="G438" s="8" t="inlineStr"/>
      <c r="H438" s="8" t="inlineStr"/>
      <c r="I438" s="8" t="n">
        <v>922931.0597184645</v>
      </c>
    </row>
    <row r="439">
      <c r="A439" s="8" t="inlineStr"/>
      <c r="B439" s="8" t="inlineStr"/>
      <c r="C439" s="8" t="inlineStr">
        <is>
          <t>TỔNG CỘNG (Gxdst + LT)</t>
        </is>
      </c>
      <c r="E439" s="8" t="inlineStr">
        <is>
          <t>Gxd</t>
        </is>
      </c>
      <c r="F439" s="8" t="inlineStr"/>
      <c r="G439" s="8" t="inlineStr"/>
      <c r="H439" s="8" t="inlineStr"/>
      <c r="I439" s="8" t="n">
        <v>103470826.5839923</v>
      </c>
    </row>
    <row r="440">
      <c r="A440" s="8" t="n">
        <v>10</v>
      </c>
      <c r="B440" s="11" t="inlineStr">
        <is>
          <t>BC.14101</t>
        </is>
      </c>
      <c r="C440" s="8" t="inlineStr">
        <is>
          <t>Bảo ôn ống đồng D6.4 dày 19mm</t>
        </is>
      </c>
      <c r="D440" s="12">
        <f>HYPERLINK("tt38://pl3/212", "👉 Phụ lục III - Trang 212 (Khớp nhóm BC.1410)")</f>
        <v/>
      </c>
      <c r="E440" s="8" t="inlineStr">
        <is>
          <t>100m</t>
        </is>
      </c>
      <c r="F440" s="8" t="n">
        <v>1</v>
      </c>
      <c r="G440" s="8" t="inlineStr"/>
      <c r="H440" s="8" t="inlineStr"/>
      <c r="I440" s="8" t="inlineStr"/>
    </row>
    <row r="441">
      <c r="A441" s="8" t="inlineStr"/>
      <c r="B441" s="8" t="inlineStr"/>
      <c r="C441" s="8" t="inlineStr">
        <is>
          <t>a) Vật liệu</t>
        </is>
      </c>
      <c r="E441" s="8" t="inlineStr"/>
      <c r="F441" s="8" t="inlineStr"/>
      <c r="G441" s="8" t="inlineStr"/>
      <c r="H441" s="8" t="inlineStr"/>
      <c r="I441" s="8" t="n">
        <v>1889588.94</v>
      </c>
    </row>
    <row r="442">
      <c r="A442" s="8" t="inlineStr"/>
      <c r="B442" s="8" t="inlineStr">
        <is>
          <t>A33.085201</t>
        </is>
      </c>
      <c r="C442" s="8" t="inlineStr">
        <is>
          <t>Bảo ôn ống đồng D6.4 dày 19mm</t>
        </is>
      </c>
      <c r="E442" s="8" t="inlineStr">
        <is>
          <t>m</t>
        </is>
      </c>
      <c r="F442" s="8" t="n">
        <v>100.5</v>
      </c>
      <c r="G442" s="8" t="n">
        <v>17600</v>
      </c>
      <c r="H442" s="8" t="n">
        <v>1</v>
      </c>
      <c r="I442" s="8" t="n">
        <v>1768800</v>
      </c>
    </row>
    <row r="443">
      <c r="A443" s="8" t="inlineStr"/>
      <c r="B443" s="8" t="inlineStr">
        <is>
          <t>A33.1143</t>
        </is>
      </c>
      <c r="C443" s="8" t="inlineStr">
        <is>
          <t>Băng cuốn bảo ôn</t>
        </is>
      </c>
      <c r="E443" s="8" t="inlineStr">
        <is>
          <t>cuộn</t>
        </is>
      </c>
      <c r="F443" s="8" t="n">
        <v>8.039999999999999</v>
      </c>
      <c r="G443" s="8" t="n">
        <v>15000</v>
      </c>
      <c r="H443" s="8" t="n">
        <v>1</v>
      </c>
      <c r="I443" s="8" t="n">
        <v>120600</v>
      </c>
    </row>
    <row r="444">
      <c r="A444" s="8" t="inlineStr"/>
      <c r="B444" s="8" t="inlineStr">
        <is>
          <t>Z999</t>
        </is>
      </c>
      <c r="C444" s="8" t="inlineStr">
        <is>
          <t>Vật liệu khác</t>
        </is>
      </c>
      <c r="E444" s="8" t="inlineStr">
        <is>
          <t>%</t>
        </is>
      </c>
      <c r="F444" s="8" t="n">
        <v>0.01</v>
      </c>
      <c r="G444" s="8" t="n">
        <v>1889400</v>
      </c>
      <c r="H444" s="8" t="inlineStr"/>
      <c r="I444" s="8" t="n">
        <v>188.94</v>
      </c>
    </row>
    <row r="445">
      <c r="A445" s="8" t="inlineStr"/>
      <c r="B445" s="8" t="inlineStr"/>
      <c r="C445" s="8" t="inlineStr">
        <is>
          <t>Cộng</t>
        </is>
      </c>
      <c r="E445" s="8" t="inlineStr"/>
      <c r="F445" s="8" t="inlineStr"/>
      <c r="G445" s="8" t="inlineStr"/>
      <c r="H445" s="8" t="inlineStr"/>
      <c r="I445" s="8" t="n">
        <v>1889588.94</v>
      </c>
    </row>
    <row r="446">
      <c r="A446" s="8" t="inlineStr"/>
      <c r="B446" s="8" t="inlineStr"/>
      <c r="C446" s="8" t="inlineStr">
        <is>
          <t>b) Nhân công</t>
        </is>
      </c>
      <c r="E446" s="8" t="inlineStr"/>
      <c r="F446" s="8" t="inlineStr"/>
      <c r="G446" s="8" t="inlineStr"/>
      <c r="H446" s="8" t="inlineStr"/>
      <c r="I446" s="8" t="n">
        <v>1942850</v>
      </c>
    </row>
    <row r="447">
      <c r="A447" s="8" t="inlineStr"/>
      <c r="B447" s="8" t="inlineStr">
        <is>
          <t>N3</t>
        </is>
      </c>
      <c r="C447" s="8" t="inlineStr">
        <is>
          <t>Nhân công nhóm 3</t>
        </is>
      </c>
      <c r="E447" s="8" t="inlineStr">
        <is>
          <t>công</t>
        </is>
      </c>
      <c r="F447" s="8" t="n">
        <v>4.55</v>
      </c>
      <c r="G447" s="8" t="n">
        <v>427000</v>
      </c>
      <c r="H447" s="8" t="n">
        <v>1</v>
      </c>
      <c r="I447" s="8" t="n">
        <v>1942850</v>
      </c>
    </row>
    <row r="448">
      <c r="A448" s="8" t="inlineStr"/>
      <c r="B448" s="8" t="inlineStr"/>
      <c r="C448" s="8" t="inlineStr">
        <is>
          <t>Cộng chi phí trực tiếp (VL+NC+M)</t>
        </is>
      </c>
      <c r="E448" s="8" t="inlineStr">
        <is>
          <t>T</t>
        </is>
      </c>
      <c r="F448" s="8" t="inlineStr"/>
      <c r="G448" s="8" t="inlineStr"/>
      <c r="H448" s="8" t="inlineStr"/>
      <c r="I448" s="8" t="n">
        <v>3832438.94</v>
      </c>
    </row>
    <row r="449">
      <c r="A449" s="8" t="inlineStr"/>
      <c r="B449" s="8" t="inlineStr"/>
      <c r="C449" s="8" t="inlineStr">
        <is>
          <t>CHI PHÍ GIÁN TIẾP</t>
        </is>
      </c>
      <c r="E449" s="8" t="inlineStr">
        <is>
          <t>GT</t>
        </is>
      </c>
      <c r="F449" s="8" t="inlineStr"/>
      <c r="G449" s="8" t="inlineStr"/>
      <c r="H449" s="8" t="inlineStr"/>
      <c r="I449" s="8" t="n">
        <v>375579.01612</v>
      </c>
    </row>
    <row r="450">
      <c r="A450" s="8" t="inlineStr"/>
      <c r="B450" s="8" t="inlineStr"/>
      <c r="C450" s="8" t="inlineStr">
        <is>
          <t>Chi phí chung (T x 7,3%)</t>
        </is>
      </c>
      <c r="E450" s="8" t="inlineStr">
        <is>
          <t>C</t>
        </is>
      </c>
      <c r="F450" s="8" t="inlineStr">
        <is>
          <t>7,3%</t>
        </is>
      </c>
      <c r="G450" s="8" t="inlineStr"/>
      <c r="H450" s="8" t="inlineStr"/>
      <c r="I450" s="8" t="n">
        <v>279768.04262</v>
      </c>
    </row>
    <row r="451">
      <c r="A451" s="8" t="inlineStr"/>
      <c r="B451" s="8" t="inlineStr"/>
      <c r="C451" s="8" t="inlineStr">
        <is>
          <t>Chi phí một số công việc không xác định được khối lượng từ thiết kế (T x 2,5%)</t>
        </is>
      </c>
      <c r="E451" s="8" t="inlineStr">
        <is>
          <t>TT</t>
        </is>
      </c>
      <c r="F451" s="8" t="inlineStr">
        <is>
          <t>2,5%</t>
        </is>
      </c>
      <c r="G451" s="8" t="inlineStr"/>
      <c r="H451" s="8" t="inlineStr"/>
      <c r="I451" s="8" t="n">
        <v>95810.97350000001</v>
      </c>
    </row>
    <row r="452">
      <c r="A452" s="8" t="inlineStr"/>
      <c r="B452" s="8" t="inlineStr"/>
      <c r="C452" s="8" t="inlineStr">
        <is>
          <t>THU NHẬP CHỊU THUẾ TÍNH TRƯỚC (T+GT) x 5,5%</t>
        </is>
      </c>
      <c r="E452" s="8" t="inlineStr">
        <is>
          <t>TL</t>
        </is>
      </c>
      <c r="F452" s="8" t="inlineStr">
        <is>
          <t>5,5%</t>
        </is>
      </c>
      <c r="G452" s="8" t="inlineStr"/>
      <c r="H452" s="8" t="inlineStr"/>
      <c r="I452" s="8" t="n">
        <v>231440.9875866</v>
      </c>
    </row>
    <row r="453">
      <c r="A453" s="8" t="inlineStr"/>
      <c r="B453" s="8" t="inlineStr"/>
      <c r="C453" s="8" t="inlineStr">
        <is>
          <t>Chi phí xây dựng trước thuế (T + GT + TL)</t>
        </is>
      </c>
      <c r="E453" s="8" t="inlineStr">
        <is>
          <t>Gxdtt</t>
        </is>
      </c>
      <c r="F453" s="8" t="inlineStr"/>
      <c r="G453" s="8" t="inlineStr"/>
      <c r="H453" s="8" t="inlineStr"/>
      <c r="I453" s="8" t="n">
        <v>4439458.9437066</v>
      </c>
    </row>
    <row r="454">
      <c r="A454" s="8" t="inlineStr"/>
      <c r="B454" s="8" t="inlineStr"/>
      <c r="C454" s="8" t="inlineStr">
        <is>
          <t>THUẾ GIÁ TRỊ GIA TĂNG (Gxdtt x 10%)</t>
        </is>
      </c>
      <c r="E454" s="8" t="inlineStr">
        <is>
          <t>GTGT</t>
        </is>
      </c>
      <c r="F454" s="8" t="n">
        <v>0.1</v>
      </c>
      <c r="G454" s="8" t="inlineStr"/>
      <c r="H454" s="8" t="inlineStr"/>
      <c r="I454" s="8" t="n">
        <v>443945.89437066</v>
      </c>
    </row>
    <row r="455">
      <c r="A455" s="8" t="inlineStr"/>
      <c r="B455" s="8" t="inlineStr"/>
      <c r="C455" s="8" t="inlineStr">
        <is>
          <t>Chi phí xây dựng sau thuế (Gxdtt + GTGT)</t>
        </is>
      </c>
      <c r="E455" s="8" t="inlineStr">
        <is>
          <t>Gxdst</t>
        </is>
      </c>
      <c r="F455" s="8" t="inlineStr"/>
      <c r="G455" s="8" t="inlineStr"/>
      <c r="H455" s="8" t="inlineStr"/>
      <c r="I455" s="8" t="n">
        <v>4883404.83807726</v>
      </c>
    </row>
    <row r="456">
      <c r="A456" s="8" t="inlineStr"/>
      <c r="B456" s="8" t="inlineStr"/>
      <c r="C456" s="8" t="inlineStr">
        <is>
          <t>Chi phí nhà tạm để ở và điều hành thi công (Gxdtt x 0,9% x (1+10%))</t>
        </is>
      </c>
      <c r="E456" s="8" t="inlineStr">
        <is>
          <t>LT</t>
        </is>
      </c>
      <c r="F456" s="8" t="n">
        <v>0.008999999999999999</v>
      </c>
      <c r="G456" s="8" t="inlineStr"/>
      <c r="H456" s="8" t="inlineStr"/>
      <c r="I456" s="8" t="n">
        <v>43950.64354269535</v>
      </c>
    </row>
    <row r="457">
      <c r="A457" s="8" t="inlineStr"/>
      <c r="B457" s="8" t="inlineStr"/>
      <c r="C457" s="8" t="inlineStr">
        <is>
          <t>TỔNG CỘNG (Gxdst + LT)</t>
        </is>
      </c>
      <c r="E457" s="8" t="inlineStr">
        <is>
          <t>Gxd</t>
        </is>
      </c>
      <c r="F457" s="8" t="inlineStr"/>
      <c r="G457" s="8" t="inlineStr"/>
      <c r="H457" s="8" t="inlineStr"/>
      <c r="I457" s="8" t="n">
        <v>4927355.481619956</v>
      </c>
    </row>
    <row r="458">
      <c r="A458" s="8" t="n">
        <v>11</v>
      </c>
      <c r="B458" s="11" t="inlineStr">
        <is>
          <t>BC.14102</t>
        </is>
      </c>
      <c r="C458" s="8" t="inlineStr">
        <is>
          <t>Bảo ôn ống đồng D9.5 dày 19mm</t>
        </is>
      </c>
      <c r="D458" s="12">
        <f>HYPERLINK("tt38://pl3/212", "👉 Phụ lục III - Trang 212 (Khớp nhóm BC.1410)")</f>
        <v/>
      </c>
      <c r="E458" s="8" t="inlineStr">
        <is>
          <t>100m</t>
        </is>
      </c>
      <c r="F458" s="8" t="n">
        <v>1</v>
      </c>
      <c r="G458" s="8" t="inlineStr"/>
      <c r="H458" s="8" t="inlineStr"/>
      <c r="I458" s="8" t="inlineStr"/>
    </row>
    <row r="459">
      <c r="A459" s="8" t="inlineStr"/>
      <c r="B459" s="8" t="inlineStr"/>
      <c r="C459" s="8" t="inlineStr">
        <is>
          <t>a) Vật liệu</t>
        </is>
      </c>
      <c r="E459" s="8" t="inlineStr"/>
      <c r="F459" s="8" t="inlineStr"/>
      <c r="G459" s="8" t="inlineStr"/>
      <c r="H459" s="8" t="inlineStr"/>
      <c r="I459" s="8" t="n">
        <v>2038403.82</v>
      </c>
    </row>
    <row r="460">
      <c r="A460" s="8" t="inlineStr"/>
      <c r="B460" s="8" t="inlineStr">
        <is>
          <t>A33.085202</t>
        </is>
      </c>
      <c r="C460" s="8" t="inlineStr">
        <is>
          <t>Bảo ôn ống đồng D9.5 dày 19mm</t>
        </is>
      </c>
      <c r="E460" s="8" t="inlineStr">
        <is>
          <t>m</t>
        </is>
      </c>
      <c r="F460" s="8" t="n">
        <v>100.5</v>
      </c>
      <c r="G460" s="8" t="n">
        <v>18500</v>
      </c>
      <c r="H460" s="8" t="n">
        <v>1</v>
      </c>
      <c r="I460" s="8" t="n">
        <v>1859250</v>
      </c>
    </row>
    <row r="461">
      <c r="A461" s="8" t="inlineStr"/>
      <c r="B461" s="8" t="inlineStr">
        <is>
          <t>A33.1143</t>
        </is>
      </c>
      <c r="C461" s="8" t="inlineStr">
        <is>
          <t>Băng cuốn bảo ôn</t>
        </is>
      </c>
      <c r="E461" s="8" t="inlineStr">
        <is>
          <t>cuộn</t>
        </is>
      </c>
      <c r="F461" s="8" t="n">
        <v>11.93</v>
      </c>
      <c r="G461" s="8" t="n">
        <v>15000</v>
      </c>
      <c r="H461" s="8" t="n">
        <v>1</v>
      </c>
      <c r="I461" s="8" t="n">
        <v>178950</v>
      </c>
    </row>
    <row r="462">
      <c r="A462" s="8" t="inlineStr"/>
      <c r="B462" s="8" t="inlineStr">
        <is>
          <t>Z999</t>
        </is>
      </c>
      <c r="C462" s="8" t="inlineStr">
        <is>
          <t>Vật liệu khác</t>
        </is>
      </c>
      <c r="E462" s="8" t="inlineStr">
        <is>
          <t>%</t>
        </is>
      </c>
      <c r="F462" s="8" t="n">
        <v>0.01</v>
      </c>
      <c r="G462" s="8" t="n">
        <v>2038200</v>
      </c>
      <c r="H462" s="8" t="inlineStr"/>
      <c r="I462" s="8" t="n">
        <v>203.82</v>
      </c>
    </row>
    <row r="463">
      <c r="A463" s="8" t="inlineStr"/>
      <c r="B463" s="8" t="inlineStr"/>
      <c r="C463" s="8" t="inlineStr">
        <is>
          <t>Cộng</t>
        </is>
      </c>
      <c r="E463" s="8" t="inlineStr"/>
      <c r="F463" s="8" t="inlineStr"/>
      <c r="G463" s="8" t="inlineStr"/>
      <c r="H463" s="8" t="inlineStr"/>
      <c r="I463" s="8" t="n">
        <v>2038403.82</v>
      </c>
    </row>
    <row r="464">
      <c r="A464" s="8" t="inlineStr"/>
      <c r="B464" s="8" t="inlineStr"/>
      <c r="C464" s="8" t="inlineStr">
        <is>
          <t>b) Nhân công</t>
        </is>
      </c>
      <c r="E464" s="8" t="inlineStr"/>
      <c r="F464" s="8" t="inlineStr"/>
      <c r="G464" s="8" t="inlineStr"/>
      <c r="H464" s="8" t="inlineStr"/>
      <c r="I464" s="8" t="n">
        <v>2036790</v>
      </c>
    </row>
    <row r="465">
      <c r="A465" s="8" t="inlineStr"/>
      <c r="B465" s="8" t="inlineStr">
        <is>
          <t>N3</t>
        </is>
      </c>
      <c r="C465" s="8" t="inlineStr">
        <is>
          <t>Nhân công nhóm 3</t>
        </is>
      </c>
      <c r="E465" s="8" t="inlineStr">
        <is>
          <t>công</t>
        </is>
      </c>
      <c r="F465" s="8" t="n">
        <v>4.77</v>
      </c>
      <c r="G465" s="8" t="n">
        <v>427000</v>
      </c>
      <c r="H465" s="8" t="n">
        <v>1</v>
      </c>
      <c r="I465" s="8" t="n">
        <v>2036790</v>
      </c>
    </row>
    <row r="466">
      <c r="A466" s="8" t="inlineStr"/>
      <c r="B466" s="8" t="inlineStr"/>
      <c r="C466" s="8" t="inlineStr">
        <is>
          <t>Cộng chi phí trực tiếp (VL+NC+M)</t>
        </is>
      </c>
      <c r="E466" s="8" t="inlineStr">
        <is>
          <t>T</t>
        </is>
      </c>
      <c r="F466" s="8" t="inlineStr"/>
      <c r="G466" s="8" t="inlineStr"/>
      <c r="H466" s="8" t="inlineStr"/>
      <c r="I466" s="8" t="n">
        <v>4075193.82</v>
      </c>
    </row>
    <row r="467">
      <c r="A467" s="8" t="inlineStr"/>
      <c r="B467" s="8" t="inlineStr"/>
      <c r="C467" s="8" t="inlineStr">
        <is>
          <t>CHI PHÍ GIÁN TIẾP</t>
        </is>
      </c>
      <c r="E467" s="8" t="inlineStr">
        <is>
          <t>GT</t>
        </is>
      </c>
      <c r="F467" s="8" t="inlineStr"/>
      <c r="G467" s="8" t="inlineStr"/>
      <c r="H467" s="8" t="inlineStr"/>
      <c r="I467" s="8" t="n">
        <v>399368.99436</v>
      </c>
    </row>
    <row r="468">
      <c r="A468" s="8" t="inlineStr"/>
      <c r="B468" s="8" t="inlineStr"/>
      <c r="C468" s="8" t="inlineStr">
        <is>
          <t>Chi phí chung (T x 7,3%)</t>
        </is>
      </c>
      <c r="E468" s="8" t="inlineStr">
        <is>
          <t>C</t>
        </is>
      </c>
      <c r="F468" s="8" t="inlineStr">
        <is>
          <t>7,3%</t>
        </is>
      </c>
      <c r="G468" s="8" t="inlineStr"/>
      <c r="H468" s="8" t="inlineStr"/>
      <c r="I468" s="8" t="n">
        <v>297489.14886</v>
      </c>
    </row>
    <row r="469">
      <c r="A469" s="8" t="inlineStr"/>
      <c r="B469" s="8" t="inlineStr"/>
      <c r="C469" s="8" t="inlineStr">
        <is>
          <t>Chi phí một số công việc không xác định được khối lượng từ thiết kế (T x 2,5%)</t>
        </is>
      </c>
      <c r="E469" s="8" t="inlineStr">
        <is>
          <t>TT</t>
        </is>
      </c>
      <c r="F469" s="8" t="inlineStr">
        <is>
          <t>2,5%</t>
        </is>
      </c>
      <c r="G469" s="8" t="inlineStr"/>
      <c r="H469" s="8" t="inlineStr"/>
      <c r="I469" s="8" t="n">
        <v>101879.8455</v>
      </c>
    </row>
    <row r="470">
      <c r="A470" s="8" t="inlineStr"/>
      <c r="B470" s="8" t="inlineStr"/>
      <c r="C470" s="8" t="inlineStr">
        <is>
          <t>THU NHẬP CHỊU THUẾ TÍNH TRƯỚC (T+GT) x 5,5%</t>
        </is>
      </c>
      <c r="E470" s="8" t="inlineStr">
        <is>
          <t>TL</t>
        </is>
      </c>
      <c r="F470" s="8" t="inlineStr">
        <is>
          <t>5,5%</t>
        </is>
      </c>
      <c r="G470" s="8" t="inlineStr"/>
      <c r="H470" s="8" t="inlineStr"/>
      <c r="I470" s="8" t="n">
        <v>246100.9547898</v>
      </c>
    </row>
    <row r="471">
      <c r="A471" s="8" t="inlineStr"/>
      <c r="B471" s="8" t="inlineStr"/>
      <c r="C471" s="8" t="inlineStr">
        <is>
          <t>Chi phí xây dựng trước thuế (T + GT + TL)</t>
        </is>
      </c>
      <c r="E471" s="8" t="inlineStr">
        <is>
          <t>Gxdtt</t>
        </is>
      </c>
      <c r="F471" s="8" t="inlineStr"/>
      <c r="G471" s="8" t="inlineStr"/>
      <c r="H471" s="8" t="inlineStr"/>
      <c r="I471" s="8" t="n">
        <v>4720663.7691498</v>
      </c>
    </row>
    <row r="472">
      <c r="A472" s="8" t="inlineStr"/>
      <c r="B472" s="8" t="inlineStr"/>
      <c r="C472" s="8" t="inlineStr">
        <is>
          <t>THUẾ GIÁ TRỊ GIA TĂNG (Gxdtt x 10%)</t>
        </is>
      </c>
      <c r="E472" s="8" t="inlineStr">
        <is>
          <t>GTGT</t>
        </is>
      </c>
      <c r="F472" s="8" t="n">
        <v>0.1</v>
      </c>
      <c r="G472" s="8" t="inlineStr"/>
      <c r="H472" s="8" t="inlineStr"/>
      <c r="I472" s="8" t="n">
        <v>472066.37691498</v>
      </c>
    </row>
    <row r="473">
      <c r="A473" s="8" t="inlineStr"/>
      <c r="B473" s="8" t="inlineStr"/>
      <c r="C473" s="8" t="inlineStr">
        <is>
          <t>Chi phí xây dựng sau thuế (Gxdtt + GTGT)</t>
        </is>
      </c>
      <c r="E473" s="8" t="inlineStr">
        <is>
          <t>Gxdst</t>
        </is>
      </c>
      <c r="F473" s="8" t="inlineStr"/>
      <c r="G473" s="8" t="inlineStr"/>
      <c r="H473" s="8" t="inlineStr"/>
      <c r="I473" s="8" t="n">
        <v>5192730.14606478</v>
      </c>
    </row>
    <row r="474">
      <c r="A474" s="8" t="inlineStr"/>
      <c r="B474" s="8" t="inlineStr"/>
      <c r="C474" s="8" t="inlineStr">
        <is>
          <t>Chi phí nhà tạm để ở và điều hành thi công (Gxdtt x 0,9% x (1+10%))</t>
        </is>
      </c>
      <c r="E474" s="8" t="inlineStr">
        <is>
          <t>LT</t>
        </is>
      </c>
      <c r="F474" s="8" t="n">
        <v>0.008999999999999999</v>
      </c>
      <c r="G474" s="8" t="inlineStr"/>
      <c r="H474" s="8" t="inlineStr"/>
      <c r="I474" s="8" t="n">
        <v>46734.57131458302</v>
      </c>
    </row>
    <row r="475">
      <c r="A475" s="8" t="inlineStr"/>
      <c r="B475" s="8" t="inlineStr"/>
      <c r="C475" s="8" t="inlineStr">
        <is>
          <t>TỔNG CỘNG (Gxdst + LT)</t>
        </is>
      </c>
      <c r="E475" s="8" t="inlineStr">
        <is>
          <t>Gxd</t>
        </is>
      </c>
      <c r="F475" s="8" t="inlineStr"/>
      <c r="G475" s="8" t="inlineStr"/>
      <c r="H475" s="8" t="inlineStr"/>
      <c r="I475" s="8" t="n">
        <v>5239464.717379362</v>
      </c>
    </row>
    <row r="476">
      <c r="A476" s="8" t="n">
        <v>12</v>
      </c>
      <c r="B476" s="11" t="inlineStr">
        <is>
          <t>BC.14103</t>
        </is>
      </c>
      <c r="C476" s="8" t="inlineStr">
        <is>
          <t>Bảo ôn ống đồng D12.7 dày 19mm</t>
        </is>
      </c>
      <c r="D476" s="12">
        <f>HYPERLINK("tt38://pl3/212", "👉 Phụ lục III - Trang 212 (Khớp nhóm BC.1410)")</f>
        <v/>
      </c>
      <c r="E476" s="8" t="inlineStr">
        <is>
          <t>100m</t>
        </is>
      </c>
      <c r="F476" s="8" t="n">
        <v>1</v>
      </c>
      <c r="G476" s="8" t="inlineStr"/>
      <c r="H476" s="8" t="inlineStr"/>
      <c r="I476" s="8" t="inlineStr"/>
    </row>
    <row r="477">
      <c r="A477" s="8" t="inlineStr"/>
      <c r="B477" s="8" t="inlineStr"/>
      <c r="C477" s="8" t="inlineStr">
        <is>
          <t>a) Vật liệu</t>
        </is>
      </c>
      <c r="E477" s="8" t="inlineStr"/>
      <c r="F477" s="8" t="inlineStr"/>
      <c r="G477" s="8" t="inlineStr"/>
      <c r="H477" s="8" t="inlineStr"/>
      <c r="I477" s="8" t="n">
        <v>2349984.975</v>
      </c>
    </row>
    <row r="478">
      <c r="A478" s="8" t="inlineStr"/>
      <c r="B478" s="8" t="inlineStr">
        <is>
          <t>A33.085203</t>
        </is>
      </c>
      <c r="C478" s="8" t="inlineStr">
        <is>
          <t>Bảo ôn ống đồng D12.7 dày 19mm</t>
        </is>
      </c>
      <c r="E478" s="8" t="inlineStr">
        <is>
          <t>m</t>
        </is>
      </c>
      <c r="F478" s="8" t="n">
        <v>100.5</v>
      </c>
      <c r="G478" s="8" t="n">
        <v>21000</v>
      </c>
      <c r="H478" s="8" t="n">
        <v>1</v>
      </c>
      <c r="I478" s="8" t="n">
        <v>2110500</v>
      </c>
    </row>
    <row r="479">
      <c r="A479" s="8" t="inlineStr"/>
      <c r="B479" s="8" t="inlineStr">
        <is>
          <t>A33.1143</t>
        </is>
      </c>
      <c r="C479" s="8" t="inlineStr">
        <is>
          <t>Băng cuốn bảo ôn</t>
        </is>
      </c>
      <c r="E479" s="8" t="inlineStr">
        <is>
          <t>cuộn</t>
        </is>
      </c>
      <c r="F479" s="8" t="n">
        <v>15.95</v>
      </c>
      <c r="G479" s="8" t="n">
        <v>15000</v>
      </c>
      <c r="H479" s="8" t="n">
        <v>1</v>
      </c>
      <c r="I479" s="8" t="n">
        <v>239250</v>
      </c>
    </row>
    <row r="480">
      <c r="A480" s="8" t="inlineStr"/>
      <c r="B480" s="8" t="inlineStr">
        <is>
          <t>Z999</t>
        </is>
      </c>
      <c r="C480" s="8" t="inlineStr">
        <is>
          <t>Vật liệu khác</t>
        </is>
      </c>
      <c r="E480" s="8" t="inlineStr">
        <is>
          <t>%</t>
        </is>
      </c>
      <c r="F480" s="8" t="n">
        <v>0.01</v>
      </c>
      <c r="G480" s="8" t="n">
        <v>2349750</v>
      </c>
      <c r="H480" s="8" t="inlineStr"/>
      <c r="I480" s="8" t="n">
        <v>234.975</v>
      </c>
    </row>
    <row r="481">
      <c r="A481" s="8" t="inlineStr"/>
      <c r="B481" s="8" t="inlineStr"/>
      <c r="C481" s="8" t="inlineStr">
        <is>
          <t>Cộng</t>
        </is>
      </c>
      <c r="E481" s="8" t="inlineStr"/>
      <c r="F481" s="8" t="inlineStr"/>
      <c r="G481" s="8" t="inlineStr"/>
      <c r="H481" s="8" t="inlineStr"/>
      <c r="I481" s="8" t="n">
        <v>2349984.975</v>
      </c>
    </row>
    <row r="482">
      <c r="A482" s="8" t="inlineStr"/>
      <c r="B482" s="8" t="inlineStr"/>
      <c r="C482" s="8" t="inlineStr">
        <is>
          <t>b) Nhân công</t>
        </is>
      </c>
      <c r="E482" s="8" t="inlineStr"/>
      <c r="F482" s="8" t="inlineStr"/>
      <c r="G482" s="8" t="inlineStr"/>
      <c r="H482" s="8" t="inlineStr"/>
      <c r="I482" s="8" t="n">
        <v>2143540</v>
      </c>
    </row>
    <row r="483">
      <c r="A483" s="8" t="inlineStr"/>
      <c r="B483" s="8" t="inlineStr">
        <is>
          <t>N3</t>
        </is>
      </c>
      <c r="C483" s="8" t="inlineStr">
        <is>
          <t>Nhân công nhóm 3</t>
        </is>
      </c>
      <c r="E483" s="8" t="inlineStr">
        <is>
          <t>công</t>
        </is>
      </c>
      <c r="F483" s="8" t="n">
        <v>5.02</v>
      </c>
      <c r="G483" s="8" t="n">
        <v>427000</v>
      </c>
      <c r="H483" s="8" t="n">
        <v>1</v>
      </c>
      <c r="I483" s="8" t="n">
        <v>2143540</v>
      </c>
    </row>
    <row r="484">
      <c r="A484" s="8" t="inlineStr"/>
      <c r="B484" s="8" t="inlineStr"/>
      <c r="C484" s="8" t="inlineStr">
        <is>
          <t>Cộng chi phí trực tiếp (VL+NC+M)</t>
        </is>
      </c>
      <c r="E484" s="8" t="inlineStr">
        <is>
          <t>T</t>
        </is>
      </c>
      <c r="F484" s="8" t="inlineStr"/>
      <c r="G484" s="8" t="inlineStr"/>
      <c r="H484" s="8" t="inlineStr"/>
      <c r="I484" s="8" t="n">
        <v>4493524.975</v>
      </c>
    </row>
    <row r="485">
      <c r="A485" s="8" t="inlineStr"/>
      <c r="B485" s="8" t="inlineStr"/>
      <c r="C485" s="8" t="inlineStr">
        <is>
          <t>CHI PHÍ GIÁN TIẾP</t>
        </is>
      </c>
      <c r="E485" s="8" t="inlineStr">
        <is>
          <t>GT</t>
        </is>
      </c>
      <c r="F485" s="8" t="inlineStr"/>
      <c r="G485" s="8" t="inlineStr"/>
      <c r="H485" s="8" t="inlineStr"/>
      <c r="I485" s="8" t="n">
        <v>440365.44755</v>
      </c>
    </row>
    <row r="486">
      <c r="A486" s="8" t="inlineStr"/>
      <c r="B486" s="8" t="inlineStr"/>
      <c r="C486" s="8" t="inlineStr">
        <is>
          <t>Chi phí chung (T x 7,3%)</t>
        </is>
      </c>
      <c r="E486" s="8" t="inlineStr">
        <is>
          <t>C</t>
        </is>
      </c>
      <c r="F486" s="8" t="inlineStr">
        <is>
          <t>7,3%</t>
        </is>
      </c>
      <c r="G486" s="8" t="inlineStr"/>
      <c r="H486" s="8" t="inlineStr"/>
      <c r="I486" s="8" t="n">
        <v>328027.323175</v>
      </c>
    </row>
    <row r="487">
      <c r="A487" s="8" t="inlineStr"/>
      <c r="B487" s="8" t="inlineStr"/>
      <c r="C487" s="8" t="inlineStr">
        <is>
          <t>Chi phí một số công việc không xác định được khối lượng từ thiết kế (T x 2,5%)</t>
        </is>
      </c>
      <c r="E487" s="8" t="inlineStr">
        <is>
          <t>TT</t>
        </is>
      </c>
      <c r="F487" s="8" t="inlineStr">
        <is>
          <t>2,5%</t>
        </is>
      </c>
      <c r="G487" s="8" t="inlineStr"/>
      <c r="H487" s="8" t="inlineStr"/>
      <c r="I487" s="8" t="n">
        <v>112338.124375</v>
      </c>
    </row>
    <row r="488">
      <c r="A488" s="8" t="inlineStr"/>
      <c r="B488" s="8" t="inlineStr"/>
      <c r="C488" s="8" t="inlineStr">
        <is>
          <t>THU NHẬP CHỊU THUẾ TÍNH TRƯỚC (T+GT) x 5,5%</t>
        </is>
      </c>
      <c r="E488" s="8" t="inlineStr">
        <is>
          <t>TL</t>
        </is>
      </c>
      <c r="F488" s="8" t="inlineStr">
        <is>
          <t>5,5%</t>
        </is>
      </c>
      <c r="G488" s="8" t="inlineStr"/>
      <c r="H488" s="8" t="inlineStr"/>
      <c r="I488" s="8" t="n">
        <v>271363.97324025</v>
      </c>
    </row>
    <row r="489">
      <c r="A489" s="8" t="inlineStr"/>
      <c r="B489" s="8" t="inlineStr"/>
      <c r="C489" s="8" t="inlineStr">
        <is>
          <t>Chi phí xây dựng trước thuế (T + GT + TL)</t>
        </is>
      </c>
      <c r="E489" s="8" t="inlineStr">
        <is>
          <t>Gxdtt</t>
        </is>
      </c>
      <c r="F489" s="8" t="inlineStr"/>
      <c r="G489" s="8" t="inlineStr"/>
      <c r="H489" s="8" t="inlineStr"/>
      <c r="I489" s="8" t="n">
        <v>5205254.395790249</v>
      </c>
    </row>
    <row r="490">
      <c r="A490" s="8" t="inlineStr"/>
      <c r="B490" s="8" t="inlineStr"/>
      <c r="C490" s="8" t="inlineStr">
        <is>
          <t>THUẾ GIÁ TRỊ GIA TĂNG (Gxdtt x 10%)</t>
        </is>
      </c>
      <c r="E490" s="8" t="inlineStr">
        <is>
          <t>GTGT</t>
        </is>
      </c>
      <c r="F490" s="8" t="n">
        <v>0.1</v>
      </c>
      <c r="G490" s="8" t="inlineStr"/>
      <c r="H490" s="8" t="inlineStr"/>
      <c r="I490" s="8" t="n">
        <v>520525.4395790249</v>
      </c>
    </row>
    <row r="491">
      <c r="A491" s="8" t="inlineStr"/>
      <c r="B491" s="8" t="inlineStr"/>
      <c r="C491" s="8" t="inlineStr">
        <is>
          <t>Chi phí xây dựng sau thuế (Gxdtt + GTGT)</t>
        </is>
      </c>
      <c r="E491" s="8" t="inlineStr">
        <is>
          <t>Gxdst</t>
        </is>
      </c>
      <c r="F491" s="8" t="inlineStr"/>
      <c r="G491" s="8" t="inlineStr"/>
      <c r="H491" s="8" t="inlineStr"/>
      <c r="I491" s="8" t="n">
        <v>5725779.835369274</v>
      </c>
    </row>
    <row r="492">
      <c r="A492" s="8" t="inlineStr"/>
      <c r="B492" s="8" t="inlineStr"/>
      <c r="C492" s="8" t="inlineStr">
        <is>
          <t>Chi phí nhà tạm để ở và điều hành thi công (Gxdtt x 0,9% x (1+10%))</t>
        </is>
      </c>
      <c r="E492" s="8" t="inlineStr">
        <is>
          <t>LT</t>
        </is>
      </c>
      <c r="F492" s="8" t="n">
        <v>0.008999999999999999</v>
      </c>
      <c r="G492" s="8" t="inlineStr"/>
      <c r="H492" s="8" t="inlineStr"/>
      <c r="I492" s="8" t="n">
        <v>51532.01851832346</v>
      </c>
    </row>
    <row r="493">
      <c r="A493" s="8" t="inlineStr"/>
      <c r="B493" s="8" t="inlineStr"/>
      <c r="C493" s="8" t="inlineStr">
        <is>
          <t>TỔNG CỘNG (Gxdst + LT)</t>
        </is>
      </c>
      <c r="E493" s="8" t="inlineStr">
        <is>
          <t>Gxd</t>
        </is>
      </c>
      <c r="F493" s="8" t="inlineStr"/>
      <c r="G493" s="8" t="inlineStr"/>
      <c r="H493" s="8" t="inlineStr"/>
      <c r="I493" s="8" t="n">
        <v>5777311.853887597</v>
      </c>
    </row>
    <row r="494">
      <c r="A494" s="8" t="n">
        <v>13</v>
      </c>
      <c r="B494" s="11" t="inlineStr">
        <is>
          <t>BC.14104</t>
        </is>
      </c>
      <c r="C494" s="8" t="inlineStr">
        <is>
          <t>Bảo ôn ống đồng D15.9 dày 19mm</t>
        </is>
      </c>
      <c r="D494" s="12">
        <f>HYPERLINK("tt38://pl3/212", "👉 Phụ lục III - Trang 212 (Khớp nhóm BC.1410)")</f>
        <v/>
      </c>
      <c r="E494" s="8" t="inlineStr">
        <is>
          <t>100m</t>
        </is>
      </c>
      <c r="F494" s="8" t="n">
        <v>1</v>
      </c>
      <c r="G494" s="8" t="inlineStr"/>
      <c r="H494" s="8" t="inlineStr"/>
      <c r="I494" s="8" t="inlineStr"/>
    </row>
    <row r="495">
      <c r="A495" s="8" t="inlineStr"/>
      <c r="B495" s="8" t="inlineStr"/>
      <c r="C495" s="8" t="inlineStr">
        <is>
          <t>a) Vật liệu</t>
        </is>
      </c>
      <c r="E495" s="8" t="inlineStr"/>
      <c r="F495" s="8" t="inlineStr"/>
      <c r="G495" s="8" t="inlineStr"/>
      <c r="H495" s="8" t="inlineStr"/>
      <c r="I495" s="8" t="n">
        <v>2601260.1</v>
      </c>
    </row>
    <row r="496">
      <c r="A496" s="8" t="inlineStr"/>
      <c r="B496" s="8" t="inlineStr">
        <is>
          <t>A33.085204</t>
        </is>
      </c>
      <c r="C496" s="8" t="inlineStr">
        <is>
          <t>Bảo ôn ống đồng D15.9 dày 19mm</t>
        </is>
      </c>
      <c r="E496" s="8" t="inlineStr">
        <is>
          <t>m</t>
        </is>
      </c>
      <c r="F496" s="8" t="n">
        <v>100.5</v>
      </c>
      <c r="G496" s="8" t="n">
        <v>22900</v>
      </c>
      <c r="H496" s="8" t="n">
        <v>1</v>
      </c>
      <c r="I496" s="8" t="n">
        <v>2301450</v>
      </c>
    </row>
    <row r="497">
      <c r="A497" s="8" t="inlineStr"/>
      <c r="B497" s="8" t="inlineStr">
        <is>
          <t>A33.1143</t>
        </is>
      </c>
      <c r="C497" s="8" t="inlineStr">
        <is>
          <t>Băng cuốn bảo ôn</t>
        </is>
      </c>
      <c r="E497" s="8" t="inlineStr">
        <is>
          <t>cuộn</t>
        </is>
      </c>
      <c r="F497" s="8" t="n">
        <v>19.97</v>
      </c>
      <c r="G497" s="8" t="n">
        <v>15000</v>
      </c>
      <c r="H497" s="8" t="n">
        <v>1</v>
      </c>
      <c r="I497" s="8" t="n">
        <v>299550</v>
      </c>
    </row>
    <row r="498">
      <c r="A498" s="8" t="inlineStr"/>
      <c r="B498" s="8" t="inlineStr">
        <is>
          <t>Z999</t>
        </is>
      </c>
      <c r="C498" s="8" t="inlineStr">
        <is>
          <t>Vật liệu khác</t>
        </is>
      </c>
      <c r="E498" s="8" t="inlineStr">
        <is>
          <t>%</t>
        </is>
      </c>
      <c r="F498" s="8" t="n">
        <v>0.01</v>
      </c>
      <c r="G498" s="8" t="n">
        <v>2601000</v>
      </c>
      <c r="H498" s="8" t="inlineStr"/>
      <c r="I498" s="8" t="n">
        <v>260.1</v>
      </c>
    </row>
    <row r="499">
      <c r="A499" s="8" t="inlineStr"/>
      <c r="B499" s="8" t="inlineStr"/>
      <c r="C499" s="8" t="inlineStr">
        <is>
          <t>Cộng</t>
        </is>
      </c>
      <c r="E499" s="8" t="inlineStr"/>
      <c r="F499" s="8" t="inlineStr"/>
      <c r="G499" s="8" t="inlineStr"/>
      <c r="H499" s="8" t="inlineStr"/>
      <c r="I499" s="8" t="n">
        <v>2601260.1</v>
      </c>
    </row>
    <row r="500">
      <c r="A500" s="8" t="inlineStr"/>
      <c r="B500" s="8" t="inlineStr"/>
      <c r="C500" s="8" t="inlineStr">
        <is>
          <t>b) Nhân công</t>
        </is>
      </c>
      <c r="E500" s="8" t="inlineStr"/>
      <c r="F500" s="8" t="inlineStr"/>
      <c r="G500" s="8" t="inlineStr"/>
      <c r="H500" s="8" t="inlineStr"/>
      <c r="I500" s="8" t="n">
        <v>2280180</v>
      </c>
    </row>
    <row r="501">
      <c r="A501" s="8" t="inlineStr"/>
      <c r="B501" s="8" t="inlineStr">
        <is>
          <t>N3</t>
        </is>
      </c>
      <c r="C501" s="8" t="inlineStr">
        <is>
          <t>Nhân công nhóm 3</t>
        </is>
      </c>
      <c r="E501" s="8" t="inlineStr">
        <is>
          <t>công</t>
        </is>
      </c>
      <c r="F501" s="8" t="n">
        <v>5.34</v>
      </c>
      <c r="G501" s="8" t="n">
        <v>427000</v>
      </c>
      <c r="H501" s="8" t="n">
        <v>1</v>
      </c>
      <c r="I501" s="8" t="n">
        <v>2280180</v>
      </c>
    </row>
    <row r="502">
      <c r="A502" s="8" t="inlineStr"/>
      <c r="B502" s="8" t="inlineStr"/>
      <c r="C502" s="8" t="inlineStr">
        <is>
          <t>Cộng chi phí trực tiếp (VL+NC+M)</t>
        </is>
      </c>
      <c r="E502" s="8" t="inlineStr">
        <is>
          <t>T</t>
        </is>
      </c>
      <c r="F502" s="8" t="inlineStr"/>
      <c r="G502" s="8" t="inlineStr"/>
      <c r="H502" s="8" t="inlineStr"/>
      <c r="I502" s="8" t="n">
        <v>4881440.1</v>
      </c>
    </row>
    <row r="503">
      <c r="A503" s="8" t="inlineStr"/>
      <c r="B503" s="8" t="inlineStr"/>
      <c r="C503" s="8" t="inlineStr">
        <is>
          <t>CHI PHÍ GIÁN TIẾP</t>
        </is>
      </c>
      <c r="E503" s="8" t="inlineStr">
        <is>
          <t>GT</t>
        </is>
      </c>
      <c r="F503" s="8" t="inlineStr"/>
      <c r="G503" s="8" t="inlineStr"/>
      <c r="H503" s="8" t="inlineStr"/>
      <c r="I503" s="8" t="n">
        <v>478381.1297999999</v>
      </c>
    </row>
    <row r="504">
      <c r="A504" s="8" t="inlineStr"/>
      <c r="B504" s="8" t="inlineStr"/>
      <c r="C504" s="8" t="inlineStr">
        <is>
          <t>Chi phí chung (T x 7,3%)</t>
        </is>
      </c>
      <c r="E504" s="8" t="inlineStr">
        <is>
          <t>C</t>
        </is>
      </c>
      <c r="F504" s="8" t="inlineStr">
        <is>
          <t>7,3%</t>
        </is>
      </c>
      <c r="G504" s="8" t="inlineStr"/>
      <c r="H504" s="8" t="inlineStr"/>
      <c r="I504" s="8" t="n">
        <v>356345.1272999999</v>
      </c>
    </row>
    <row r="505">
      <c r="A505" s="8" t="inlineStr"/>
      <c r="B505" s="8" t="inlineStr"/>
      <c r="C505" s="8" t="inlineStr">
        <is>
          <t>Chi phí một số công việc không xác định được khối lượng từ thiết kế (T x 2,5%)</t>
        </is>
      </c>
      <c r="E505" s="8" t="inlineStr">
        <is>
          <t>TT</t>
        </is>
      </c>
      <c r="F505" s="8" t="inlineStr">
        <is>
          <t>2,5%</t>
        </is>
      </c>
      <c r="G505" s="8" t="inlineStr"/>
      <c r="H505" s="8" t="inlineStr"/>
      <c r="I505" s="8" t="n">
        <v>122036.0025</v>
      </c>
    </row>
    <row r="506">
      <c r="A506" s="8" t="inlineStr"/>
      <c r="B506" s="8" t="inlineStr"/>
      <c r="C506" s="8" t="inlineStr">
        <is>
          <t>THU NHẬP CHỊU THUẾ TÍNH TRƯỚC (T+GT) x 5,5%</t>
        </is>
      </c>
      <c r="E506" s="8" t="inlineStr">
        <is>
          <t>TL</t>
        </is>
      </c>
      <c r="F506" s="8" t="inlineStr">
        <is>
          <t>5,5%</t>
        </is>
      </c>
      <c r="G506" s="8" t="inlineStr"/>
      <c r="H506" s="8" t="inlineStr"/>
      <c r="I506" s="8" t="n">
        <v>294790.167639</v>
      </c>
    </row>
    <row r="507">
      <c r="A507" s="8" t="inlineStr"/>
      <c r="B507" s="8" t="inlineStr"/>
      <c r="C507" s="8" t="inlineStr">
        <is>
          <t>Chi phí xây dựng trước thuế (T + GT + TL)</t>
        </is>
      </c>
      <c r="E507" s="8" t="inlineStr">
        <is>
          <t>Gxdtt</t>
        </is>
      </c>
      <c r="F507" s="8" t="inlineStr"/>
      <c r="G507" s="8" t="inlineStr"/>
      <c r="H507" s="8" t="inlineStr"/>
      <c r="I507" s="8" t="n">
        <v>5654611.397439</v>
      </c>
    </row>
    <row r="508">
      <c r="A508" s="8" t="inlineStr"/>
      <c r="B508" s="8" t="inlineStr"/>
      <c r="C508" s="8" t="inlineStr">
        <is>
          <t>THUẾ GIÁ TRỊ GIA TĂNG (Gxdtt x 10%)</t>
        </is>
      </c>
      <c r="E508" s="8" t="inlineStr">
        <is>
          <t>GTGT</t>
        </is>
      </c>
      <c r="F508" s="8" t="n">
        <v>0.1</v>
      </c>
      <c r="G508" s="8" t="inlineStr"/>
      <c r="H508" s="8" t="inlineStr"/>
      <c r="I508" s="8" t="n">
        <v>565461.1397439</v>
      </c>
    </row>
    <row r="509">
      <c r="A509" s="8" t="inlineStr"/>
      <c r="B509" s="8" t="inlineStr"/>
      <c r="C509" s="8" t="inlineStr">
        <is>
          <t>Chi phí xây dựng sau thuế (Gxdtt + GTGT)</t>
        </is>
      </c>
      <c r="E509" s="8" t="inlineStr">
        <is>
          <t>Gxdst</t>
        </is>
      </c>
      <c r="F509" s="8" t="inlineStr"/>
      <c r="G509" s="8" t="inlineStr"/>
      <c r="H509" s="8" t="inlineStr"/>
      <c r="I509" s="8" t="n">
        <v>6220072.5371829</v>
      </c>
    </row>
    <row r="510">
      <c r="A510" s="8" t="inlineStr"/>
      <c r="B510" s="8" t="inlineStr"/>
      <c r="C510" s="8" t="inlineStr">
        <is>
          <t>Chi phí nhà tạm để ở và điều hành thi công (Gxdtt x 0,9% x (1+10%))</t>
        </is>
      </c>
      <c r="E510" s="8" t="inlineStr">
        <is>
          <t>LT</t>
        </is>
      </c>
      <c r="F510" s="8" t="n">
        <v>0.008999999999999999</v>
      </c>
      <c r="G510" s="8" t="inlineStr"/>
      <c r="H510" s="8" t="inlineStr"/>
      <c r="I510" s="8" t="n">
        <v>55980.6528346461</v>
      </c>
    </row>
    <row r="511">
      <c r="A511" s="8" t="inlineStr"/>
      <c r="B511" s="8" t="inlineStr"/>
      <c r="C511" s="8" t="inlineStr">
        <is>
          <t>TỔNG CỘNG (Gxdst + LT)</t>
        </is>
      </c>
      <c r="E511" s="8" t="inlineStr">
        <is>
          <t>Gxd</t>
        </is>
      </c>
      <c r="F511" s="8" t="inlineStr"/>
      <c r="G511" s="8" t="inlineStr"/>
      <c r="H511" s="8" t="inlineStr"/>
      <c r="I511" s="8" t="n">
        <v>6276053.190017547</v>
      </c>
    </row>
    <row r="512">
      <c r="A512" s="8" t="n">
        <v>14</v>
      </c>
      <c r="B512" s="11" t="inlineStr">
        <is>
          <t>BC.14105</t>
        </is>
      </c>
      <c r="C512" s="8" t="inlineStr">
        <is>
          <t>Bảo ôn ống đồng D19.1 dày 19mm</t>
        </is>
      </c>
      <c r="D512" s="12">
        <f>HYPERLINK("tt38://pl3/212", "👉 Phụ lục III - Trang 212 (Khớp nhóm BC.1410)")</f>
        <v/>
      </c>
      <c r="E512" s="8" t="inlineStr">
        <is>
          <t>100m</t>
        </is>
      </c>
      <c r="F512" s="8" t="n">
        <v>1</v>
      </c>
      <c r="G512" s="8" t="inlineStr"/>
      <c r="H512" s="8" t="inlineStr"/>
      <c r="I512" s="8" t="inlineStr"/>
    </row>
    <row r="513">
      <c r="A513" s="8" t="inlineStr"/>
      <c r="B513" s="8" t="inlineStr"/>
      <c r="C513" s="8" t="inlineStr">
        <is>
          <t>a) Vật liệu</t>
        </is>
      </c>
      <c r="E513" s="8" t="inlineStr"/>
      <c r="F513" s="8" t="inlineStr"/>
      <c r="G513" s="8" t="inlineStr"/>
      <c r="H513" s="8" t="inlineStr"/>
      <c r="I513" s="8" t="n">
        <v>2902790.25</v>
      </c>
    </row>
    <row r="514">
      <c r="A514" s="8" t="inlineStr"/>
      <c r="B514" s="8" t="inlineStr">
        <is>
          <t>A33.085205</t>
        </is>
      </c>
      <c r="C514" s="8" t="inlineStr">
        <is>
          <t>Bảo ôn ống đồng D19.1 dày 19mm</t>
        </is>
      </c>
      <c r="E514" s="8" t="inlineStr">
        <is>
          <t>m</t>
        </is>
      </c>
      <c r="F514" s="8" t="n">
        <v>100.5</v>
      </c>
      <c r="G514" s="8" t="n">
        <v>25300</v>
      </c>
      <c r="H514" s="8" t="n">
        <v>1</v>
      </c>
      <c r="I514" s="8" t="n">
        <v>2542650</v>
      </c>
    </row>
    <row r="515">
      <c r="A515" s="8" t="inlineStr"/>
      <c r="B515" s="8" t="inlineStr">
        <is>
          <t>A33.1143</t>
        </is>
      </c>
      <c r="C515" s="8" t="inlineStr">
        <is>
          <t>Băng cuốn bảo ôn</t>
        </is>
      </c>
      <c r="E515" s="8" t="inlineStr">
        <is>
          <t>cuộn</t>
        </is>
      </c>
      <c r="F515" s="8" t="n">
        <v>23.99</v>
      </c>
      <c r="G515" s="8" t="n">
        <v>15000</v>
      </c>
      <c r="H515" s="8" t="n">
        <v>1</v>
      </c>
      <c r="I515" s="8" t="n">
        <v>359850</v>
      </c>
    </row>
    <row r="516">
      <c r="A516" s="8" t="inlineStr"/>
      <c r="B516" s="8" t="inlineStr">
        <is>
          <t>Z999</t>
        </is>
      </c>
      <c r="C516" s="8" t="inlineStr">
        <is>
          <t>Vật liệu khác</t>
        </is>
      </c>
      <c r="E516" s="8" t="inlineStr">
        <is>
          <t>%</t>
        </is>
      </c>
      <c r="F516" s="8" t="n">
        <v>0.01</v>
      </c>
      <c r="G516" s="8" t="n">
        <v>2902500</v>
      </c>
      <c r="H516" s="8" t="inlineStr"/>
      <c r="I516" s="8" t="n">
        <v>290.25</v>
      </c>
    </row>
    <row r="517">
      <c r="A517" s="8" t="inlineStr"/>
      <c r="B517" s="8" t="inlineStr"/>
      <c r="C517" s="8" t="inlineStr">
        <is>
          <t>Cộng</t>
        </is>
      </c>
      <c r="E517" s="8" t="inlineStr"/>
      <c r="F517" s="8" t="inlineStr"/>
      <c r="G517" s="8" t="inlineStr"/>
      <c r="H517" s="8" t="inlineStr"/>
      <c r="I517" s="8" t="n">
        <v>2902790.25</v>
      </c>
    </row>
    <row r="518">
      <c r="A518" s="8" t="inlineStr"/>
      <c r="B518" s="8" t="inlineStr"/>
      <c r="C518" s="8" t="inlineStr">
        <is>
          <t>b) Nhân công</t>
        </is>
      </c>
      <c r="E518" s="8" t="inlineStr"/>
      <c r="F518" s="8" t="inlineStr"/>
      <c r="G518" s="8" t="inlineStr"/>
      <c r="H518" s="8" t="inlineStr"/>
      <c r="I518" s="8" t="n">
        <v>2365580</v>
      </c>
    </row>
    <row r="519">
      <c r="A519" s="8" t="inlineStr"/>
      <c r="B519" s="8" t="inlineStr">
        <is>
          <t>N3</t>
        </is>
      </c>
      <c r="C519" s="8" t="inlineStr">
        <is>
          <t>Nhân công nhóm 3</t>
        </is>
      </c>
      <c r="E519" s="8" t="inlineStr">
        <is>
          <t>công</t>
        </is>
      </c>
      <c r="F519" s="8" t="n">
        <v>5.54</v>
      </c>
      <c r="G519" s="8" t="n">
        <v>427000</v>
      </c>
      <c r="H519" s="8" t="n">
        <v>1</v>
      </c>
      <c r="I519" s="8" t="n">
        <v>2365580</v>
      </c>
    </row>
    <row r="520">
      <c r="A520" s="8" t="inlineStr"/>
      <c r="B520" s="8" t="inlineStr"/>
      <c r="C520" s="8" t="inlineStr">
        <is>
          <t>Cộng chi phí trực tiếp (VL+NC+M)</t>
        </is>
      </c>
      <c r="E520" s="8" t="inlineStr">
        <is>
          <t>T</t>
        </is>
      </c>
      <c r="F520" s="8" t="inlineStr"/>
      <c r="G520" s="8" t="inlineStr"/>
      <c r="H520" s="8" t="inlineStr"/>
      <c r="I520" s="8" t="n">
        <v>5268370.25</v>
      </c>
    </row>
    <row r="521">
      <c r="A521" s="8" t="inlineStr"/>
      <c r="B521" s="8" t="inlineStr"/>
      <c r="C521" s="8" t="inlineStr">
        <is>
          <t>CHI PHÍ GIÁN TIẾP</t>
        </is>
      </c>
      <c r="E521" s="8" t="inlineStr">
        <is>
          <t>GT</t>
        </is>
      </c>
      <c r="F521" s="8" t="inlineStr"/>
      <c r="G521" s="8" t="inlineStr"/>
      <c r="H521" s="8" t="inlineStr"/>
      <c r="I521" s="8" t="n">
        <v>516300.2845</v>
      </c>
    </row>
    <row r="522">
      <c r="A522" s="8" t="inlineStr"/>
      <c r="B522" s="8" t="inlineStr"/>
      <c r="C522" s="8" t="inlineStr">
        <is>
          <t>Chi phí chung (T x 7,3%)</t>
        </is>
      </c>
      <c r="E522" s="8" t="inlineStr">
        <is>
          <t>C</t>
        </is>
      </c>
      <c r="F522" s="8" t="inlineStr">
        <is>
          <t>7,3%</t>
        </is>
      </c>
      <c r="G522" s="8" t="inlineStr"/>
      <c r="H522" s="8" t="inlineStr"/>
      <c r="I522" s="8" t="n">
        <v>384591.02825</v>
      </c>
    </row>
    <row r="523">
      <c r="A523" s="8" t="inlineStr"/>
      <c r="B523" s="8" t="inlineStr"/>
      <c r="C523" s="8" t="inlineStr">
        <is>
          <t>Chi phí một số công việc không xác định được khối lượng từ thiết kế (T x 2,5%)</t>
        </is>
      </c>
      <c r="E523" s="8" t="inlineStr">
        <is>
          <t>TT</t>
        </is>
      </c>
      <c r="F523" s="8" t="inlineStr">
        <is>
          <t>2,5%</t>
        </is>
      </c>
      <c r="G523" s="8" t="inlineStr"/>
      <c r="H523" s="8" t="inlineStr"/>
      <c r="I523" s="8" t="n">
        <v>131709.25625</v>
      </c>
    </row>
    <row r="524">
      <c r="A524" s="8" t="inlineStr"/>
      <c r="B524" s="8" t="inlineStr"/>
      <c r="C524" s="8" t="inlineStr">
        <is>
          <t>THU NHẬP CHỊU THUẾ TÍNH TRƯỚC (T+GT) x 5,5%</t>
        </is>
      </c>
      <c r="E524" s="8" t="inlineStr">
        <is>
          <t>TL</t>
        </is>
      </c>
      <c r="F524" s="8" t="inlineStr">
        <is>
          <t>5,5%</t>
        </is>
      </c>
      <c r="G524" s="8" t="inlineStr"/>
      <c r="H524" s="8" t="inlineStr"/>
      <c r="I524" s="8" t="n">
        <v>318156.8793975</v>
      </c>
    </row>
    <row r="525">
      <c r="A525" s="8" t="inlineStr"/>
      <c r="B525" s="8" t="inlineStr"/>
      <c r="C525" s="8" t="inlineStr">
        <is>
          <t>Chi phí xây dựng trước thuế (T + GT + TL)</t>
        </is>
      </c>
      <c r="E525" s="8" t="inlineStr">
        <is>
          <t>Gxdtt</t>
        </is>
      </c>
      <c r="F525" s="8" t="inlineStr"/>
      <c r="G525" s="8" t="inlineStr"/>
      <c r="H525" s="8" t="inlineStr"/>
      <c r="I525" s="8" t="n">
        <v>6102827.4138975</v>
      </c>
    </row>
    <row r="526">
      <c r="A526" s="8" t="inlineStr"/>
      <c r="B526" s="8" t="inlineStr"/>
      <c r="C526" s="8" t="inlineStr">
        <is>
          <t>THUẾ GIÁ TRỊ GIA TĂNG (Gxdtt x 10%)</t>
        </is>
      </c>
      <c r="E526" s="8" t="inlineStr">
        <is>
          <t>GTGT</t>
        </is>
      </c>
      <c r="F526" s="8" t="n">
        <v>0.1</v>
      </c>
      <c r="G526" s="8" t="inlineStr"/>
      <c r="H526" s="8" t="inlineStr"/>
      <c r="I526" s="8" t="n">
        <v>610282.74138975</v>
      </c>
    </row>
    <row r="527">
      <c r="A527" s="8" t="inlineStr"/>
      <c r="B527" s="8" t="inlineStr"/>
      <c r="C527" s="8" t="inlineStr">
        <is>
          <t>Chi phí xây dựng sau thuế (Gxdtt + GTGT)</t>
        </is>
      </c>
      <c r="E527" s="8" t="inlineStr">
        <is>
          <t>Gxdst</t>
        </is>
      </c>
      <c r="F527" s="8" t="inlineStr"/>
      <c r="G527" s="8" t="inlineStr"/>
      <c r="H527" s="8" t="inlineStr"/>
      <c r="I527" s="8" t="n">
        <v>6713110.155287251</v>
      </c>
    </row>
    <row r="528">
      <c r="A528" s="8" t="inlineStr"/>
      <c r="B528" s="8" t="inlineStr"/>
      <c r="C528" s="8" t="inlineStr">
        <is>
          <t>Chi phí nhà tạm để ở và điều hành thi công (Gxdtt x 0,9% x (1+10%))</t>
        </is>
      </c>
      <c r="E528" s="8" t="inlineStr">
        <is>
          <t>LT</t>
        </is>
      </c>
      <c r="F528" s="8" t="n">
        <v>0.008999999999999999</v>
      </c>
      <c r="G528" s="8" t="inlineStr"/>
      <c r="H528" s="8" t="inlineStr"/>
      <c r="I528" s="8" t="n">
        <v>60417.99139758525</v>
      </c>
    </row>
    <row r="529">
      <c r="A529" s="8" t="inlineStr"/>
      <c r="B529" s="8" t="inlineStr"/>
      <c r="C529" s="8" t="inlineStr">
        <is>
          <t>TỔNG CỘNG (Gxdst + LT)</t>
        </is>
      </c>
      <c r="E529" s="8" t="inlineStr">
        <is>
          <t>Gxd</t>
        </is>
      </c>
      <c r="F529" s="8" t="inlineStr"/>
      <c r="G529" s="8" t="inlineStr"/>
      <c r="H529" s="8" t="inlineStr"/>
      <c r="I529" s="8" t="n">
        <v>6773528.146684837</v>
      </c>
    </row>
    <row r="530">
      <c r="A530" s="8" t="n">
        <v>15</v>
      </c>
      <c r="B530" s="11" t="inlineStr">
        <is>
          <t>BC.14106</t>
        </is>
      </c>
      <c r="C530" s="8" t="inlineStr">
        <is>
          <t>Bảo ôn ống đồng D22.2 dày 19mm</t>
        </is>
      </c>
      <c r="D530" s="12">
        <f>HYPERLINK("tt38://pl3/212", "👉 Phụ lục III - Trang 212 (Khớp nhóm BC.1410)")</f>
        <v/>
      </c>
      <c r="E530" s="8" t="inlineStr">
        <is>
          <t>100m</t>
        </is>
      </c>
      <c r="F530" s="8" t="n">
        <v>1</v>
      </c>
      <c r="G530" s="8" t="inlineStr"/>
      <c r="H530" s="8" t="inlineStr"/>
      <c r="I530" s="8" t="inlineStr"/>
    </row>
    <row r="531">
      <c r="A531" s="8" t="inlineStr"/>
      <c r="B531" s="8" t="inlineStr"/>
      <c r="C531" s="8" t="inlineStr">
        <is>
          <t>a) Vật liệu</t>
        </is>
      </c>
      <c r="E531" s="8" t="inlineStr"/>
      <c r="F531" s="8" t="inlineStr"/>
      <c r="G531" s="8" t="inlineStr"/>
      <c r="H531" s="8" t="inlineStr"/>
      <c r="I531" s="8" t="n">
        <v>3152115.18</v>
      </c>
    </row>
    <row r="532">
      <c r="A532" s="8" t="inlineStr"/>
      <c r="B532" s="8" t="inlineStr">
        <is>
          <t>A33.085206</t>
        </is>
      </c>
      <c r="C532" s="8" t="inlineStr">
        <is>
          <t>Bảo ôn ống đồng D22.2 dày 19mm</t>
        </is>
      </c>
      <c r="E532" s="8" t="inlineStr">
        <is>
          <t>m</t>
        </is>
      </c>
      <c r="F532" s="8" t="n">
        <v>100.5</v>
      </c>
      <c r="G532" s="8" t="n">
        <v>27200</v>
      </c>
      <c r="H532" s="8" t="n">
        <v>1</v>
      </c>
      <c r="I532" s="8" t="n">
        <v>2733600</v>
      </c>
    </row>
    <row r="533">
      <c r="A533" s="8" t="inlineStr"/>
      <c r="B533" s="8" t="inlineStr">
        <is>
          <t>A33.1143</t>
        </is>
      </c>
      <c r="C533" s="8" t="inlineStr">
        <is>
          <t>Băng cuốn bảo ôn</t>
        </is>
      </c>
      <c r="E533" s="8" t="inlineStr">
        <is>
          <t>cuộn</t>
        </is>
      </c>
      <c r="F533" s="8" t="n">
        <v>27.88</v>
      </c>
      <c r="G533" s="8" t="n">
        <v>15000</v>
      </c>
      <c r="H533" s="8" t="n">
        <v>1</v>
      </c>
      <c r="I533" s="8" t="n">
        <v>418200</v>
      </c>
    </row>
    <row r="534">
      <c r="A534" s="8" t="inlineStr"/>
      <c r="B534" s="8" t="inlineStr">
        <is>
          <t>Z999</t>
        </is>
      </c>
      <c r="C534" s="8" t="inlineStr">
        <is>
          <t>Vật liệu khác</t>
        </is>
      </c>
      <c r="E534" s="8" t="inlineStr">
        <is>
          <t>%</t>
        </is>
      </c>
      <c r="F534" s="8" t="n">
        <v>0.01</v>
      </c>
      <c r="G534" s="8" t="n">
        <v>3151800</v>
      </c>
      <c r="H534" s="8" t="inlineStr"/>
      <c r="I534" s="8" t="n">
        <v>315.18</v>
      </c>
    </row>
    <row r="535">
      <c r="A535" s="8" t="inlineStr"/>
      <c r="B535" s="8" t="inlineStr"/>
      <c r="C535" s="8" t="inlineStr">
        <is>
          <t>Cộng</t>
        </is>
      </c>
      <c r="E535" s="8" t="inlineStr"/>
      <c r="F535" s="8" t="inlineStr"/>
      <c r="G535" s="8" t="inlineStr"/>
      <c r="H535" s="8" t="inlineStr"/>
      <c r="I535" s="8" t="n">
        <v>3152115.18</v>
      </c>
    </row>
    <row r="536">
      <c r="A536" s="8" t="inlineStr"/>
      <c r="B536" s="8" t="inlineStr"/>
      <c r="C536" s="8" t="inlineStr">
        <is>
          <t>b) Nhân công</t>
        </is>
      </c>
      <c r="E536" s="8" t="inlineStr"/>
      <c r="F536" s="8" t="inlineStr"/>
      <c r="G536" s="8" t="inlineStr"/>
      <c r="H536" s="8" t="inlineStr"/>
      <c r="I536" s="8" t="n">
        <v>2493680</v>
      </c>
    </row>
    <row r="537">
      <c r="A537" s="8" t="inlineStr"/>
      <c r="B537" s="8" t="inlineStr">
        <is>
          <t>N3</t>
        </is>
      </c>
      <c r="C537" s="8" t="inlineStr">
        <is>
          <t>Nhân công nhóm 3</t>
        </is>
      </c>
      <c r="E537" s="8" t="inlineStr">
        <is>
          <t>công</t>
        </is>
      </c>
      <c r="F537" s="8" t="n">
        <v>5.84</v>
      </c>
      <c r="G537" s="8" t="n">
        <v>427000</v>
      </c>
      <c r="H537" s="8" t="n">
        <v>1</v>
      </c>
      <c r="I537" s="8" t="n">
        <v>2493680</v>
      </c>
    </row>
    <row r="538">
      <c r="A538" s="8" t="inlineStr"/>
      <c r="B538" s="8" t="inlineStr"/>
      <c r="C538" s="8" t="inlineStr">
        <is>
          <t>Cộng chi phí trực tiếp (VL+NC+M)</t>
        </is>
      </c>
      <c r="E538" s="8" t="inlineStr">
        <is>
          <t>T</t>
        </is>
      </c>
      <c r="F538" s="8" t="inlineStr"/>
      <c r="G538" s="8" t="inlineStr"/>
      <c r="H538" s="8" t="inlineStr"/>
      <c r="I538" s="8" t="n">
        <v>5645795.18</v>
      </c>
    </row>
    <row r="539">
      <c r="A539" s="8" t="inlineStr"/>
      <c r="B539" s="8" t="inlineStr"/>
      <c r="C539" s="8" t="inlineStr">
        <is>
          <t>CHI PHÍ GIÁN TIẾP</t>
        </is>
      </c>
      <c r="E539" s="8" t="inlineStr">
        <is>
          <t>GT</t>
        </is>
      </c>
      <c r="F539" s="8" t="inlineStr"/>
      <c r="G539" s="8" t="inlineStr"/>
      <c r="H539" s="8" t="inlineStr"/>
      <c r="I539" s="8" t="n">
        <v>553287.92764</v>
      </c>
    </row>
    <row r="540">
      <c r="A540" s="8" t="inlineStr"/>
      <c r="B540" s="8" t="inlineStr"/>
      <c r="C540" s="8" t="inlineStr">
        <is>
          <t>Chi phí chung (T x 7,3%)</t>
        </is>
      </c>
      <c r="E540" s="8" t="inlineStr">
        <is>
          <t>C</t>
        </is>
      </c>
      <c r="F540" s="8" t="inlineStr">
        <is>
          <t>7,3%</t>
        </is>
      </c>
      <c r="G540" s="8" t="inlineStr"/>
      <c r="H540" s="8" t="inlineStr"/>
      <c r="I540" s="8" t="n">
        <v>412143.04814</v>
      </c>
    </row>
    <row r="541">
      <c r="A541" s="8" t="inlineStr"/>
      <c r="B541" s="8" t="inlineStr"/>
      <c r="C541" s="8" t="inlineStr">
        <is>
          <t>Chi phí một số công việc không xác định được khối lượng từ thiết kế (T x 2,5%)</t>
        </is>
      </c>
      <c r="E541" s="8" t="inlineStr">
        <is>
          <t>TT</t>
        </is>
      </c>
      <c r="F541" s="8" t="inlineStr">
        <is>
          <t>2,5%</t>
        </is>
      </c>
      <c r="G541" s="8" t="inlineStr"/>
      <c r="H541" s="8" t="inlineStr"/>
      <c r="I541" s="8" t="n">
        <v>141144.8795</v>
      </c>
    </row>
    <row r="542">
      <c r="A542" s="8" t="inlineStr"/>
      <c r="B542" s="8" t="inlineStr"/>
      <c r="C542" s="8" t="inlineStr">
        <is>
          <t>THU NHẬP CHỊU THUẾ TÍNH TRƯỚC (T+GT) x 5,5%</t>
        </is>
      </c>
      <c r="E542" s="8" t="inlineStr">
        <is>
          <t>TL</t>
        </is>
      </c>
      <c r="F542" s="8" t="inlineStr">
        <is>
          <t>5,5%</t>
        </is>
      </c>
      <c r="G542" s="8" t="inlineStr"/>
      <c r="H542" s="8" t="inlineStr"/>
      <c r="I542" s="8" t="n">
        <v>340949.5709202</v>
      </c>
    </row>
    <row r="543">
      <c r="A543" s="8" t="inlineStr"/>
      <c r="B543" s="8" t="inlineStr"/>
      <c r="C543" s="8" t="inlineStr">
        <is>
          <t>Chi phí xây dựng trước thuế (T + GT + TL)</t>
        </is>
      </c>
      <c r="E543" s="8" t="inlineStr">
        <is>
          <t>Gxdtt</t>
        </is>
      </c>
      <c r="F543" s="8" t="inlineStr"/>
      <c r="G543" s="8" t="inlineStr"/>
      <c r="H543" s="8" t="inlineStr"/>
      <c r="I543" s="8" t="n">
        <v>6540032.6785602</v>
      </c>
    </row>
    <row r="544">
      <c r="A544" s="8" t="inlineStr"/>
      <c r="B544" s="8" t="inlineStr"/>
      <c r="C544" s="8" t="inlineStr">
        <is>
          <t>THUẾ GIÁ TRỊ GIA TĂNG (Gxdtt x 10%)</t>
        </is>
      </c>
      <c r="E544" s="8" t="inlineStr">
        <is>
          <t>GTGT</t>
        </is>
      </c>
      <c r="F544" s="8" t="n">
        <v>0.1</v>
      </c>
      <c r="G544" s="8" t="inlineStr"/>
      <c r="H544" s="8" t="inlineStr"/>
      <c r="I544" s="8" t="n">
        <v>654003.26785602</v>
      </c>
    </row>
    <row r="545">
      <c r="A545" s="8" t="inlineStr"/>
      <c r="B545" s="8" t="inlineStr"/>
      <c r="C545" s="8" t="inlineStr">
        <is>
          <t>Chi phí xây dựng sau thuế (Gxdtt + GTGT)</t>
        </is>
      </c>
      <c r="E545" s="8" t="inlineStr">
        <is>
          <t>Gxdst</t>
        </is>
      </c>
      <c r="F545" s="8" t="inlineStr"/>
      <c r="G545" s="8" t="inlineStr"/>
      <c r="H545" s="8" t="inlineStr"/>
      <c r="I545" s="8" t="n">
        <v>7194035.94641622</v>
      </c>
    </row>
    <row r="546">
      <c r="A546" s="8" t="inlineStr"/>
      <c r="B546" s="8" t="inlineStr"/>
      <c r="C546" s="8" t="inlineStr">
        <is>
          <t>Chi phí nhà tạm để ở và điều hành thi công (Gxdtt x 0,9% x (1+10%))</t>
        </is>
      </c>
      <c r="E546" s="8" t="inlineStr">
        <is>
          <t>LT</t>
        </is>
      </c>
      <c r="F546" s="8" t="n">
        <v>0.008999999999999999</v>
      </c>
      <c r="G546" s="8" t="inlineStr"/>
      <c r="H546" s="8" t="inlineStr"/>
      <c r="I546" s="8" t="n">
        <v>64746.32351774598</v>
      </c>
    </row>
    <row r="547">
      <c r="A547" s="8" t="inlineStr"/>
      <c r="B547" s="8" t="inlineStr"/>
      <c r="C547" s="8" t="inlineStr">
        <is>
          <t>TỔNG CỘNG (Gxdst + LT)</t>
        </is>
      </c>
      <c r="E547" s="8" t="inlineStr">
        <is>
          <t>Gxd</t>
        </is>
      </c>
      <c r="F547" s="8" t="inlineStr"/>
      <c r="G547" s="8" t="inlineStr"/>
      <c r="H547" s="8" t="inlineStr"/>
      <c r="I547" s="8" t="n">
        <v>7258782.269933966</v>
      </c>
    </row>
    <row r="548">
      <c r="A548" s="8" t="n">
        <v>16</v>
      </c>
      <c r="B548" s="11" t="inlineStr">
        <is>
          <t>BC.14108</t>
        </is>
      </c>
      <c r="C548" s="8" t="inlineStr">
        <is>
          <t>Bảo ôn ống đồng D28.6 dày 19mm</t>
        </is>
      </c>
      <c r="D548" s="12">
        <f>HYPERLINK("tt38://pl3/212", "👉 Phụ lục III - Trang 212 (Khớp nhóm BC.1410)")</f>
        <v/>
      </c>
      <c r="E548" s="8" t="inlineStr">
        <is>
          <t>100m</t>
        </is>
      </c>
      <c r="F548" s="8" t="n">
        <v>1</v>
      </c>
      <c r="G548" s="8" t="inlineStr"/>
      <c r="H548" s="8" t="inlineStr"/>
      <c r="I548" s="8" t="inlineStr"/>
    </row>
    <row r="549">
      <c r="A549" s="8" t="inlineStr"/>
      <c r="B549" s="8" t="inlineStr"/>
      <c r="C549" s="8" t="inlineStr">
        <is>
          <t>a) Vật liệu</t>
        </is>
      </c>
      <c r="E549" s="8" t="inlineStr"/>
      <c r="F549" s="8" t="inlineStr"/>
      <c r="G549" s="8" t="inlineStr"/>
      <c r="H549" s="8" t="inlineStr"/>
      <c r="I549" s="8" t="n">
        <v>3855685.53</v>
      </c>
    </row>
    <row r="550">
      <c r="A550" s="8" t="inlineStr"/>
      <c r="B550" s="8" t="inlineStr">
        <is>
          <t>A33.085208</t>
        </is>
      </c>
      <c r="C550" s="8" t="inlineStr">
        <is>
          <t>Bảo ôn ống đồng D28.6 dày 19mm</t>
        </is>
      </c>
      <c r="E550" s="8" t="inlineStr">
        <is>
          <t>m</t>
        </is>
      </c>
      <c r="F550" s="8" t="n">
        <v>100.5</v>
      </c>
      <c r="G550" s="8" t="n">
        <v>33000</v>
      </c>
      <c r="H550" s="8" t="n">
        <v>1</v>
      </c>
      <c r="I550" s="8" t="n">
        <v>3316500</v>
      </c>
    </row>
    <row r="551">
      <c r="A551" s="8" t="inlineStr"/>
      <c r="B551" s="8" t="inlineStr">
        <is>
          <t>A33.1143</t>
        </is>
      </c>
      <c r="C551" s="8" t="inlineStr">
        <is>
          <t>Băng cuốn bảo ôn</t>
        </is>
      </c>
      <c r="E551" s="8" t="inlineStr">
        <is>
          <t>cuộn</t>
        </is>
      </c>
      <c r="F551" s="8" t="n">
        <v>35.92</v>
      </c>
      <c r="G551" s="8" t="n">
        <v>15000</v>
      </c>
      <c r="H551" s="8" t="n">
        <v>1</v>
      </c>
      <c r="I551" s="8" t="n">
        <v>538800</v>
      </c>
    </row>
    <row r="552">
      <c r="A552" s="8" t="inlineStr"/>
      <c r="B552" s="8" t="inlineStr">
        <is>
          <t>Z999</t>
        </is>
      </c>
      <c r="C552" s="8" t="inlineStr">
        <is>
          <t>Vật liệu khác</t>
        </is>
      </c>
      <c r="E552" s="8" t="inlineStr">
        <is>
          <t>%</t>
        </is>
      </c>
      <c r="F552" s="8" t="n">
        <v>0.01</v>
      </c>
      <c r="G552" s="8" t="n">
        <v>3855300</v>
      </c>
      <c r="H552" s="8" t="inlineStr"/>
      <c r="I552" s="8" t="n">
        <v>385.53</v>
      </c>
    </row>
    <row r="553">
      <c r="A553" s="8" t="inlineStr"/>
      <c r="B553" s="8" t="inlineStr"/>
      <c r="C553" s="8" t="inlineStr">
        <is>
          <t>Cộng</t>
        </is>
      </c>
      <c r="E553" s="8" t="inlineStr"/>
      <c r="F553" s="8" t="inlineStr"/>
      <c r="G553" s="8" t="inlineStr"/>
      <c r="H553" s="8" t="inlineStr"/>
      <c r="I553" s="8" t="n">
        <v>3855685.53</v>
      </c>
    </row>
    <row r="554">
      <c r="A554" s="8" t="inlineStr"/>
      <c r="B554" s="8" t="inlineStr"/>
      <c r="C554" s="8" t="inlineStr">
        <is>
          <t>b) Nhân công</t>
        </is>
      </c>
      <c r="E554" s="8" t="inlineStr"/>
      <c r="F554" s="8" t="inlineStr"/>
      <c r="G554" s="8" t="inlineStr"/>
      <c r="H554" s="8" t="inlineStr"/>
      <c r="I554" s="8" t="n">
        <v>2732800</v>
      </c>
    </row>
    <row r="555">
      <c r="A555" s="8" t="inlineStr"/>
      <c r="B555" s="8" t="inlineStr">
        <is>
          <t>N3</t>
        </is>
      </c>
      <c r="C555" s="8" t="inlineStr">
        <is>
          <t>Nhân công nhóm 3</t>
        </is>
      </c>
      <c r="E555" s="8" t="inlineStr">
        <is>
          <t>công</t>
        </is>
      </c>
      <c r="F555" s="8" t="n">
        <v>6.4</v>
      </c>
      <c r="G555" s="8" t="n">
        <v>427000</v>
      </c>
      <c r="H555" s="8" t="n">
        <v>1</v>
      </c>
      <c r="I555" s="8" t="n">
        <v>2732800</v>
      </c>
    </row>
    <row r="556">
      <c r="A556" s="8" t="inlineStr"/>
      <c r="B556" s="8" t="inlineStr"/>
      <c r="C556" s="8" t="inlineStr">
        <is>
          <t>Cộng chi phí trực tiếp (VL+NC+M)</t>
        </is>
      </c>
      <c r="E556" s="8" t="inlineStr">
        <is>
          <t>T</t>
        </is>
      </c>
      <c r="F556" s="8" t="inlineStr"/>
      <c r="G556" s="8" t="inlineStr"/>
      <c r="H556" s="8" t="inlineStr"/>
      <c r="I556" s="8" t="n">
        <v>6588485.529999999</v>
      </c>
    </row>
    <row r="557">
      <c r="A557" s="8" t="inlineStr"/>
      <c r="B557" s="8" t="inlineStr"/>
      <c r="C557" s="8" t="inlineStr">
        <is>
          <t>CHI PHÍ GIÁN TIẾP</t>
        </is>
      </c>
      <c r="E557" s="8" t="inlineStr">
        <is>
          <t>GT</t>
        </is>
      </c>
      <c r="F557" s="8" t="inlineStr"/>
      <c r="G557" s="8" t="inlineStr"/>
      <c r="H557" s="8" t="inlineStr"/>
      <c r="I557" s="8" t="n">
        <v>645671.5819399999</v>
      </c>
    </row>
    <row r="558">
      <c r="A558" s="8" t="inlineStr"/>
      <c r="B558" s="8" t="inlineStr"/>
      <c r="C558" s="8" t="inlineStr">
        <is>
          <t>Chi phí chung (T x 7,3%)</t>
        </is>
      </c>
      <c r="E558" s="8" t="inlineStr">
        <is>
          <t>C</t>
        </is>
      </c>
      <c r="F558" s="8" t="inlineStr">
        <is>
          <t>7,3%</t>
        </is>
      </c>
      <c r="G558" s="8" t="inlineStr"/>
      <c r="H558" s="8" t="inlineStr"/>
      <c r="I558" s="8" t="n">
        <v>480959.4436899999</v>
      </c>
    </row>
    <row r="559">
      <c r="A559" s="8" t="inlineStr"/>
      <c r="B559" s="8" t="inlineStr"/>
      <c r="C559" s="8" t="inlineStr">
        <is>
          <t>Chi phí một số công việc không xác định được khối lượng từ thiết kế (T x 2,5%)</t>
        </is>
      </c>
      <c r="E559" s="8" t="inlineStr">
        <is>
          <t>TT</t>
        </is>
      </c>
      <c r="F559" s="8" t="inlineStr">
        <is>
          <t>2,5%</t>
        </is>
      </c>
      <c r="G559" s="8" t="inlineStr"/>
      <c r="H559" s="8" t="inlineStr"/>
      <c r="I559" s="8" t="n">
        <v>164712.13825</v>
      </c>
    </row>
    <row r="560">
      <c r="A560" s="8" t="inlineStr"/>
      <c r="B560" s="8" t="inlineStr"/>
      <c r="C560" s="8" t="inlineStr">
        <is>
          <t>THU NHẬP CHỊU THUẾ TÍNH TRƯỚC (T+GT) x 5,5%</t>
        </is>
      </c>
      <c r="E560" s="8" t="inlineStr">
        <is>
          <t>TL</t>
        </is>
      </c>
      <c r="F560" s="8" t="inlineStr">
        <is>
          <t>5,5%</t>
        </is>
      </c>
      <c r="G560" s="8" t="inlineStr"/>
      <c r="H560" s="8" t="inlineStr"/>
      <c r="I560" s="8" t="n">
        <v>397878.6411567</v>
      </c>
    </row>
    <row r="561">
      <c r="A561" s="8" t="inlineStr"/>
      <c r="B561" s="8" t="inlineStr"/>
      <c r="C561" s="8" t="inlineStr">
        <is>
          <t>Chi phí xây dựng trước thuế (T + GT + TL)</t>
        </is>
      </c>
      <c r="E561" s="8" t="inlineStr">
        <is>
          <t>Gxdtt</t>
        </is>
      </c>
      <c r="F561" s="8" t="inlineStr"/>
      <c r="G561" s="8" t="inlineStr"/>
      <c r="H561" s="8" t="inlineStr"/>
      <c r="I561" s="8" t="n">
        <v>7632035.7530967</v>
      </c>
    </row>
    <row r="562">
      <c r="A562" s="8" t="inlineStr"/>
      <c r="B562" s="8" t="inlineStr"/>
      <c r="C562" s="8" t="inlineStr">
        <is>
          <t>THUẾ GIÁ TRỊ GIA TĂNG (Gxdtt x 10%)</t>
        </is>
      </c>
      <c r="E562" s="8" t="inlineStr">
        <is>
          <t>GTGT</t>
        </is>
      </c>
      <c r="F562" s="8" t="n">
        <v>0.1</v>
      </c>
      <c r="G562" s="8" t="inlineStr"/>
      <c r="H562" s="8" t="inlineStr"/>
      <c r="I562" s="8" t="n">
        <v>763203.5753096701</v>
      </c>
    </row>
    <row r="563">
      <c r="A563" s="8" t="inlineStr"/>
      <c r="B563" s="8" t="inlineStr"/>
      <c r="C563" s="8" t="inlineStr">
        <is>
          <t>Chi phí xây dựng sau thuế (Gxdtt + GTGT)</t>
        </is>
      </c>
      <c r="E563" s="8" t="inlineStr">
        <is>
          <t>Gxdst</t>
        </is>
      </c>
      <c r="F563" s="8" t="inlineStr"/>
      <c r="G563" s="8" t="inlineStr"/>
      <c r="H563" s="8" t="inlineStr"/>
      <c r="I563" s="8" t="n">
        <v>8395239.328406369</v>
      </c>
    </row>
    <row r="564">
      <c r="A564" s="8" t="inlineStr"/>
      <c r="B564" s="8" t="inlineStr"/>
      <c r="C564" s="8" t="inlineStr">
        <is>
          <t>Chi phí nhà tạm để ở và điều hành thi công (Gxdtt x 0,9% x (1+10%))</t>
        </is>
      </c>
      <c r="E564" s="8" t="inlineStr">
        <is>
          <t>LT</t>
        </is>
      </c>
      <c r="F564" s="8" t="n">
        <v>0.008999999999999999</v>
      </c>
      <c r="G564" s="8" t="inlineStr"/>
      <c r="H564" s="8" t="inlineStr"/>
      <c r="I564" s="8" t="n">
        <v>75557.15395565733</v>
      </c>
    </row>
    <row r="565">
      <c r="A565" s="8" t="inlineStr"/>
      <c r="B565" s="8" t="inlineStr"/>
      <c r="C565" s="8" t="inlineStr">
        <is>
          <t>TỔNG CỘNG (Gxdst + LT)</t>
        </is>
      </c>
      <c r="E565" s="8" t="inlineStr">
        <is>
          <t>Gxd</t>
        </is>
      </c>
      <c r="F565" s="8" t="inlineStr"/>
      <c r="G565" s="8" t="inlineStr"/>
      <c r="H565" s="8" t="inlineStr"/>
      <c r="I565" s="8" t="n">
        <v>8470796.482362026</v>
      </c>
    </row>
    <row r="566">
      <c r="A566" s="8" t="n">
        <v>17</v>
      </c>
      <c r="B566" s="11" t="inlineStr">
        <is>
          <t>BC.14110</t>
        </is>
      </c>
      <c r="C566" s="8" t="inlineStr">
        <is>
          <t>Bảo ôn ống đồng D34.9 dày 19mm</t>
        </is>
      </c>
      <c r="D566" s="12">
        <f>HYPERLINK("tt38://pl3/212", "👉 Phụ lục III - Trang 212 (Khớp nhóm BC.141)")</f>
        <v/>
      </c>
      <c r="E566" s="8" t="inlineStr">
        <is>
          <t>100m</t>
        </is>
      </c>
      <c r="F566" s="8" t="n">
        <v>1</v>
      </c>
      <c r="G566" s="8" t="inlineStr"/>
      <c r="H566" s="8" t="inlineStr"/>
      <c r="I566" s="8" t="inlineStr"/>
    </row>
    <row r="567">
      <c r="A567" s="8" t="inlineStr"/>
      <c r="B567" s="8" t="inlineStr"/>
      <c r="C567" s="8" t="inlineStr">
        <is>
          <t>a) Vật liệu</t>
        </is>
      </c>
      <c r="E567" s="8" t="inlineStr"/>
      <c r="F567" s="8" t="inlineStr"/>
      <c r="G567" s="8" t="inlineStr"/>
      <c r="H567" s="8" t="inlineStr"/>
      <c r="I567" s="8" t="n">
        <v>4858835.835</v>
      </c>
    </row>
    <row r="568">
      <c r="A568" s="8" t="inlineStr"/>
      <c r="B568" s="8" t="inlineStr">
        <is>
          <t>A33.085210</t>
        </is>
      </c>
      <c r="C568" s="8" t="inlineStr">
        <is>
          <t>Bảo ôn ống đồng D34.9 dày 19mm</t>
        </is>
      </c>
      <c r="E568" s="8" t="inlineStr">
        <is>
          <t>m</t>
        </is>
      </c>
      <c r="F568" s="8" t="n">
        <v>100.5</v>
      </c>
      <c r="G568" s="8" t="n">
        <v>41800</v>
      </c>
      <c r="H568" s="8" t="n">
        <v>1</v>
      </c>
      <c r="I568" s="8" t="n">
        <v>4200900</v>
      </c>
    </row>
    <row r="569">
      <c r="A569" s="8" t="inlineStr"/>
      <c r="B569" s="8" t="inlineStr">
        <is>
          <t>A33.1143</t>
        </is>
      </c>
      <c r="C569" s="8" t="inlineStr">
        <is>
          <t>Băng cuốn bảo ôn</t>
        </is>
      </c>
      <c r="E569" s="8" t="inlineStr">
        <is>
          <t>cuộn</t>
        </is>
      </c>
      <c r="F569" s="8" t="n">
        <v>43.83</v>
      </c>
      <c r="G569" s="8" t="n">
        <v>15000</v>
      </c>
      <c r="H569" s="8" t="n">
        <v>1</v>
      </c>
      <c r="I569" s="8" t="n">
        <v>657450</v>
      </c>
    </row>
    <row r="570">
      <c r="A570" s="8" t="inlineStr"/>
      <c r="B570" s="8" t="inlineStr">
        <is>
          <t>Z999</t>
        </is>
      </c>
      <c r="C570" s="8" t="inlineStr">
        <is>
          <t>Vật liệu khác</t>
        </is>
      </c>
      <c r="E570" s="8" t="inlineStr">
        <is>
          <t>%</t>
        </is>
      </c>
      <c r="F570" s="8" t="n">
        <v>0.01</v>
      </c>
      <c r="G570" s="8" t="n">
        <v>4858350</v>
      </c>
      <c r="H570" s="8" t="inlineStr"/>
      <c r="I570" s="8" t="n">
        <v>485.835</v>
      </c>
    </row>
    <row r="571">
      <c r="A571" s="8" t="inlineStr"/>
      <c r="B571" s="8" t="inlineStr"/>
      <c r="C571" s="8" t="inlineStr">
        <is>
          <t>Cộng</t>
        </is>
      </c>
      <c r="E571" s="8" t="inlineStr"/>
      <c r="F571" s="8" t="inlineStr"/>
      <c r="G571" s="8" t="inlineStr"/>
      <c r="H571" s="8" t="inlineStr"/>
      <c r="I571" s="8" t="n">
        <v>4858835.835</v>
      </c>
    </row>
    <row r="572">
      <c r="A572" s="8" t="inlineStr"/>
      <c r="B572" s="8" t="inlineStr"/>
      <c r="C572" s="8" t="inlineStr">
        <is>
          <t>b) Nhân công</t>
        </is>
      </c>
      <c r="E572" s="8" t="inlineStr"/>
      <c r="F572" s="8" t="inlineStr"/>
      <c r="G572" s="8" t="inlineStr"/>
      <c r="H572" s="8" t="inlineStr"/>
      <c r="I572" s="8" t="n">
        <v>2822470</v>
      </c>
    </row>
    <row r="573">
      <c r="A573" s="8" t="inlineStr"/>
      <c r="B573" s="8" t="inlineStr">
        <is>
          <t>N3</t>
        </is>
      </c>
      <c r="C573" s="8" t="inlineStr">
        <is>
          <t>Nhân công nhóm 3</t>
        </is>
      </c>
      <c r="E573" s="8" t="inlineStr">
        <is>
          <t>công</t>
        </is>
      </c>
      <c r="F573" s="8" t="n">
        <v>6.61</v>
      </c>
      <c r="G573" s="8" t="n">
        <v>427000</v>
      </c>
      <c r="H573" s="8" t="n">
        <v>1</v>
      </c>
      <c r="I573" s="8" t="n">
        <v>2822470</v>
      </c>
    </row>
    <row r="574">
      <c r="A574" s="8" t="inlineStr"/>
      <c r="B574" s="8" t="inlineStr"/>
      <c r="C574" s="8" t="inlineStr">
        <is>
          <t>Cộng chi phí trực tiếp (VL+NC+M)</t>
        </is>
      </c>
      <c r="E574" s="8" t="inlineStr">
        <is>
          <t>T</t>
        </is>
      </c>
      <c r="F574" s="8" t="inlineStr"/>
      <c r="G574" s="8" t="inlineStr"/>
      <c r="H574" s="8" t="inlineStr"/>
      <c r="I574" s="8" t="n">
        <v>7681305.835</v>
      </c>
    </row>
    <row r="575">
      <c r="A575" s="8" t="inlineStr"/>
      <c r="B575" s="8" t="inlineStr"/>
      <c r="C575" s="8" t="inlineStr">
        <is>
          <t>CHI PHÍ GIÁN TIẾP</t>
        </is>
      </c>
      <c r="E575" s="8" t="inlineStr">
        <is>
          <t>GT</t>
        </is>
      </c>
      <c r="F575" s="8" t="inlineStr"/>
      <c r="G575" s="8" t="inlineStr"/>
      <c r="H575" s="8" t="inlineStr"/>
      <c r="I575" s="8" t="n">
        <v>752767.9718300001</v>
      </c>
    </row>
    <row r="576">
      <c r="A576" s="8" t="inlineStr"/>
      <c r="B576" s="8" t="inlineStr"/>
      <c r="C576" s="8" t="inlineStr">
        <is>
          <t>Chi phí chung (T x 7,3%)</t>
        </is>
      </c>
      <c r="E576" s="8" t="inlineStr">
        <is>
          <t>C</t>
        </is>
      </c>
      <c r="F576" s="8" t="inlineStr">
        <is>
          <t>7,3%</t>
        </is>
      </c>
      <c r="G576" s="8" t="inlineStr"/>
      <c r="H576" s="8" t="inlineStr"/>
      <c r="I576" s="8" t="n">
        <v>560735.325955</v>
      </c>
    </row>
    <row r="577">
      <c r="A577" s="8" t="inlineStr"/>
      <c r="B577" s="8" t="inlineStr"/>
      <c r="C577" s="8" t="inlineStr">
        <is>
          <t>Chi phí một số công việc không xác định được khối lượng từ thiết kế (T x 2,5%)</t>
        </is>
      </c>
      <c r="E577" s="8" t="inlineStr">
        <is>
          <t>TT</t>
        </is>
      </c>
      <c r="F577" s="8" t="inlineStr">
        <is>
          <t>2,5%</t>
        </is>
      </c>
      <c r="G577" s="8" t="inlineStr"/>
      <c r="H577" s="8" t="inlineStr"/>
      <c r="I577" s="8" t="n">
        <v>192032.645875</v>
      </c>
    </row>
    <row r="578">
      <c r="A578" s="8" t="inlineStr"/>
      <c r="B578" s="8" t="inlineStr"/>
      <c r="C578" s="8" t="inlineStr">
        <is>
          <t>THU NHẬP CHỊU THUẾ TÍNH TRƯỚC (T+GT) x 5,5%</t>
        </is>
      </c>
      <c r="E578" s="8" t="inlineStr">
        <is>
          <t>TL</t>
        </is>
      </c>
      <c r="F578" s="8" t="inlineStr">
        <is>
          <t>5,5%</t>
        </is>
      </c>
      <c r="G578" s="8" t="inlineStr"/>
      <c r="H578" s="8" t="inlineStr"/>
      <c r="I578" s="8" t="n">
        <v>463874.05937565</v>
      </c>
    </row>
    <row r="579">
      <c r="A579" s="8" t="inlineStr"/>
      <c r="B579" s="8" t="inlineStr"/>
      <c r="C579" s="8" t="inlineStr">
        <is>
          <t>Chi phí xây dựng trước thuế (T + GT + TL)</t>
        </is>
      </c>
      <c r="E579" s="8" t="inlineStr">
        <is>
          <t>Gxdtt</t>
        </is>
      </c>
      <c r="F579" s="8" t="inlineStr"/>
      <c r="G579" s="8" t="inlineStr"/>
      <c r="H579" s="8" t="inlineStr"/>
      <c r="I579" s="8" t="n">
        <v>8897947.866205649</v>
      </c>
    </row>
    <row r="580">
      <c r="A580" s="8" t="inlineStr"/>
      <c r="B580" s="8" t="inlineStr"/>
      <c r="C580" s="8" t="inlineStr">
        <is>
          <t>THUẾ GIÁ TRỊ GIA TĂNG (Gxdtt x 10%)</t>
        </is>
      </c>
      <c r="E580" s="8" t="inlineStr">
        <is>
          <t>GTGT</t>
        </is>
      </c>
      <c r="F580" s="8" t="n">
        <v>0.1</v>
      </c>
      <c r="G580" s="8" t="inlineStr"/>
      <c r="H580" s="8" t="inlineStr"/>
      <c r="I580" s="8" t="n">
        <v>889794.786620565</v>
      </c>
    </row>
    <row r="581">
      <c r="A581" s="8" t="inlineStr"/>
      <c r="B581" s="8" t="inlineStr"/>
      <c r="C581" s="8" t="inlineStr">
        <is>
          <t>Chi phí xây dựng sau thuế (Gxdtt + GTGT)</t>
        </is>
      </c>
      <c r="E581" s="8" t="inlineStr">
        <is>
          <t>Gxdst</t>
        </is>
      </c>
      <c r="F581" s="8" t="inlineStr"/>
      <c r="G581" s="8" t="inlineStr"/>
      <c r="H581" s="8" t="inlineStr"/>
      <c r="I581" s="8" t="n">
        <v>9787742.652826214</v>
      </c>
    </row>
    <row r="582">
      <c r="A582" s="8" t="inlineStr"/>
      <c r="B582" s="8" t="inlineStr"/>
      <c r="C582" s="8" t="inlineStr">
        <is>
          <t>Chi phí nhà tạm để ở và điều hành thi công (Gxdtt x 0,9% x (1+10%))</t>
        </is>
      </c>
      <c r="E582" s="8" t="inlineStr">
        <is>
          <t>LT</t>
        </is>
      </c>
      <c r="F582" s="8" t="n">
        <v>0.008999999999999999</v>
      </c>
      <c r="G582" s="8" t="inlineStr"/>
      <c r="H582" s="8" t="inlineStr"/>
      <c r="I582" s="8" t="n">
        <v>88089.68387543592</v>
      </c>
    </row>
    <row r="583">
      <c r="A583" s="8" t="inlineStr"/>
      <c r="B583" s="8" t="inlineStr"/>
      <c r="C583" s="8" t="inlineStr">
        <is>
          <t>TỔNG CỘNG (Gxdst + LT)</t>
        </is>
      </c>
      <c r="E583" s="8" t="inlineStr">
        <is>
          <t>Gxd</t>
        </is>
      </c>
      <c r="F583" s="8" t="inlineStr"/>
      <c r="G583" s="8" t="inlineStr"/>
      <c r="H583" s="8" t="inlineStr"/>
      <c r="I583" s="8" t="n">
        <v>9875832.33670165</v>
      </c>
    </row>
    <row r="584">
      <c r="A584" s="8" t="n">
        <v>18</v>
      </c>
      <c r="B584" s="11" t="inlineStr">
        <is>
          <t>BC.14112</t>
        </is>
      </c>
      <c r="C584" s="8" t="inlineStr">
        <is>
          <t>Bảo ôn ống đồng D41.3 dày 19mm</t>
        </is>
      </c>
      <c r="D584" s="12">
        <f>HYPERLINK("tt38://pl3/212", "👉 Phụ lục III - Trang 212 (Khớp nhóm BC.141)")</f>
        <v/>
      </c>
      <c r="E584" s="8" t="inlineStr">
        <is>
          <t>100m</t>
        </is>
      </c>
      <c r="F584" s="8" t="n">
        <v>1</v>
      </c>
      <c r="G584" s="8" t="inlineStr"/>
      <c r="H584" s="8" t="inlineStr"/>
      <c r="I584" s="8" t="inlineStr"/>
    </row>
    <row r="585">
      <c r="A585" s="8" t="inlineStr"/>
      <c r="B585" s="8" t="inlineStr"/>
      <c r="C585" s="8" t="inlineStr">
        <is>
          <t>a) Vật liệu</t>
        </is>
      </c>
      <c r="E585" s="8" t="inlineStr"/>
      <c r="F585" s="8" t="inlineStr"/>
      <c r="G585" s="8" t="inlineStr"/>
      <c r="H585" s="8" t="inlineStr"/>
      <c r="I585" s="8" t="n">
        <v>5612661.21</v>
      </c>
    </row>
    <row r="586">
      <c r="A586" s="8" t="inlineStr"/>
      <c r="B586" s="8" t="inlineStr">
        <is>
          <t>A33.085212</t>
        </is>
      </c>
      <c r="C586" s="8" t="inlineStr">
        <is>
          <t>Bảo ôn ống đồng D41.3 dày 19mm</t>
        </is>
      </c>
      <c r="E586" s="8" t="inlineStr">
        <is>
          <t>m</t>
        </is>
      </c>
      <c r="F586" s="8" t="n">
        <v>100.5</v>
      </c>
      <c r="G586" s="8" t="n">
        <v>48100</v>
      </c>
      <c r="H586" s="8" t="n">
        <v>1</v>
      </c>
      <c r="I586" s="8" t="n">
        <v>4834050</v>
      </c>
    </row>
    <row r="587">
      <c r="A587" s="8" t="inlineStr"/>
      <c r="B587" s="8" t="inlineStr">
        <is>
          <t>A33.1143</t>
        </is>
      </c>
      <c r="C587" s="8" t="inlineStr">
        <is>
          <t>Băng cuốn bảo ôn</t>
        </is>
      </c>
      <c r="E587" s="8" t="inlineStr">
        <is>
          <t>cuộn</t>
        </is>
      </c>
      <c r="F587" s="8" t="n">
        <v>51.87</v>
      </c>
      <c r="G587" s="8" t="n">
        <v>15000</v>
      </c>
      <c r="H587" s="8" t="n">
        <v>1</v>
      </c>
      <c r="I587" s="8" t="n">
        <v>778050</v>
      </c>
    </row>
    <row r="588">
      <c r="A588" s="8" t="inlineStr"/>
      <c r="B588" s="8" t="inlineStr">
        <is>
          <t>Z999</t>
        </is>
      </c>
      <c r="C588" s="8" t="inlineStr">
        <is>
          <t>Vật liệu khác</t>
        </is>
      </c>
      <c r="E588" s="8" t="inlineStr">
        <is>
          <t>%</t>
        </is>
      </c>
      <c r="F588" s="8" t="n">
        <v>0.01</v>
      </c>
      <c r="G588" s="8" t="n">
        <v>5612100</v>
      </c>
      <c r="H588" s="8" t="inlineStr"/>
      <c r="I588" s="8" t="n">
        <v>561.21</v>
      </c>
    </row>
    <row r="589">
      <c r="A589" s="8" t="inlineStr"/>
      <c r="B589" s="8" t="inlineStr"/>
      <c r="C589" s="8" t="inlineStr">
        <is>
          <t>Cộng</t>
        </is>
      </c>
      <c r="E589" s="8" t="inlineStr"/>
      <c r="F589" s="8" t="inlineStr"/>
      <c r="G589" s="8" t="inlineStr"/>
      <c r="H589" s="8" t="inlineStr"/>
      <c r="I589" s="8" t="n">
        <v>5612661.21</v>
      </c>
    </row>
    <row r="590">
      <c r="A590" s="8" t="inlineStr"/>
      <c r="B590" s="8" t="inlineStr"/>
      <c r="C590" s="8" t="inlineStr">
        <is>
          <t>b) Nhân công</t>
        </is>
      </c>
      <c r="E590" s="8" t="inlineStr"/>
      <c r="F590" s="8" t="inlineStr"/>
      <c r="G590" s="8" t="inlineStr"/>
      <c r="H590" s="8" t="inlineStr"/>
      <c r="I590" s="8" t="n">
        <v>2971920</v>
      </c>
    </row>
    <row r="591">
      <c r="A591" s="8" t="inlineStr"/>
      <c r="B591" s="8" t="inlineStr">
        <is>
          <t>N3</t>
        </is>
      </c>
      <c r="C591" s="8" t="inlineStr">
        <is>
          <t>Nhân công nhóm 3</t>
        </is>
      </c>
      <c r="E591" s="8" t="inlineStr">
        <is>
          <t>công</t>
        </is>
      </c>
      <c r="F591" s="8" t="n">
        <v>6.96</v>
      </c>
      <c r="G591" s="8" t="n">
        <v>427000</v>
      </c>
      <c r="H591" s="8" t="n">
        <v>1</v>
      </c>
      <c r="I591" s="8" t="n">
        <v>2971920</v>
      </c>
    </row>
    <row r="592">
      <c r="A592" s="8" t="inlineStr"/>
      <c r="B592" s="8" t="inlineStr"/>
      <c r="C592" s="8" t="inlineStr">
        <is>
          <t>Cộng chi phí trực tiếp (VL+NC+M)</t>
        </is>
      </c>
      <c r="E592" s="8" t="inlineStr">
        <is>
          <t>T</t>
        </is>
      </c>
      <c r="F592" s="8" t="inlineStr"/>
      <c r="G592" s="8" t="inlineStr"/>
      <c r="H592" s="8" t="inlineStr"/>
      <c r="I592" s="8" t="n">
        <v>8584581.210000001</v>
      </c>
    </row>
    <row r="593">
      <c r="A593" s="8" t="inlineStr"/>
      <c r="B593" s="8" t="inlineStr"/>
      <c r="C593" s="8" t="inlineStr">
        <is>
          <t>CHI PHÍ GIÁN TIẾP</t>
        </is>
      </c>
      <c r="E593" s="8" t="inlineStr">
        <is>
          <t>GT</t>
        </is>
      </c>
      <c r="F593" s="8" t="inlineStr"/>
      <c r="G593" s="8" t="inlineStr"/>
      <c r="H593" s="8" t="inlineStr"/>
      <c r="I593" s="8" t="n">
        <v>841288.9585800001</v>
      </c>
    </row>
    <row r="594">
      <c r="A594" s="8" t="inlineStr"/>
      <c r="B594" s="8" t="inlineStr"/>
      <c r="C594" s="8" t="inlineStr">
        <is>
          <t>Chi phí chung (T x 7,3%)</t>
        </is>
      </c>
      <c r="E594" s="8" t="inlineStr">
        <is>
          <t>C</t>
        </is>
      </c>
      <c r="F594" s="8" t="inlineStr">
        <is>
          <t>7,3%</t>
        </is>
      </c>
      <c r="G594" s="8" t="inlineStr"/>
      <c r="H594" s="8" t="inlineStr"/>
      <c r="I594" s="8" t="n">
        <v>626674.42833</v>
      </c>
    </row>
    <row r="595">
      <c r="A595" s="8" t="inlineStr"/>
      <c r="B595" s="8" t="inlineStr"/>
      <c r="C595" s="8" t="inlineStr">
        <is>
          <t>Chi phí một số công việc không xác định được khối lượng từ thiết kế (T x 2,5%)</t>
        </is>
      </c>
      <c r="E595" s="8" t="inlineStr">
        <is>
          <t>TT</t>
        </is>
      </c>
      <c r="F595" s="8" t="inlineStr">
        <is>
          <t>2,5%</t>
        </is>
      </c>
      <c r="G595" s="8" t="inlineStr"/>
      <c r="H595" s="8" t="inlineStr"/>
      <c r="I595" s="8" t="n">
        <v>214614.53025</v>
      </c>
    </row>
    <row r="596">
      <c r="A596" s="8" t="inlineStr"/>
      <c r="B596" s="8" t="inlineStr"/>
      <c r="C596" s="8" t="inlineStr">
        <is>
          <t>THU NHẬP CHỊU THUẾ TÍNH TRƯỚC (T+GT) x 5,5%</t>
        </is>
      </c>
      <c r="E596" s="8" t="inlineStr">
        <is>
          <t>TL</t>
        </is>
      </c>
      <c r="F596" s="8" t="inlineStr">
        <is>
          <t>5,5%</t>
        </is>
      </c>
      <c r="G596" s="8" t="inlineStr"/>
      <c r="H596" s="8" t="inlineStr"/>
      <c r="I596" s="8" t="n">
        <v>518422.8592719001</v>
      </c>
    </row>
    <row r="597">
      <c r="A597" s="8" t="inlineStr"/>
      <c r="B597" s="8" t="inlineStr"/>
      <c r="C597" s="8" t="inlineStr">
        <is>
          <t>Chi phí xây dựng trước thuế (T + GT + TL)</t>
        </is>
      </c>
      <c r="E597" s="8" t="inlineStr">
        <is>
          <t>Gxdtt</t>
        </is>
      </c>
      <c r="F597" s="8" t="inlineStr"/>
      <c r="G597" s="8" t="inlineStr"/>
      <c r="H597" s="8" t="inlineStr"/>
      <c r="I597" s="8" t="n">
        <v>9944293.027851902</v>
      </c>
    </row>
    <row r="598">
      <c r="A598" s="8" t="inlineStr"/>
      <c r="B598" s="8" t="inlineStr"/>
      <c r="C598" s="8" t="inlineStr">
        <is>
          <t>THUẾ GIÁ TRỊ GIA TĂNG (Gxdtt x 10%)</t>
        </is>
      </c>
      <c r="E598" s="8" t="inlineStr">
        <is>
          <t>GTGT</t>
        </is>
      </c>
      <c r="F598" s="8" t="n">
        <v>0.1</v>
      </c>
      <c r="G598" s="8" t="inlineStr"/>
      <c r="H598" s="8" t="inlineStr"/>
      <c r="I598" s="8" t="n">
        <v>994429.3027851903</v>
      </c>
    </row>
    <row r="599">
      <c r="A599" s="8" t="inlineStr"/>
      <c r="B599" s="8" t="inlineStr"/>
      <c r="C599" s="8" t="inlineStr">
        <is>
          <t>Chi phí xây dựng sau thuế (Gxdtt + GTGT)</t>
        </is>
      </c>
      <c r="E599" s="8" t="inlineStr">
        <is>
          <t>Gxdst</t>
        </is>
      </c>
      <c r="F599" s="8" t="inlineStr"/>
      <c r="G599" s="8" t="inlineStr"/>
      <c r="H599" s="8" t="inlineStr"/>
      <c r="I599" s="8" t="n">
        <v>10938722.33063709</v>
      </c>
    </row>
    <row r="600">
      <c r="A600" s="8" t="inlineStr"/>
      <c r="B600" s="8" t="inlineStr"/>
      <c r="C600" s="8" t="inlineStr">
        <is>
          <t>Chi phí nhà tạm để ở và điều hành thi công (Gxdtt x 0,9% x (1+10%))</t>
        </is>
      </c>
      <c r="E600" s="8" t="inlineStr">
        <is>
          <t>LT</t>
        </is>
      </c>
      <c r="F600" s="8" t="n">
        <v>0.008999999999999999</v>
      </c>
      <c r="G600" s="8" t="inlineStr"/>
      <c r="H600" s="8" t="inlineStr"/>
      <c r="I600" s="8" t="n">
        <v>98448.50097573384</v>
      </c>
    </row>
    <row r="601">
      <c r="A601" s="8" t="inlineStr"/>
      <c r="B601" s="8" t="inlineStr"/>
      <c r="C601" s="8" t="inlineStr">
        <is>
          <t>TỔNG CỘNG (Gxdst + LT)</t>
        </is>
      </c>
      <c r="E601" s="8" t="inlineStr">
        <is>
          <t>Gxd</t>
        </is>
      </c>
      <c r="F601" s="8" t="inlineStr"/>
      <c r="G601" s="8" t="inlineStr"/>
      <c r="H601" s="8" t="inlineStr"/>
      <c r="I601" s="8" t="n">
        <v>11037170.83161283</v>
      </c>
    </row>
    <row r="602">
      <c r="A602" s="8" t="inlineStr"/>
      <c r="B602" s="8" t="inlineStr">
        <is>
          <t>*</t>
        </is>
      </c>
      <c r="C602" s="8" t="inlineStr">
        <is>
          <t>Ống nước ngưng</t>
        </is>
      </c>
      <c r="E602" s="8" t="inlineStr"/>
      <c r="F602" s="8" t="inlineStr"/>
      <c r="G602" s="8" t="inlineStr"/>
      <c r="H602" s="8" t="inlineStr"/>
      <c r="I602" s="8" t="inlineStr"/>
    </row>
    <row r="603">
      <c r="A603" s="8" t="n">
        <v>19</v>
      </c>
      <c r="B603" s="11" t="inlineStr">
        <is>
          <t>BB.41101</t>
        </is>
      </c>
      <c r="C603" s="8" t="inlineStr">
        <is>
          <t>Ống uPVC_D21</t>
        </is>
      </c>
      <c r="D603" s="12">
        <f>HYPERLINK("tt38://pl3/71", "👉 Phụ lục III - Trang 71 (Khớp nhóm BB.4110)")</f>
        <v/>
      </c>
      <c r="E603" s="8" t="inlineStr">
        <is>
          <t>100m</t>
        </is>
      </c>
      <c r="F603" s="8" t="n">
        <v>1</v>
      </c>
      <c r="G603" s="8" t="inlineStr"/>
      <c r="H603" s="8" t="inlineStr"/>
      <c r="I603" s="8" t="inlineStr"/>
    </row>
    <row r="604">
      <c r="A604" s="8" t="inlineStr"/>
      <c r="B604" s="8" t="inlineStr"/>
      <c r="C604" s="8" t="inlineStr">
        <is>
          <t>a) Vật liệu</t>
        </is>
      </c>
      <c r="E604" s="8" t="inlineStr"/>
      <c r="F604" s="8" t="inlineStr"/>
      <c r="G604" s="8" t="inlineStr"/>
      <c r="H604" s="8" t="inlineStr"/>
      <c r="I604" s="8" t="n">
        <v>851525.144</v>
      </c>
    </row>
    <row r="605">
      <c r="A605" s="8" t="inlineStr"/>
      <c r="B605" s="8" t="inlineStr">
        <is>
          <t>A33.0332</t>
        </is>
      </c>
      <c r="C605" s="8" t="inlineStr">
        <is>
          <t>Ống uPVC_D21</t>
        </is>
      </c>
      <c r="E605" s="8" t="inlineStr">
        <is>
          <t>m</t>
        </is>
      </c>
      <c r="F605" s="8" t="n">
        <v>101</v>
      </c>
      <c r="G605" s="8" t="n">
        <v>8400</v>
      </c>
      <c r="H605" s="8" t="n">
        <v>1</v>
      </c>
      <c r="I605" s="8" t="n">
        <v>848400</v>
      </c>
    </row>
    <row r="606">
      <c r="A606" s="8" t="inlineStr"/>
      <c r="B606" s="8" t="inlineStr">
        <is>
          <t>A33.0345</t>
        </is>
      </c>
      <c r="C606" s="8" t="inlineStr">
        <is>
          <t>Cồn rửa</t>
        </is>
      </c>
      <c r="E606" s="8" t="inlineStr">
        <is>
          <t>kg</t>
        </is>
      </c>
      <c r="F606" s="8" t="n">
        <v>0.11</v>
      </c>
      <c r="G606" s="8" t="n">
        <v>12000</v>
      </c>
      <c r="H606" s="8" t="n">
        <v>1</v>
      </c>
      <c r="I606" s="8" t="n">
        <v>1320</v>
      </c>
    </row>
    <row r="607">
      <c r="A607" s="8" t="inlineStr"/>
      <c r="B607" s="8" t="inlineStr">
        <is>
          <t>A33.0346</t>
        </is>
      </c>
      <c r="C607" s="8" t="inlineStr">
        <is>
          <t>Nhựa dán</t>
        </is>
      </c>
      <c r="E607" s="8" t="inlineStr">
        <is>
          <t>kg</t>
        </is>
      </c>
      <c r="F607" s="8" t="n">
        <v>0.02</v>
      </c>
      <c r="G607" s="8" t="n">
        <v>86000</v>
      </c>
      <c r="H607" s="8" t="n">
        <v>1</v>
      </c>
      <c r="I607" s="8" t="n">
        <v>1720</v>
      </c>
    </row>
    <row r="608">
      <c r="A608" s="8" t="inlineStr"/>
      <c r="B608" s="8" t="inlineStr">
        <is>
          <t>Z999</t>
        </is>
      </c>
      <c r="C608" s="8" t="inlineStr">
        <is>
          <t>Vật liệu khác</t>
        </is>
      </c>
      <c r="E608" s="8" t="inlineStr">
        <is>
          <t>%</t>
        </is>
      </c>
      <c r="F608" s="8" t="n">
        <v>0.01</v>
      </c>
      <c r="G608" s="8" t="n">
        <v>851440</v>
      </c>
      <c r="H608" s="8" t="inlineStr"/>
      <c r="I608" s="8" t="n">
        <v>85.14399999999999</v>
      </c>
    </row>
    <row r="609">
      <c r="A609" s="8" t="inlineStr"/>
      <c r="B609" s="8" t="inlineStr"/>
      <c r="C609" s="8" t="inlineStr">
        <is>
          <t>Cộng</t>
        </is>
      </c>
      <c r="E609" s="8" t="inlineStr"/>
      <c r="F609" s="8" t="inlineStr"/>
      <c r="G609" s="8" t="inlineStr"/>
      <c r="H609" s="8" t="inlineStr"/>
      <c r="I609" s="8" t="n">
        <v>851525.144</v>
      </c>
    </row>
    <row r="610">
      <c r="A610" s="8" t="inlineStr"/>
      <c r="B610" s="8" t="inlineStr"/>
      <c r="C610" s="8" t="inlineStr">
        <is>
          <t>b) Nhân công</t>
        </is>
      </c>
      <c r="E610" s="8" t="inlineStr"/>
      <c r="F610" s="8" t="inlineStr"/>
      <c r="G610" s="8" t="inlineStr"/>
      <c r="H610" s="8" t="inlineStr"/>
      <c r="I610" s="8" t="n">
        <v>1063230</v>
      </c>
    </row>
    <row r="611">
      <c r="A611" s="8" t="inlineStr"/>
      <c r="B611" s="8" t="inlineStr">
        <is>
          <t>N3</t>
        </is>
      </c>
      <c r="C611" s="8" t="inlineStr">
        <is>
          <t>Nhân công nhóm 3</t>
        </is>
      </c>
      <c r="E611" s="8" t="inlineStr">
        <is>
          <t>công</t>
        </is>
      </c>
      <c r="F611" s="8" t="n">
        <v>2.49</v>
      </c>
      <c r="G611" s="8" t="n">
        <v>427000</v>
      </c>
      <c r="H611" s="8" t="n">
        <v>1</v>
      </c>
      <c r="I611" s="8" t="n">
        <v>1063230</v>
      </c>
    </row>
    <row r="612">
      <c r="A612" s="8" t="inlineStr"/>
      <c r="B612" s="8" t="inlineStr"/>
      <c r="C612" s="8" t="inlineStr">
        <is>
          <t>Cộng chi phí trực tiếp (VL+NC+M)</t>
        </is>
      </c>
      <c r="E612" s="8" t="inlineStr">
        <is>
          <t>T</t>
        </is>
      </c>
      <c r="F612" s="8" t="inlineStr"/>
      <c r="G612" s="8" t="inlineStr"/>
      <c r="H612" s="8" t="inlineStr"/>
      <c r="I612" s="8" t="n">
        <v>1914755.144</v>
      </c>
    </row>
    <row r="613">
      <c r="A613" s="8" t="inlineStr"/>
      <c r="B613" s="8" t="inlineStr"/>
      <c r="C613" s="8" t="inlineStr">
        <is>
          <t>CHI PHÍ GIÁN TIẾP</t>
        </is>
      </c>
      <c r="E613" s="8" t="inlineStr">
        <is>
          <t>GT</t>
        </is>
      </c>
      <c r="F613" s="8" t="inlineStr"/>
      <c r="G613" s="8" t="inlineStr"/>
      <c r="H613" s="8" t="inlineStr"/>
      <c r="I613" s="8" t="n">
        <v>187646.004112</v>
      </c>
    </row>
    <row r="614">
      <c r="A614" s="8" t="inlineStr"/>
      <c r="B614" s="8" t="inlineStr"/>
      <c r="C614" s="8" t="inlineStr">
        <is>
          <t>Chi phí chung (T x 7,3%)</t>
        </is>
      </c>
      <c r="E614" s="8" t="inlineStr">
        <is>
          <t>C</t>
        </is>
      </c>
      <c r="F614" s="8" t="inlineStr">
        <is>
          <t>7,3%</t>
        </is>
      </c>
      <c r="G614" s="8" t="inlineStr"/>
      <c r="H614" s="8" t="inlineStr"/>
      <c r="I614" s="8" t="n">
        <v>139777.125512</v>
      </c>
    </row>
    <row r="615">
      <c r="A615" s="8" t="inlineStr"/>
      <c r="B615" s="8" t="inlineStr"/>
      <c r="C615" s="8" t="inlineStr">
        <is>
          <t>Chi phí một số công việc không xác định được khối lượng từ thiết kế (T x 2,5%)</t>
        </is>
      </c>
      <c r="E615" s="8" t="inlineStr">
        <is>
          <t>TT</t>
        </is>
      </c>
      <c r="F615" s="8" t="inlineStr">
        <is>
          <t>2,5%</t>
        </is>
      </c>
      <c r="G615" s="8" t="inlineStr"/>
      <c r="H615" s="8" t="inlineStr"/>
      <c r="I615" s="8" t="n">
        <v>47868.8786</v>
      </c>
    </row>
    <row r="616">
      <c r="A616" s="8" t="inlineStr"/>
      <c r="B616" s="8" t="inlineStr"/>
      <c r="C616" s="8" t="inlineStr">
        <is>
          <t>THU NHẬP CHỊU THUẾ TÍNH TRƯỚC (T+GT) x 5,5%</t>
        </is>
      </c>
      <c r="E616" s="8" t="inlineStr">
        <is>
          <t>TL</t>
        </is>
      </c>
      <c r="F616" s="8" t="inlineStr">
        <is>
          <t>5,5%</t>
        </is>
      </c>
      <c r="G616" s="8" t="inlineStr"/>
      <c r="H616" s="8" t="inlineStr"/>
      <c r="I616" s="8" t="n">
        <v>115632.06314616</v>
      </c>
    </row>
    <row r="617">
      <c r="A617" s="8" t="inlineStr"/>
      <c r="B617" s="8" t="inlineStr"/>
      <c r="C617" s="8" t="inlineStr">
        <is>
          <t>Chi phí xây dựng trước thuế (T + GT + TL)</t>
        </is>
      </c>
      <c r="E617" s="8" t="inlineStr">
        <is>
          <t>Gxdtt</t>
        </is>
      </c>
      <c r="F617" s="8" t="inlineStr"/>
      <c r="G617" s="8" t="inlineStr"/>
      <c r="H617" s="8" t="inlineStr"/>
      <c r="I617" s="8" t="n">
        <v>2218033.21125816</v>
      </c>
    </row>
    <row r="618">
      <c r="A618" s="8" t="inlineStr"/>
      <c r="B618" s="8" t="inlineStr"/>
      <c r="C618" s="8" t="inlineStr">
        <is>
          <t>THUẾ GIÁ TRỊ GIA TĂNG (Gxdtt x 10%)</t>
        </is>
      </c>
      <c r="E618" s="8" t="inlineStr">
        <is>
          <t>GTGT</t>
        </is>
      </c>
      <c r="F618" s="8" t="n">
        <v>0.1</v>
      </c>
      <c r="G618" s="8" t="inlineStr"/>
      <c r="H618" s="8" t="inlineStr"/>
      <c r="I618" s="8" t="n">
        <v>221803.321125816</v>
      </c>
    </row>
    <row r="619">
      <c r="A619" s="8" t="inlineStr"/>
      <c r="B619" s="8" t="inlineStr"/>
      <c r="C619" s="8" t="inlineStr">
        <is>
          <t>Chi phí xây dựng sau thuế (Gxdtt + GTGT)</t>
        </is>
      </c>
      <c r="E619" s="8" t="inlineStr">
        <is>
          <t>Gxdst</t>
        </is>
      </c>
      <c r="F619" s="8" t="inlineStr"/>
      <c r="G619" s="8" t="inlineStr"/>
      <c r="H619" s="8" t="inlineStr"/>
      <c r="I619" s="8" t="n">
        <v>2439836.532383976</v>
      </c>
    </row>
    <row r="620">
      <c r="A620" s="8" t="inlineStr"/>
      <c r="B620" s="8" t="inlineStr"/>
      <c r="C620" s="8" t="inlineStr">
        <is>
          <t>Chi phí nhà tạm để ở và điều hành thi công (Gxdtt x 0,9% x (1+10%))</t>
        </is>
      </c>
      <c r="E620" s="8" t="inlineStr">
        <is>
          <t>LT</t>
        </is>
      </c>
      <c r="F620" s="8" t="n">
        <v>0.008999999999999999</v>
      </c>
      <c r="G620" s="8" t="inlineStr"/>
      <c r="H620" s="8" t="inlineStr"/>
      <c r="I620" s="8" t="n">
        <v>21958.52879145578</v>
      </c>
    </row>
    <row r="621">
      <c r="A621" s="8" t="inlineStr"/>
      <c r="B621" s="8" t="inlineStr"/>
      <c r="C621" s="8" t="inlineStr">
        <is>
          <t>TỔNG CỘNG (Gxdst + LT)</t>
        </is>
      </c>
      <c r="E621" s="8" t="inlineStr">
        <is>
          <t>Gxd</t>
        </is>
      </c>
      <c r="F621" s="8" t="inlineStr"/>
      <c r="G621" s="8" t="inlineStr"/>
      <c r="H621" s="8" t="inlineStr"/>
      <c r="I621" s="8" t="n">
        <v>2461795.061175432</v>
      </c>
    </row>
    <row r="622">
      <c r="A622" s="8" t="n">
        <v>20</v>
      </c>
      <c r="B622" s="11" t="inlineStr">
        <is>
          <t>BB.41102</t>
        </is>
      </c>
      <c r="C622" s="8" t="inlineStr">
        <is>
          <t>Ống uPVC_D27</t>
        </is>
      </c>
      <c r="D622" s="12">
        <f>HYPERLINK("tt38://pl3/71", "👉 Phụ lục III - Trang 71 (Khớp nhóm BB.4110)")</f>
        <v/>
      </c>
      <c r="E622" s="8" t="inlineStr">
        <is>
          <t>100m</t>
        </is>
      </c>
      <c r="F622" s="8" t="n">
        <v>1</v>
      </c>
      <c r="G622" s="8" t="inlineStr"/>
      <c r="H622" s="8" t="inlineStr"/>
      <c r="I622" s="8" t="inlineStr"/>
    </row>
    <row r="623">
      <c r="A623" s="8" t="inlineStr"/>
      <c r="B623" s="8" t="inlineStr"/>
      <c r="C623" s="8" t="inlineStr">
        <is>
          <t>a) Vật liệu</t>
        </is>
      </c>
      <c r="E623" s="8" t="inlineStr"/>
      <c r="F623" s="8" t="inlineStr"/>
      <c r="G623" s="8" t="inlineStr"/>
      <c r="H623" s="8" t="inlineStr"/>
      <c r="I623" s="8" t="n">
        <v>1165756.564</v>
      </c>
    </row>
    <row r="624">
      <c r="A624" s="8" t="inlineStr"/>
      <c r="B624" s="8" t="inlineStr">
        <is>
          <t>A33.0333</t>
        </is>
      </c>
      <c r="C624" s="8" t="inlineStr">
        <is>
          <t>Ống uPVC_D27</t>
        </is>
      </c>
      <c r="E624" s="8" t="inlineStr">
        <is>
          <t>m</t>
        </is>
      </c>
      <c r="F624" s="8" t="n">
        <v>101</v>
      </c>
      <c r="G624" s="8" t="n">
        <v>11500</v>
      </c>
      <c r="H624" s="8" t="n">
        <v>1</v>
      </c>
      <c r="I624" s="8" t="n">
        <v>1161500</v>
      </c>
    </row>
    <row r="625">
      <c r="A625" s="8" t="inlineStr"/>
      <c r="B625" s="8" t="inlineStr">
        <is>
          <t>A33.0345</t>
        </is>
      </c>
      <c r="C625" s="8" t="inlineStr">
        <is>
          <t>Cồn rửa</t>
        </is>
      </c>
      <c r="E625" s="8" t="inlineStr">
        <is>
          <t>kg</t>
        </is>
      </c>
      <c r="F625" s="8" t="n">
        <v>0.13</v>
      </c>
      <c r="G625" s="8" t="n">
        <v>12000</v>
      </c>
      <c r="H625" s="8" t="n">
        <v>1</v>
      </c>
      <c r="I625" s="8" t="n">
        <v>1560</v>
      </c>
    </row>
    <row r="626">
      <c r="A626" s="8" t="inlineStr"/>
      <c r="B626" s="8" t="inlineStr">
        <is>
          <t>A33.0346</t>
        </is>
      </c>
      <c r="C626" s="8" t="inlineStr">
        <is>
          <t>Nhựa dán</t>
        </is>
      </c>
      <c r="E626" s="8" t="inlineStr">
        <is>
          <t>kg</t>
        </is>
      </c>
      <c r="F626" s="8" t="n">
        <v>0.03</v>
      </c>
      <c r="G626" s="8" t="n">
        <v>86000</v>
      </c>
      <c r="H626" s="8" t="n">
        <v>1</v>
      </c>
      <c r="I626" s="8" t="n">
        <v>2580</v>
      </c>
    </row>
    <row r="627">
      <c r="A627" s="8" t="inlineStr"/>
      <c r="B627" s="8" t="inlineStr">
        <is>
          <t>Z999</t>
        </is>
      </c>
      <c r="C627" s="8" t="inlineStr">
        <is>
          <t>Vật liệu khác</t>
        </is>
      </c>
      <c r="E627" s="8" t="inlineStr">
        <is>
          <t>%</t>
        </is>
      </c>
      <c r="F627" s="8" t="n">
        <v>0.01</v>
      </c>
      <c r="G627" s="8" t="n">
        <v>1165640</v>
      </c>
      <c r="H627" s="8" t="inlineStr"/>
      <c r="I627" s="8" t="n">
        <v>116.564</v>
      </c>
    </row>
    <row r="628">
      <c r="A628" s="8" t="inlineStr"/>
      <c r="B628" s="8" t="inlineStr"/>
      <c r="C628" s="8" t="inlineStr">
        <is>
          <t>Cộng</t>
        </is>
      </c>
      <c r="E628" s="8" t="inlineStr"/>
      <c r="F628" s="8" t="inlineStr"/>
      <c r="G628" s="8" t="inlineStr"/>
      <c r="H628" s="8" t="inlineStr"/>
      <c r="I628" s="8" t="n">
        <v>1165756.564</v>
      </c>
    </row>
    <row r="629">
      <c r="A629" s="8" t="inlineStr"/>
      <c r="B629" s="8" t="inlineStr"/>
      <c r="C629" s="8" t="inlineStr">
        <is>
          <t>b) Nhân công</t>
        </is>
      </c>
      <c r="E629" s="8" t="inlineStr"/>
      <c r="F629" s="8" t="inlineStr"/>
      <c r="G629" s="8" t="inlineStr"/>
      <c r="H629" s="8" t="inlineStr"/>
      <c r="I629" s="8" t="n">
        <v>1246840</v>
      </c>
    </row>
    <row r="630">
      <c r="A630" s="8" t="inlineStr"/>
      <c r="B630" s="8" t="inlineStr">
        <is>
          <t>N3</t>
        </is>
      </c>
      <c r="C630" s="8" t="inlineStr">
        <is>
          <t>Nhân công nhóm 3</t>
        </is>
      </c>
      <c r="E630" s="8" t="inlineStr">
        <is>
          <t>công</t>
        </is>
      </c>
      <c r="F630" s="8" t="n">
        <v>2.92</v>
      </c>
      <c r="G630" s="8" t="n">
        <v>427000</v>
      </c>
      <c r="H630" s="8" t="n">
        <v>1</v>
      </c>
      <c r="I630" s="8" t="n">
        <v>1246840</v>
      </c>
    </row>
    <row r="631">
      <c r="A631" s="8" t="inlineStr"/>
      <c r="B631" s="8" t="inlineStr"/>
      <c r="C631" s="8" t="inlineStr">
        <is>
          <t>Cộng chi phí trực tiếp (VL+NC+M)</t>
        </is>
      </c>
      <c r="E631" s="8" t="inlineStr">
        <is>
          <t>T</t>
        </is>
      </c>
      <c r="F631" s="8" t="inlineStr"/>
      <c r="G631" s="8" t="inlineStr"/>
      <c r="H631" s="8" t="inlineStr"/>
      <c r="I631" s="8" t="n">
        <v>2412596.564</v>
      </c>
    </row>
    <row r="632">
      <c r="A632" s="8" t="inlineStr"/>
      <c r="B632" s="8" t="inlineStr"/>
      <c r="C632" s="8" t="inlineStr">
        <is>
          <t>CHI PHÍ GIÁN TIẾP</t>
        </is>
      </c>
      <c r="E632" s="8" t="inlineStr">
        <is>
          <t>GT</t>
        </is>
      </c>
      <c r="F632" s="8" t="inlineStr"/>
      <c r="G632" s="8" t="inlineStr"/>
      <c r="H632" s="8" t="inlineStr"/>
      <c r="I632" s="8" t="n">
        <v>236434.463272</v>
      </c>
    </row>
    <row r="633">
      <c r="A633" s="8" t="inlineStr"/>
      <c r="B633" s="8" t="inlineStr"/>
      <c r="C633" s="8" t="inlineStr">
        <is>
          <t>Chi phí chung (T x 7,3%)</t>
        </is>
      </c>
      <c r="E633" s="8" t="inlineStr">
        <is>
          <t>C</t>
        </is>
      </c>
      <c r="F633" s="8" t="inlineStr">
        <is>
          <t>7,3%</t>
        </is>
      </c>
      <c r="G633" s="8" t="inlineStr"/>
      <c r="H633" s="8" t="inlineStr"/>
      <c r="I633" s="8" t="n">
        <v>176119.549172</v>
      </c>
    </row>
    <row r="634">
      <c r="A634" s="8" t="inlineStr"/>
      <c r="B634" s="8" t="inlineStr"/>
      <c r="C634" s="8" t="inlineStr">
        <is>
          <t>Chi phí một số công việc không xác định được khối lượng từ thiết kế (T x 2,5%)</t>
        </is>
      </c>
      <c r="E634" s="8" t="inlineStr">
        <is>
          <t>TT</t>
        </is>
      </c>
      <c r="F634" s="8" t="inlineStr">
        <is>
          <t>2,5%</t>
        </is>
      </c>
      <c r="G634" s="8" t="inlineStr"/>
      <c r="H634" s="8" t="inlineStr"/>
      <c r="I634" s="8" t="n">
        <v>60314.91410000001</v>
      </c>
    </row>
    <row r="635">
      <c r="A635" s="8" t="inlineStr"/>
      <c r="B635" s="8" t="inlineStr"/>
      <c r="C635" s="8" t="inlineStr">
        <is>
          <t>THU NHẬP CHỊU THUẾ TÍNH TRƯỚC (T+GT) x 5,5%</t>
        </is>
      </c>
      <c r="E635" s="8" t="inlineStr">
        <is>
          <t>TL</t>
        </is>
      </c>
      <c r="F635" s="8" t="inlineStr">
        <is>
          <t>5,5%</t>
        </is>
      </c>
      <c r="G635" s="8" t="inlineStr"/>
      <c r="H635" s="8" t="inlineStr"/>
      <c r="I635" s="8" t="n">
        <v>145696.70649996</v>
      </c>
    </row>
    <row r="636">
      <c r="A636" s="8" t="inlineStr"/>
      <c r="B636" s="8" t="inlineStr"/>
      <c r="C636" s="8" t="inlineStr">
        <is>
          <t>Chi phí xây dựng trước thuế (T + GT + TL)</t>
        </is>
      </c>
      <c r="E636" s="8" t="inlineStr">
        <is>
          <t>Gxdtt</t>
        </is>
      </c>
      <c r="F636" s="8" t="inlineStr"/>
      <c r="G636" s="8" t="inlineStr"/>
      <c r="H636" s="8" t="inlineStr"/>
      <c r="I636" s="8" t="n">
        <v>2794727.73377196</v>
      </c>
    </row>
    <row r="637">
      <c r="A637" s="8" t="inlineStr"/>
      <c r="B637" s="8" t="inlineStr"/>
      <c r="C637" s="8" t="inlineStr">
        <is>
          <t>THUẾ GIÁ TRỊ GIA TĂNG (Gxdtt x 10%)</t>
        </is>
      </c>
      <c r="E637" s="8" t="inlineStr">
        <is>
          <t>GTGT</t>
        </is>
      </c>
      <c r="F637" s="8" t="n">
        <v>0.1</v>
      </c>
      <c r="G637" s="8" t="inlineStr"/>
      <c r="H637" s="8" t="inlineStr"/>
      <c r="I637" s="8" t="n">
        <v>279472.773377196</v>
      </c>
    </row>
    <row r="638">
      <c r="A638" s="8" t="inlineStr"/>
      <c r="B638" s="8" t="inlineStr"/>
      <c r="C638" s="8" t="inlineStr">
        <is>
          <t>Chi phí xây dựng sau thuế (Gxdtt + GTGT)</t>
        </is>
      </c>
      <c r="E638" s="8" t="inlineStr">
        <is>
          <t>Gxdst</t>
        </is>
      </c>
      <c r="F638" s="8" t="inlineStr"/>
      <c r="G638" s="8" t="inlineStr"/>
      <c r="H638" s="8" t="inlineStr"/>
      <c r="I638" s="8" t="n">
        <v>3074200.507149156</v>
      </c>
    </row>
    <row r="639">
      <c r="A639" s="8" t="inlineStr"/>
      <c r="B639" s="8" t="inlineStr"/>
      <c r="C639" s="8" t="inlineStr">
        <is>
          <t>Chi phí nhà tạm để ở và điều hành thi công (Gxdtt x 0,9% x (1+10%))</t>
        </is>
      </c>
      <c r="E639" s="8" t="inlineStr">
        <is>
          <t>LT</t>
        </is>
      </c>
      <c r="F639" s="8" t="n">
        <v>0.008999999999999999</v>
      </c>
      <c r="G639" s="8" t="inlineStr"/>
      <c r="H639" s="8" t="inlineStr"/>
      <c r="I639" s="8" t="n">
        <v>27667.80456434241</v>
      </c>
    </row>
    <row r="640">
      <c r="A640" s="8" t="inlineStr"/>
      <c r="B640" s="8" t="inlineStr"/>
      <c r="C640" s="8" t="inlineStr">
        <is>
          <t>TỔNG CỘNG (Gxdst + LT)</t>
        </is>
      </c>
      <c r="E640" s="8" t="inlineStr">
        <is>
          <t>Gxd</t>
        </is>
      </c>
      <c r="F640" s="8" t="inlineStr"/>
      <c r="G640" s="8" t="inlineStr"/>
      <c r="H640" s="8" t="inlineStr"/>
      <c r="I640" s="8" t="n">
        <v>3101868.311713499</v>
      </c>
    </row>
    <row r="641">
      <c r="A641" s="8" t="n">
        <v>21</v>
      </c>
      <c r="B641" s="11" t="inlineStr">
        <is>
          <t>BB.41103</t>
        </is>
      </c>
      <c r="C641" s="8" t="inlineStr">
        <is>
          <t>Ống uPVC_D34</t>
        </is>
      </c>
      <c r="D641" s="12">
        <f>HYPERLINK("tt38://pl3/71", "👉 Phụ lục III - Trang 71 (Khớp nhóm BB.4110)")</f>
        <v/>
      </c>
      <c r="E641" s="8" t="inlineStr">
        <is>
          <t>100m</t>
        </is>
      </c>
      <c r="F641" s="8" t="n">
        <v>1</v>
      </c>
      <c r="G641" s="8" t="inlineStr"/>
      <c r="H641" s="8" t="inlineStr"/>
      <c r="I641" s="8" t="inlineStr"/>
    </row>
    <row r="642">
      <c r="A642" s="8" t="inlineStr"/>
      <c r="B642" s="8" t="inlineStr"/>
      <c r="C642" s="8" t="inlineStr">
        <is>
          <t>a) Vật liệu</t>
        </is>
      </c>
      <c r="E642" s="8" t="inlineStr"/>
      <c r="F642" s="8" t="inlineStr"/>
      <c r="G642" s="8" t="inlineStr"/>
      <c r="H642" s="8" t="inlineStr"/>
      <c r="I642" s="8" t="n">
        <v>1469542.9396</v>
      </c>
    </row>
    <row r="643">
      <c r="A643" s="8" t="inlineStr"/>
      <c r="B643" s="8" t="inlineStr">
        <is>
          <t>A33.0334</t>
        </is>
      </c>
      <c r="C643" s="8" t="inlineStr">
        <is>
          <t>Ống uPVC_D34</t>
        </is>
      </c>
      <c r="E643" s="8" t="inlineStr">
        <is>
          <t>m</t>
        </is>
      </c>
      <c r="F643" s="8" t="n">
        <v>101</v>
      </c>
      <c r="G643" s="8" t="n">
        <v>14500</v>
      </c>
      <c r="H643" s="8" t="n">
        <v>1</v>
      </c>
      <c r="I643" s="8" t="n">
        <v>1464500</v>
      </c>
    </row>
    <row r="644">
      <c r="A644" s="8" t="inlineStr"/>
      <c r="B644" s="8" t="inlineStr">
        <is>
          <t>A33.0345</t>
        </is>
      </c>
      <c r="C644" s="8" t="inlineStr">
        <is>
          <t>Cồn rửa</t>
        </is>
      </c>
      <c r="E644" s="8" t="inlineStr">
        <is>
          <t>kg</t>
        </is>
      </c>
      <c r="F644" s="8" t="n">
        <v>0.15</v>
      </c>
      <c r="G644" s="8" t="n">
        <v>12000</v>
      </c>
      <c r="H644" s="8" t="n">
        <v>1</v>
      </c>
      <c r="I644" s="8" t="n">
        <v>1800</v>
      </c>
    </row>
    <row r="645">
      <c r="A645" s="8" t="inlineStr"/>
      <c r="B645" s="8" t="inlineStr">
        <is>
          <t>A33.0346</t>
        </is>
      </c>
      <c r="C645" s="8" t="inlineStr">
        <is>
          <t>Nhựa dán</t>
        </is>
      </c>
      <c r="E645" s="8" t="inlineStr">
        <is>
          <t>kg</t>
        </is>
      </c>
      <c r="F645" s="8" t="n">
        <v>0.036</v>
      </c>
      <c r="G645" s="8" t="n">
        <v>86000</v>
      </c>
      <c r="H645" s="8" t="n">
        <v>1</v>
      </c>
      <c r="I645" s="8" t="n">
        <v>3096</v>
      </c>
    </row>
    <row r="646">
      <c r="A646" s="8" t="inlineStr"/>
      <c r="B646" s="8" t="inlineStr">
        <is>
          <t>Z999</t>
        </is>
      </c>
      <c r="C646" s="8" t="inlineStr">
        <is>
          <t>Vật liệu khác</t>
        </is>
      </c>
      <c r="E646" s="8" t="inlineStr">
        <is>
          <t>%</t>
        </is>
      </c>
      <c r="F646" s="8" t="n">
        <v>0.01</v>
      </c>
      <c r="G646" s="8" t="n">
        <v>1469396</v>
      </c>
      <c r="H646" s="8" t="inlineStr"/>
      <c r="I646" s="8" t="n">
        <v>146.9396</v>
      </c>
    </row>
    <row r="647">
      <c r="A647" s="8" t="inlineStr"/>
      <c r="B647" s="8" t="inlineStr"/>
      <c r="C647" s="8" t="inlineStr">
        <is>
          <t>Cộng</t>
        </is>
      </c>
      <c r="E647" s="8" t="inlineStr"/>
      <c r="F647" s="8" t="inlineStr"/>
      <c r="G647" s="8" t="inlineStr"/>
      <c r="H647" s="8" t="inlineStr"/>
      <c r="I647" s="8" t="n">
        <v>1469542.9396</v>
      </c>
    </row>
    <row r="648">
      <c r="A648" s="8" t="inlineStr"/>
      <c r="B648" s="8" t="inlineStr"/>
      <c r="C648" s="8" t="inlineStr">
        <is>
          <t>b) Nhân công</t>
        </is>
      </c>
      <c r="E648" s="8" t="inlineStr"/>
      <c r="F648" s="8" t="inlineStr"/>
      <c r="G648" s="8" t="inlineStr"/>
      <c r="H648" s="8" t="inlineStr"/>
      <c r="I648" s="8" t="n">
        <v>1498770</v>
      </c>
    </row>
    <row r="649">
      <c r="A649" s="8" t="inlineStr"/>
      <c r="B649" s="8" t="inlineStr">
        <is>
          <t>N3</t>
        </is>
      </c>
      <c r="C649" s="8" t="inlineStr">
        <is>
          <t>Nhân công nhóm 3</t>
        </is>
      </c>
      <c r="E649" s="8" t="inlineStr">
        <is>
          <t>công</t>
        </is>
      </c>
      <c r="F649" s="8" t="n">
        <v>3.51</v>
      </c>
      <c r="G649" s="8" t="n">
        <v>427000</v>
      </c>
      <c r="H649" s="8" t="n">
        <v>1</v>
      </c>
      <c r="I649" s="8" t="n">
        <v>1498770</v>
      </c>
    </row>
    <row r="650">
      <c r="A650" s="8" t="inlineStr"/>
      <c r="B650" s="8" t="inlineStr"/>
      <c r="C650" s="8" t="inlineStr">
        <is>
          <t>Cộng chi phí trực tiếp (VL+NC+M)</t>
        </is>
      </c>
      <c r="E650" s="8" t="inlineStr">
        <is>
          <t>T</t>
        </is>
      </c>
      <c r="F650" s="8" t="inlineStr"/>
      <c r="G650" s="8" t="inlineStr"/>
      <c r="H650" s="8" t="inlineStr"/>
      <c r="I650" s="8" t="n">
        <v>2968312.9396</v>
      </c>
    </row>
    <row r="651">
      <c r="A651" s="8" t="inlineStr"/>
      <c r="B651" s="8" t="inlineStr"/>
      <c r="C651" s="8" t="inlineStr">
        <is>
          <t>CHI PHÍ GIÁN TIẾP</t>
        </is>
      </c>
      <c r="E651" s="8" t="inlineStr">
        <is>
          <t>GT</t>
        </is>
      </c>
      <c r="F651" s="8" t="inlineStr"/>
      <c r="G651" s="8" t="inlineStr"/>
      <c r="H651" s="8" t="inlineStr"/>
      <c r="I651" s="8" t="n">
        <v>290894.6680808</v>
      </c>
    </row>
    <row r="652">
      <c r="A652" s="8" t="inlineStr"/>
      <c r="B652" s="8" t="inlineStr"/>
      <c r="C652" s="8" t="inlineStr">
        <is>
          <t>Chi phí chung (T x 7,3%)</t>
        </is>
      </c>
      <c r="E652" s="8" t="inlineStr">
        <is>
          <t>C</t>
        </is>
      </c>
      <c r="F652" s="8" t="inlineStr">
        <is>
          <t>7,3%</t>
        </is>
      </c>
      <c r="G652" s="8" t="inlineStr"/>
      <c r="H652" s="8" t="inlineStr"/>
      <c r="I652" s="8" t="n">
        <v>216686.8445908</v>
      </c>
    </row>
    <row r="653">
      <c r="A653" s="8" t="inlineStr"/>
      <c r="B653" s="8" t="inlineStr"/>
      <c r="C653" s="8" t="inlineStr">
        <is>
          <t>Chi phí một số công việc không xác định được khối lượng từ thiết kế (T x 2,5%)</t>
        </is>
      </c>
      <c r="E653" s="8" t="inlineStr">
        <is>
          <t>TT</t>
        </is>
      </c>
      <c r="F653" s="8" t="inlineStr">
        <is>
          <t>2,5%</t>
        </is>
      </c>
      <c r="G653" s="8" t="inlineStr"/>
      <c r="H653" s="8" t="inlineStr"/>
      <c r="I653" s="8" t="n">
        <v>74207.82349000001</v>
      </c>
    </row>
    <row r="654">
      <c r="A654" s="8" t="inlineStr"/>
      <c r="B654" s="8" t="inlineStr"/>
      <c r="C654" s="8" t="inlineStr">
        <is>
          <t>THU NHẬP CHỊU THUẾ TÍNH TRƯỚC (T+GT) x 5,5%</t>
        </is>
      </c>
      <c r="E654" s="8" t="inlineStr">
        <is>
          <t>TL</t>
        </is>
      </c>
      <c r="F654" s="8" t="inlineStr">
        <is>
          <t>5,5%</t>
        </is>
      </c>
      <c r="G654" s="8" t="inlineStr"/>
      <c r="H654" s="8" t="inlineStr"/>
      <c r="I654" s="8" t="n">
        <v>179256.418422444</v>
      </c>
    </row>
    <row r="655">
      <c r="A655" s="8" t="inlineStr"/>
      <c r="B655" s="8" t="inlineStr"/>
      <c r="C655" s="8" t="inlineStr">
        <is>
          <t>Chi phí xây dựng trước thuế (T + GT + TL)</t>
        </is>
      </c>
      <c r="E655" s="8" t="inlineStr">
        <is>
          <t>Gxdtt</t>
        </is>
      </c>
      <c r="F655" s="8" t="inlineStr"/>
      <c r="G655" s="8" t="inlineStr"/>
      <c r="H655" s="8" t="inlineStr"/>
      <c r="I655" s="8" t="n">
        <v>3438464.026103244</v>
      </c>
    </row>
    <row r="656">
      <c r="A656" s="8" t="inlineStr"/>
      <c r="B656" s="8" t="inlineStr"/>
      <c r="C656" s="8" t="inlineStr">
        <is>
          <t>THUẾ GIÁ TRỊ GIA TĂNG (Gxdtt x 10%)</t>
        </is>
      </c>
      <c r="E656" s="8" t="inlineStr">
        <is>
          <t>GTGT</t>
        </is>
      </c>
      <c r="F656" s="8" t="n">
        <v>0.1</v>
      </c>
      <c r="G656" s="8" t="inlineStr"/>
      <c r="H656" s="8" t="inlineStr"/>
      <c r="I656" s="8" t="n">
        <v>343846.4026103244</v>
      </c>
    </row>
    <row r="657">
      <c r="A657" s="8" t="inlineStr"/>
      <c r="B657" s="8" t="inlineStr"/>
      <c r="C657" s="8" t="inlineStr">
        <is>
          <t>Chi phí xây dựng sau thuế (Gxdtt + GTGT)</t>
        </is>
      </c>
      <c r="E657" s="8" t="inlineStr">
        <is>
          <t>Gxdst</t>
        </is>
      </c>
      <c r="F657" s="8" t="inlineStr"/>
      <c r="G657" s="8" t="inlineStr"/>
      <c r="H657" s="8" t="inlineStr"/>
      <c r="I657" s="8" t="n">
        <v>3782310.428713568</v>
      </c>
    </row>
    <row r="658">
      <c r="A658" s="8" t="inlineStr"/>
      <c r="B658" s="8" t="inlineStr"/>
      <c r="C658" s="8" t="inlineStr">
        <is>
          <t>Chi phí nhà tạm để ở và điều hành thi công (Gxdtt x 0,9% x (1+10%))</t>
        </is>
      </c>
      <c r="E658" s="8" t="inlineStr">
        <is>
          <t>LT</t>
        </is>
      </c>
      <c r="F658" s="8" t="n">
        <v>0.008999999999999999</v>
      </c>
      <c r="G658" s="8" t="inlineStr"/>
      <c r="H658" s="8" t="inlineStr"/>
      <c r="I658" s="8" t="n">
        <v>34040.79385842212</v>
      </c>
    </row>
    <row r="659">
      <c r="A659" s="8" t="inlineStr"/>
      <c r="B659" s="8" t="inlineStr"/>
      <c r="C659" s="8" t="inlineStr">
        <is>
          <t>TỔNG CỘNG (Gxdst + LT)</t>
        </is>
      </c>
      <c r="E659" s="8" t="inlineStr">
        <is>
          <t>Gxd</t>
        </is>
      </c>
      <c r="F659" s="8" t="inlineStr"/>
      <c r="G659" s="8" t="inlineStr"/>
      <c r="H659" s="8" t="inlineStr"/>
      <c r="I659" s="8" t="n">
        <v>3816351.22257199</v>
      </c>
    </row>
    <row r="660">
      <c r="A660" s="8" t="n">
        <v>22</v>
      </c>
      <c r="B660" s="11" t="inlineStr">
        <is>
          <t>BB.41104</t>
        </is>
      </c>
      <c r="C660" s="8" t="inlineStr">
        <is>
          <t>Ống uPVC_D42</t>
        </is>
      </c>
      <c r="D660" s="12">
        <f>HYPERLINK("tt38://pl3/71", "👉 Phụ lục III - Trang 71 (Khớp nhóm BB.4110)")</f>
        <v/>
      </c>
      <c r="E660" s="8" t="inlineStr">
        <is>
          <t>100m</t>
        </is>
      </c>
      <c r="F660" s="8" t="n">
        <v>1</v>
      </c>
      <c r="G660" s="8" t="inlineStr"/>
      <c r="H660" s="8" t="inlineStr"/>
      <c r="I660" s="8" t="inlineStr"/>
    </row>
    <row r="661">
      <c r="A661" s="8" t="inlineStr"/>
      <c r="B661" s="8" t="inlineStr"/>
      <c r="C661" s="8" t="inlineStr">
        <is>
          <t>a) Vật liệu</t>
        </is>
      </c>
      <c r="E661" s="8" t="inlineStr"/>
      <c r="F661" s="8" t="inlineStr"/>
      <c r="G661" s="8" t="inlineStr"/>
      <c r="H661" s="8" t="inlineStr"/>
      <c r="I661" s="8" t="n">
        <v>2288858.863</v>
      </c>
    </row>
    <row r="662">
      <c r="A662" s="8" t="inlineStr"/>
      <c r="B662" s="8" t="inlineStr">
        <is>
          <t>A33.0335</t>
        </is>
      </c>
      <c r="C662" s="8" t="inlineStr">
        <is>
          <t>Ống uPVC_D42</t>
        </is>
      </c>
      <c r="E662" s="8" t="inlineStr">
        <is>
          <t>m</t>
        </is>
      </c>
      <c r="F662" s="8" t="n">
        <v>101</v>
      </c>
      <c r="G662" s="8" t="n">
        <v>22600</v>
      </c>
      <c r="H662" s="8" t="n">
        <v>1</v>
      </c>
      <c r="I662" s="8" t="n">
        <v>2282600</v>
      </c>
    </row>
    <row r="663">
      <c r="A663" s="8" t="inlineStr"/>
      <c r="B663" s="8" t="inlineStr">
        <is>
          <t>A33.0345</t>
        </is>
      </c>
      <c r="C663" s="8" t="inlineStr">
        <is>
          <t>Cồn rửa</t>
        </is>
      </c>
      <c r="E663" s="8" t="inlineStr">
        <is>
          <t>kg</t>
        </is>
      </c>
      <c r="F663" s="8" t="n">
        <v>0.18</v>
      </c>
      <c r="G663" s="8" t="n">
        <v>12000</v>
      </c>
      <c r="H663" s="8" t="n">
        <v>1</v>
      </c>
      <c r="I663" s="8" t="n">
        <v>2160</v>
      </c>
    </row>
    <row r="664">
      <c r="A664" s="8" t="inlineStr"/>
      <c r="B664" s="8" t="inlineStr">
        <is>
          <t>A33.0346</t>
        </is>
      </c>
      <c r="C664" s="8" t="inlineStr">
        <is>
          <t>Nhựa dán</t>
        </is>
      </c>
      <c r="E664" s="8" t="inlineStr">
        <is>
          <t>kg</t>
        </is>
      </c>
      <c r="F664" s="8" t="n">
        <v>0.045</v>
      </c>
      <c r="G664" s="8" t="n">
        <v>86000</v>
      </c>
      <c r="H664" s="8" t="n">
        <v>1</v>
      </c>
      <c r="I664" s="8" t="n">
        <v>3870</v>
      </c>
    </row>
    <row r="665">
      <c r="A665" s="8" t="inlineStr"/>
      <c r="B665" s="8" t="inlineStr">
        <is>
          <t>Z999</t>
        </is>
      </c>
      <c r="C665" s="8" t="inlineStr">
        <is>
          <t>Vật liệu khác</t>
        </is>
      </c>
      <c r="E665" s="8" t="inlineStr">
        <is>
          <t>%</t>
        </is>
      </c>
      <c r="F665" s="8" t="n">
        <v>0.01</v>
      </c>
      <c r="G665" s="8" t="n">
        <v>2288630</v>
      </c>
      <c r="H665" s="8" t="inlineStr"/>
      <c r="I665" s="8" t="n">
        <v>228.863</v>
      </c>
    </row>
    <row r="666">
      <c r="A666" s="8" t="inlineStr"/>
      <c r="B666" s="8" t="inlineStr"/>
      <c r="C666" s="8" t="inlineStr">
        <is>
          <t>Cộng</t>
        </is>
      </c>
      <c r="E666" s="8" t="inlineStr"/>
      <c r="F666" s="8" t="inlineStr"/>
      <c r="G666" s="8" t="inlineStr"/>
      <c r="H666" s="8" t="inlineStr"/>
      <c r="I666" s="8" t="n">
        <v>2288858.863</v>
      </c>
    </row>
    <row r="667">
      <c r="A667" s="8" t="inlineStr"/>
      <c r="B667" s="8" t="inlineStr"/>
      <c r="C667" s="8" t="inlineStr">
        <is>
          <t>b) Nhân công</t>
        </is>
      </c>
      <c r="E667" s="8" t="inlineStr"/>
      <c r="F667" s="8" t="inlineStr"/>
      <c r="G667" s="8" t="inlineStr"/>
      <c r="H667" s="8" t="inlineStr"/>
      <c r="I667" s="8" t="n">
        <v>1870260</v>
      </c>
    </row>
    <row r="668">
      <c r="A668" s="8" t="inlineStr"/>
      <c r="B668" s="8" t="inlineStr">
        <is>
          <t>N3</t>
        </is>
      </c>
      <c r="C668" s="8" t="inlineStr">
        <is>
          <t>Nhân công nhóm 3</t>
        </is>
      </c>
      <c r="E668" s="8" t="inlineStr">
        <is>
          <t>công</t>
        </is>
      </c>
      <c r="F668" s="8" t="n">
        <v>4.38</v>
      </c>
      <c r="G668" s="8" t="n">
        <v>427000</v>
      </c>
      <c r="H668" s="8" t="n">
        <v>1</v>
      </c>
      <c r="I668" s="8" t="n">
        <v>1870260</v>
      </c>
    </row>
    <row r="669">
      <c r="A669" s="8" t="inlineStr"/>
      <c r="B669" s="8" t="inlineStr"/>
      <c r="C669" s="8" t="inlineStr">
        <is>
          <t>Cộng chi phí trực tiếp (VL+NC+M)</t>
        </is>
      </c>
      <c r="E669" s="8" t="inlineStr">
        <is>
          <t>T</t>
        </is>
      </c>
      <c r="F669" s="8" t="inlineStr"/>
      <c r="G669" s="8" t="inlineStr"/>
      <c r="H669" s="8" t="inlineStr"/>
      <c r="I669" s="8" t="n">
        <v>4159118.863</v>
      </c>
    </row>
    <row r="670">
      <c r="A670" s="8" t="inlineStr"/>
      <c r="B670" s="8" t="inlineStr"/>
      <c r="C670" s="8" t="inlineStr">
        <is>
          <t>CHI PHÍ GIÁN TIẾP</t>
        </is>
      </c>
      <c r="E670" s="8" t="inlineStr">
        <is>
          <t>GT</t>
        </is>
      </c>
      <c r="F670" s="8" t="inlineStr"/>
      <c r="G670" s="8" t="inlineStr"/>
      <c r="H670" s="8" t="inlineStr"/>
      <c r="I670" s="8" t="n">
        <v>407593.648574</v>
      </c>
    </row>
    <row r="671">
      <c r="A671" s="8" t="inlineStr"/>
      <c r="B671" s="8" t="inlineStr"/>
      <c r="C671" s="8" t="inlineStr">
        <is>
          <t>Chi phí chung (T x 7,3%)</t>
        </is>
      </c>
      <c r="E671" s="8" t="inlineStr">
        <is>
          <t>C</t>
        </is>
      </c>
      <c r="F671" s="8" t="inlineStr">
        <is>
          <t>7,3%</t>
        </is>
      </c>
      <c r="G671" s="8" t="inlineStr"/>
      <c r="H671" s="8" t="inlineStr"/>
      <c r="I671" s="8" t="n">
        <v>303615.676999</v>
      </c>
    </row>
    <row r="672">
      <c r="A672" s="8" t="inlineStr"/>
      <c r="B672" s="8" t="inlineStr"/>
      <c r="C672" s="8" t="inlineStr">
        <is>
          <t>Chi phí một số công việc không xác định được khối lượng từ thiết kế (T x 2,5%)</t>
        </is>
      </c>
      <c r="E672" s="8" t="inlineStr">
        <is>
          <t>TT</t>
        </is>
      </c>
      <c r="F672" s="8" t="inlineStr">
        <is>
          <t>2,5%</t>
        </is>
      </c>
      <c r="G672" s="8" t="inlineStr"/>
      <c r="H672" s="8" t="inlineStr"/>
      <c r="I672" s="8" t="n">
        <v>103977.971575</v>
      </c>
    </row>
    <row r="673">
      <c r="A673" s="8" t="inlineStr"/>
      <c r="B673" s="8" t="inlineStr"/>
      <c r="C673" s="8" t="inlineStr">
        <is>
          <t>THU NHẬP CHỊU THUẾ TÍNH TRƯỚC (T+GT) x 5,5%</t>
        </is>
      </c>
      <c r="E673" s="8" t="inlineStr">
        <is>
          <t>TL</t>
        </is>
      </c>
      <c r="F673" s="8" t="inlineStr">
        <is>
          <t>5,5%</t>
        </is>
      </c>
      <c r="G673" s="8" t="inlineStr"/>
      <c r="H673" s="8" t="inlineStr"/>
      <c r="I673" s="8" t="n">
        <v>251169.18813657</v>
      </c>
    </row>
    <row r="674">
      <c r="A674" s="8" t="inlineStr"/>
      <c r="B674" s="8" t="inlineStr"/>
      <c r="C674" s="8" t="inlineStr">
        <is>
          <t>Chi phí xây dựng trước thuế (T + GT + TL)</t>
        </is>
      </c>
      <c r="E674" s="8" t="inlineStr">
        <is>
          <t>Gxdtt</t>
        </is>
      </c>
      <c r="F674" s="8" t="inlineStr"/>
      <c r="G674" s="8" t="inlineStr"/>
      <c r="H674" s="8" t="inlineStr"/>
      <c r="I674" s="8" t="n">
        <v>4817881.69971057</v>
      </c>
    </row>
    <row r="675">
      <c r="A675" s="8" t="inlineStr"/>
      <c r="B675" s="8" t="inlineStr"/>
      <c r="C675" s="8" t="inlineStr">
        <is>
          <t>THUẾ GIÁ TRỊ GIA TĂNG (Gxdtt x 10%)</t>
        </is>
      </c>
      <c r="E675" s="8" t="inlineStr">
        <is>
          <t>GTGT</t>
        </is>
      </c>
      <c r="F675" s="8" t="n">
        <v>0.1</v>
      </c>
      <c r="G675" s="8" t="inlineStr"/>
      <c r="H675" s="8" t="inlineStr"/>
      <c r="I675" s="8" t="n">
        <v>481788.169971057</v>
      </c>
    </row>
    <row r="676">
      <c r="A676" s="8" t="inlineStr"/>
      <c r="B676" s="8" t="inlineStr"/>
      <c r="C676" s="8" t="inlineStr">
        <is>
          <t>Chi phí xây dựng sau thuế (Gxdtt + GTGT)</t>
        </is>
      </c>
      <c r="E676" s="8" t="inlineStr">
        <is>
          <t>Gxdst</t>
        </is>
      </c>
      <c r="F676" s="8" t="inlineStr"/>
      <c r="G676" s="8" t="inlineStr"/>
      <c r="H676" s="8" t="inlineStr"/>
      <c r="I676" s="8" t="n">
        <v>5299669.869681627</v>
      </c>
    </row>
    <row r="677">
      <c r="A677" s="8" t="inlineStr"/>
      <c r="B677" s="8" t="inlineStr"/>
      <c r="C677" s="8" t="inlineStr">
        <is>
          <t>Chi phí nhà tạm để ở và điều hành thi công (Gxdtt x 0,9% x (1+10%))</t>
        </is>
      </c>
      <c r="E677" s="8" t="inlineStr">
        <is>
          <t>LT</t>
        </is>
      </c>
      <c r="F677" s="8" t="n">
        <v>0.008999999999999999</v>
      </c>
      <c r="G677" s="8" t="inlineStr"/>
      <c r="H677" s="8" t="inlineStr"/>
      <c r="I677" s="8" t="n">
        <v>47697.02882713465</v>
      </c>
    </row>
    <row r="678">
      <c r="A678" s="8" t="inlineStr"/>
      <c r="B678" s="8" t="inlineStr"/>
      <c r="C678" s="8" t="inlineStr">
        <is>
          <t>TỔNG CỘNG (Gxdst + LT)</t>
        </is>
      </c>
      <c r="E678" s="8" t="inlineStr">
        <is>
          <t>Gxd</t>
        </is>
      </c>
      <c r="F678" s="8" t="inlineStr"/>
      <c r="G678" s="8" t="inlineStr"/>
      <c r="H678" s="8" t="inlineStr"/>
      <c r="I678" s="8" t="n">
        <v>5347366.898508762</v>
      </c>
    </row>
    <row r="679">
      <c r="A679" s="8" t="n">
        <v>23</v>
      </c>
      <c r="B679" s="11" t="inlineStr">
        <is>
          <t>BB.41105</t>
        </is>
      </c>
      <c r="C679" s="8" t="inlineStr">
        <is>
          <t>Ống uPVC_D48</t>
        </is>
      </c>
      <c r="D679" s="12">
        <f>HYPERLINK("tt38://pl3/71", "👉 Phụ lục III - Trang 71 (Khớp nhóm BB.4110)")</f>
        <v/>
      </c>
      <c r="E679" s="8" t="inlineStr">
        <is>
          <t>100m</t>
        </is>
      </c>
      <c r="F679" s="8" t="n">
        <v>1</v>
      </c>
      <c r="G679" s="8" t="inlineStr"/>
      <c r="H679" s="8" t="inlineStr"/>
      <c r="I679" s="8" t="inlineStr"/>
    </row>
    <row r="680">
      <c r="A680" s="8" t="inlineStr"/>
      <c r="B680" s="8" t="inlineStr"/>
      <c r="C680" s="8" t="inlineStr">
        <is>
          <t>a) Vật liệu</t>
        </is>
      </c>
      <c r="E680" s="8" t="inlineStr"/>
      <c r="F680" s="8" t="inlineStr"/>
      <c r="G680" s="8" t="inlineStr"/>
      <c r="H680" s="8" t="inlineStr"/>
      <c r="I680" s="8" t="n">
        <v>2765496.522</v>
      </c>
    </row>
    <row r="681">
      <c r="A681" s="8" t="inlineStr"/>
      <c r="B681" s="8" t="inlineStr">
        <is>
          <t>A33.0336</t>
        </is>
      </c>
      <c r="C681" s="8" t="inlineStr">
        <is>
          <t>Ống uPVC_D48</t>
        </is>
      </c>
      <c r="E681" s="8" t="inlineStr">
        <is>
          <t>m</t>
        </is>
      </c>
      <c r="F681" s="8" t="n">
        <v>101</v>
      </c>
      <c r="G681" s="8" t="n">
        <v>27300</v>
      </c>
      <c r="H681" s="8" t="n">
        <v>1</v>
      </c>
      <c r="I681" s="8" t="n">
        <v>2757300</v>
      </c>
    </row>
    <row r="682">
      <c r="A682" s="8" t="inlineStr"/>
      <c r="B682" s="8" t="inlineStr">
        <is>
          <t>A33.0345</t>
        </is>
      </c>
      <c r="C682" s="8" t="inlineStr">
        <is>
          <t>Cồn rửa</t>
        </is>
      </c>
      <c r="E682" s="8" t="inlineStr">
        <is>
          <t>kg</t>
        </is>
      </c>
      <c r="F682" s="8" t="n">
        <v>0.23</v>
      </c>
      <c r="G682" s="8" t="n">
        <v>12000</v>
      </c>
      <c r="H682" s="8" t="n">
        <v>1</v>
      </c>
      <c r="I682" s="8" t="n">
        <v>2760</v>
      </c>
    </row>
    <row r="683">
      <c r="A683" s="8" t="inlineStr"/>
      <c r="B683" s="8" t="inlineStr">
        <is>
          <t>A33.0346</t>
        </is>
      </c>
      <c r="C683" s="8" t="inlineStr">
        <is>
          <t>Nhựa dán</t>
        </is>
      </c>
      <c r="E683" s="8" t="inlineStr">
        <is>
          <t>kg</t>
        </is>
      </c>
      <c r="F683" s="8" t="n">
        <v>0.06</v>
      </c>
      <c r="G683" s="8" t="n">
        <v>86000</v>
      </c>
      <c r="H683" s="8" t="n">
        <v>1</v>
      </c>
      <c r="I683" s="8" t="n">
        <v>5160</v>
      </c>
    </row>
    <row r="684">
      <c r="A684" s="8" t="inlineStr"/>
      <c r="B684" s="8" t="inlineStr">
        <is>
          <t>Z999</t>
        </is>
      </c>
      <c r="C684" s="8" t="inlineStr">
        <is>
          <t>Vật liệu khác</t>
        </is>
      </c>
      <c r="E684" s="8" t="inlineStr">
        <is>
          <t>%</t>
        </is>
      </c>
      <c r="F684" s="8" t="n">
        <v>0.01</v>
      </c>
      <c r="G684" s="8" t="n">
        <v>2765220</v>
      </c>
      <c r="H684" s="8" t="inlineStr"/>
      <c r="I684" s="8" t="n">
        <v>276.522</v>
      </c>
    </row>
    <row r="685">
      <c r="A685" s="8" t="inlineStr"/>
      <c r="B685" s="8" t="inlineStr"/>
      <c r="C685" s="8" t="inlineStr">
        <is>
          <t>Cộng</t>
        </is>
      </c>
      <c r="E685" s="8" t="inlineStr"/>
      <c r="F685" s="8" t="inlineStr"/>
      <c r="G685" s="8" t="inlineStr"/>
      <c r="H685" s="8" t="inlineStr"/>
      <c r="I685" s="8" t="n">
        <v>2765496.522</v>
      </c>
    </row>
    <row r="686">
      <c r="A686" s="8" t="inlineStr"/>
      <c r="B686" s="8" t="inlineStr"/>
      <c r="C686" s="8" t="inlineStr">
        <is>
          <t>b) Nhân công</t>
        </is>
      </c>
      <c r="E686" s="8" t="inlineStr"/>
      <c r="F686" s="8" t="inlineStr"/>
      <c r="G686" s="8" t="inlineStr"/>
      <c r="H686" s="8" t="inlineStr"/>
      <c r="I686" s="8" t="n">
        <v>2339960</v>
      </c>
    </row>
    <row r="687">
      <c r="A687" s="8" t="inlineStr"/>
      <c r="B687" s="8" t="inlineStr">
        <is>
          <t>N3</t>
        </is>
      </c>
      <c r="C687" s="8" t="inlineStr">
        <is>
          <t>Nhân công nhóm 3</t>
        </is>
      </c>
      <c r="E687" s="8" t="inlineStr">
        <is>
          <t>công</t>
        </is>
      </c>
      <c r="F687" s="8" t="n">
        <v>5.48</v>
      </c>
      <c r="G687" s="8" t="n">
        <v>427000</v>
      </c>
      <c r="H687" s="8" t="n">
        <v>1</v>
      </c>
      <c r="I687" s="8" t="n">
        <v>2339960</v>
      </c>
    </row>
    <row r="688">
      <c r="A688" s="8" t="inlineStr"/>
      <c r="B688" s="8" t="inlineStr"/>
      <c r="C688" s="8" t="inlineStr">
        <is>
          <t>Cộng chi phí trực tiếp (VL+NC+M)</t>
        </is>
      </c>
      <c r="E688" s="8" t="inlineStr">
        <is>
          <t>T</t>
        </is>
      </c>
      <c r="F688" s="8" t="inlineStr"/>
      <c r="G688" s="8" t="inlineStr"/>
      <c r="H688" s="8" t="inlineStr"/>
      <c r="I688" s="8" t="n">
        <v>5105456.522</v>
      </c>
    </row>
    <row r="689">
      <c r="A689" s="8" t="inlineStr"/>
      <c r="B689" s="8" t="inlineStr"/>
      <c r="C689" s="8" t="inlineStr">
        <is>
          <t>CHI PHÍ GIÁN TIẾP</t>
        </is>
      </c>
      <c r="E689" s="8" t="inlineStr">
        <is>
          <t>GT</t>
        </is>
      </c>
      <c r="F689" s="8" t="inlineStr"/>
      <c r="G689" s="8" t="inlineStr"/>
      <c r="H689" s="8" t="inlineStr"/>
      <c r="I689" s="8" t="n">
        <v>500334.739156</v>
      </c>
    </row>
    <row r="690">
      <c r="A690" s="8" t="inlineStr"/>
      <c r="B690" s="8" t="inlineStr"/>
      <c r="C690" s="8" t="inlineStr">
        <is>
          <t>Chi phí chung (T x 7,3%)</t>
        </is>
      </c>
      <c r="E690" s="8" t="inlineStr">
        <is>
          <t>C</t>
        </is>
      </c>
      <c r="F690" s="8" t="inlineStr">
        <is>
          <t>7,3%</t>
        </is>
      </c>
      <c r="G690" s="8" t="inlineStr"/>
      <c r="H690" s="8" t="inlineStr"/>
      <c r="I690" s="8" t="n">
        <v>372698.326106</v>
      </c>
    </row>
    <row r="691">
      <c r="A691" s="8" t="inlineStr"/>
      <c r="B691" s="8" t="inlineStr"/>
      <c r="C691" s="8" t="inlineStr">
        <is>
          <t>Chi phí một số công việc không xác định được khối lượng từ thiết kế (T x 2,5%)</t>
        </is>
      </c>
      <c r="E691" s="8" t="inlineStr">
        <is>
          <t>TT</t>
        </is>
      </c>
      <c r="F691" s="8" t="inlineStr">
        <is>
          <t>2,5%</t>
        </is>
      </c>
      <c r="G691" s="8" t="inlineStr"/>
      <c r="H691" s="8" t="inlineStr"/>
      <c r="I691" s="8" t="n">
        <v>127636.41305</v>
      </c>
    </row>
    <row r="692">
      <c r="A692" s="8" t="inlineStr"/>
      <c r="B692" s="8" t="inlineStr"/>
      <c r="C692" s="8" t="inlineStr">
        <is>
          <t>THU NHẬP CHỊU THUẾ TÍNH TRƯỚC (T+GT) x 5,5%</t>
        </is>
      </c>
      <c r="E692" s="8" t="inlineStr">
        <is>
          <t>TL</t>
        </is>
      </c>
      <c r="F692" s="8" t="inlineStr">
        <is>
          <t>5,5%</t>
        </is>
      </c>
      <c r="G692" s="8" t="inlineStr"/>
      <c r="H692" s="8" t="inlineStr"/>
      <c r="I692" s="8" t="n">
        <v>308318.51936358</v>
      </c>
    </row>
    <row r="693">
      <c r="A693" s="8" t="inlineStr"/>
      <c r="B693" s="8" t="inlineStr"/>
      <c r="C693" s="8" t="inlineStr">
        <is>
          <t>Chi phí xây dựng trước thuế (T + GT + TL)</t>
        </is>
      </c>
      <c r="E693" s="8" t="inlineStr">
        <is>
          <t>Gxdtt</t>
        </is>
      </c>
      <c r="F693" s="8" t="inlineStr"/>
      <c r="G693" s="8" t="inlineStr"/>
      <c r="H693" s="8" t="inlineStr"/>
      <c r="I693" s="8" t="n">
        <v>5914109.78051958</v>
      </c>
    </row>
    <row r="694">
      <c r="A694" s="8" t="inlineStr"/>
      <c r="B694" s="8" t="inlineStr"/>
      <c r="C694" s="8" t="inlineStr">
        <is>
          <t>THUẾ GIÁ TRỊ GIA TĂNG (Gxdtt x 10%)</t>
        </is>
      </c>
      <c r="E694" s="8" t="inlineStr">
        <is>
          <t>GTGT</t>
        </is>
      </c>
      <c r="F694" s="8" t="n">
        <v>0.1</v>
      </c>
      <c r="G694" s="8" t="inlineStr"/>
      <c r="H694" s="8" t="inlineStr"/>
      <c r="I694" s="8" t="n">
        <v>591410.978051958</v>
      </c>
    </row>
    <row r="695">
      <c r="A695" s="8" t="inlineStr"/>
      <c r="B695" s="8" t="inlineStr"/>
      <c r="C695" s="8" t="inlineStr">
        <is>
          <t>Chi phí xây dựng sau thuế (Gxdtt + GTGT)</t>
        </is>
      </c>
      <c r="E695" s="8" t="inlineStr">
        <is>
          <t>Gxdst</t>
        </is>
      </c>
      <c r="F695" s="8" t="inlineStr"/>
      <c r="G695" s="8" t="inlineStr"/>
      <c r="H695" s="8" t="inlineStr"/>
      <c r="I695" s="8" t="n">
        <v>6505520.758571538</v>
      </c>
    </row>
    <row r="696">
      <c r="A696" s="8" t="inlineStr"/>
      <c r="B696" s="8" t="inlineStr"/>
      <c r="C696" s="8" t="inlineStr">
        <is>
          <t>Chi phí nhà tạm để ở và điều hành thi công (Gxdtt x 0,9% x (1+10%))</t>
        </is>
      </c>
      <c r="E696" s="8" t="inlineStr">
        <is>
          <t>LT</t>
        </is>
      </c>
      <c r="F696" s="8" t="n">
        <v>0.008999999999999999</v>
      </c>
      <c r="G696" s="8" t="inlineStr"/>
      <c r="H696" s="8" t="inlineStr"/>
      <c r="I696" s="8" t="n">
        <v>58549.68682714384</v>
      </c>
    </row>
    <row r="697">
      <c r="A697" s="8" t="inlineStr"/>
      <c r="B697" s="8" t="inlineStr"/>
      <c r="C697" s="8" t="inlineStr">
        <is>
          <t>TỔNG CỘNG (Gxdst + LT)</t>
        </is>
      </c>
      <c r="E697" s="8" t="inlineStr">
        <is>
          <t>Gxd</t>
        </is>
      </c>
      <c r="F697" s="8" t="inlineStr"/>
      <c r="G697" s="8" t="inlineStr"/>
      <c r="H697" s="8" t="inlineStr"/>
      <c r="I697" s="8" t="n">
        <v>6564070.445398682</v>
      </c>
    </row>
    <row r="698">
      <c r="A698" s="8" t="n">
        <v>24</v>
      </c>
      <c r="B698" s="11" t="inlineStr">
        <is>
          <t>BC.13102</t>
        </is>
      </c>
      <c r="C698" s="8" t="inlineStr">
        <is>
          <t>Bảo ôn ống uPVC D21 dày 13mm</t>
        </is>
      </c>
      <c r="D698" s="12">
        <f>HYPERLINK("tt38://pl3/204", "👉 Phụ lục III - Trang 204 (Khớp nhóm BC.1310)")</f>
        <v/>
      </c>
      <c r="E698" s="8" t="inlineStr">
        <is>
          <t>100m</t>
        </is>
      </c>
      <c r="F698" s="8" t="n">
        <v>1</v>
      </c>
      <c r="G698" s="8" t="inlineStr"/>
      <c r="H698" s="8" t="inlineStr"/>
      <c r="I698" s="8" t="inlineStr"/>
    </row>
    <row r="699">
      <c r="A699" s="8" t="inlineStr"/>
      <c r="B699" s="8" t="inlineStr"/>
      <c r="C699" s="8" t="inlineStr">
        <is>
          <t>a) Vật liệu</t>
        </is>
      </c>
      <c r="E699" s="8" t="inlineStr"/>
      <c r="F699" s="8" t="inlineStr"/>
      <c r="G699" s="8" t="inlineStr"/>
      <c r="H699" s="8" t="inlineStr"/>
      <c r="I699" s="8" t="n">
        <v>1627726.1</v>
      </c>
    </row>
    <row r="700">
      <c r="A700" s="8" t="inlineStr"/>
      <c r="B700" s="8" t="inlineStr">
        <is>
          <t>A33.1140</t>
        </is>
      </c>
      <c r="C700" s="8" t="inlineStr">
        <is>
          <t>Bảo ôn ống uPVC D21 dày 13mm</t>
        </is>
      </c>
      <c r="E700" s="8" t="inlineStr">
        <is>
          <t>m</t>
        </is>
      </c>
      <c r="F700" s="8" t="n">
        <v>101</v>
      </c>
      <c r="G700" s="8" t="n">
        <v>16100</v>
      </c>
      <c r="H700" s="8" t="n">
        <v>1</v>
      </c>
      <c r="I700" s="8" t="n">
        <v>1626100</v>
      </c>
    </row>
    <row r="701">
      <c r="A701" s="8" t="inlineStr"/>
      <c r="B701" s="8" t="inlineStr">
        <is>
          <t>Z999</t>
        </is>
      </c>
      <c r="C701" s="8" t="inlineStr">
        <is>
          <t>Vật liệu khác</t>
        </is>
      </c>
      <c r="E701" s="8" t="inlineStr">
        <is>
          <t>%</t>
        </is>
      </c>
      <c r="F701" s="8" t="n">
        <v>0.1</v>
      </c>
      <c r="G701" s="8" t="n">
        <v>1626100</v>
      </c>
      <c r="H701" s="8" t="inlineStr"/>
      <c r="I701" s="8" t="n">
        <v>1626.1</v>
      </c>
    </row>
    <row r="702">
      <c r="A702" s="8" t="inlineStr"/>
      <c r="B702" s="8" t="inlineStr"/>
      <c r="C702" s="8" t="inlineStr">
        <is>
          <t>Cộng</t>
        </is>
      </c>
      <c r="E702" s="8" t="inlineStr"/>
      <c r="F702" s="8" t="inlineStr"/>
      <c r="G702" s="8" t="inlineStr"/>
      <c r="H702" s="8" t="inlineStr"/>
      <c r="I702" s="8" t="n">
        <v>1627726.1</v>
      </c>
    </row>
    <row r="703">
      <c r="A703" s="8" t="inlineStr"/>
      <c r="B703" s="8" t="inlineStr"/>
      <c r="C703" s="8" t="inlineStr">
        <is>
          <t>b) Nhân công</t>
        </is>
      </c>
      <c r="E703" s="8" t="inlineStr"/>
      <c r="F703" s="8" t="inlineStr"/>
      <c r="G703" s="8" t="inlineStr"/>
      <c r="H703" s="8" t="inlineStr"/>
      <c r="I703" s="8" t="n">
        <v>3407460</v>
      </c>
    </row>
    <row r="704">
      <c r="A704" s="8" t="inlineStr"/>
      <c r="B704" s="8" t="inlineStr">
        <is>
          <t>N3</t>
        </is>
      </c>
      <c r="C704" s="8" t="inlineStr">
        <is>
          <t>Nhân công nhóm 3</t>
        </is>
      </c>
      <c r="E704" s="8" t="inlineStr">
        <is>
          <t>công</t>
        </is>
      </c>
      <c r="F704" s="8" t="n">
        <v>7.98</v>
      </c>
      <c r="G704" s="8" t="n">
        <v>427000</v>
      </c>
      <c r="H704" s="8" t="n">
        <v>1</v>
      </c>
      <c r="I704" s="8" t="n">
        <v>3407460</v>
      </c>
    </row>
    <row r="705">
      <c r="A705" s="8" t="inlineStr"/>
      <c r="B705" s="8" t="inlineStr"/>
      <c r="C705" s="8" t="inlineStr">
        <is>
          <t>Cộng chi phí trực tiếp (VL+NC+M)</t>
        </is>
      </c>
      <c r="E705" s="8" t="inlineStr">
        <is>
          <t>T</t>
        </is>
      </c>
      <c r="F705" s="8" t="inlineStr"/>
      <c r="G705" s="8" t="inlineStr"/>
      <c r="H705" s="8" t="inlineStr"/>
      <c r="I705" s="8" t="n">
        <v>5035186.1</v>
      </c>
    </row>
    <row r="706">
      <c r="A706" s="8" t="inlineStr"/>
      <c r="B706" s="8" t="inlineStr"/>
      <c r="C706" s="8" t="inlineStr">
        <is>
          <t>CHI PHÍ GIÁN TIẾP</t>
        </is>
      </c>
      <c r="E706" s="8" t="inlineStr">
        <is>
          <t>GT</t>
        </is>
      </c>
      <c r="F706" s="8" t="inlineStr"/>
      <c r="G706" s="8" t="inlineStr"/>
      <c r="H706" s="8" t="inlineStr"/>
      <c r="I706" s="8" t="n">
        <v>493448.2378</v>
      </c>
    </row>
    <row r="707">
      <c r="A707" s="8" t="inlineStr"/>
      <c r="B707" s="8" t="inlineStr"/>
      <c r="C707" s="8" t="inlineStr">
        <is>
          <t>Chi phí chung (T x 7,3%)</t>
        </is>
      </c>
      <c r="E707" s="8" t="inlineStr">
        <is>
          <t>C</t>
        </is>
      </c>
      <c r="F707" s="8" t="inlineStr">
        <is>
          <t>7,3%</t>
        </is>
      </c>
      <c r="G707" s="8" t="inlineStr"/>
      <c r="H707" s="8" t="inlineStr"/>
      <c r="I707" s="8" t="n">
        <v>367568.5853</v>
      </c>
    </row>
    <row r="708">
      <c r="A708" s="8" t="inlineStr"/>
      <c r="B708" s="8" t="inlineStr"/>
      <c r="C708" s="8" t="inlineStr">
        <is>
          <t>Chi phí một số công việc không xác định được khối lượng từ thiết kế (T x 2,5%)</t>
        </is>
      </c>
      <c r="E708" s="8" t="inlineStr">
        <is>
          <t>TT</t>
        </is>
      </c>
      <c r="F708" s="8" t="inlineStr">
        <is>
          <t>2,5%</t>
        </is>
      </c>
      <c r="G708" s="8" t="inlineStr"/>
      <c r="H708" s="8" t="inlineStr"/>
      <c r="I708" s="8" t="n">
        <v>125879.6525</v>
      </c>
    </row>
    <row r="709">
      <c r="A709" s="8" t="inlineStr"/>
      <c r="B709" s="8" t="inlineStr"/>
      <c r="C709" s="8" t="inlineStr">
        <is>
          <t>THU NHẬP CHỊU THUẾ TÍNH TRƯỚC (T+GT) x 5,5%</t>
        </is>
      </c>
      <c r="E709" s="8" t="inlineStr">
        <is>
          <t>TL</t>
        </is>
      </c>
      <c r="F709" s="8" t="inlineStr">
        <is>
          <t>5,5%</t>
        </is>
      </c>
      <c r="G709" s="8" t="inlineStr"/>
      <c r="H709" s="8" t="inlineStr"/>
      <c r="I709" s="8" t="n">
        <v>304074.888579</v>
      </c>
    </row>
    <row r="710">
      <c r="A710" s="8" t="inlineStr"/>
      <c r="B710" s="8" t="inlineStr"/>
      <c r="C710" s="8" t="inlineStr">
        <is>
          <t>Chi phí xây dựng trước thuế (T + GT + TL)</t>
        </is>
      </c>
      <c r="E710" s="8" t="inlineStr">
        <is>
          <t>Gxdtt</t>
        </is>
      </c>
      <c r="F710" s="8" t="inlineStr"/>
      <c r="G710" s="8" t="inlineStr"/>
      <c r="H710" s="8" t="inlineStr"/>
      <c r="I710" s="8" t="n">
        <v>5832709.226379</v>
      </c>
    </row>
    <row r="711">
      <c r="A711" s="8" t="inlineStr"/>
      <c r="B711" s="8" t="inlineStr"/>
      <c r="C711" s="8" t="inlineStr">
        <is>
          <t>THUẾ GIÁ TRỊ GIA TĂNG (Gxdtt x 10%)</t>
        </is>
      </c>
      <c r="E711" s="8" t="inlineStr">
        <is>
          <t>GTGT</t>
        </is>
      </c>
      <c r="F711" s="8" t="n">
        <v>0.1</v>
      </c>
      <c r="G711" s="8" t="inlineStr"/>
      <c r="H711" s="8" t="inlineStr"/>
      <c r="I711" s="8" t="n">
        <v>583270.9226379</v>
      </c>
    </row>
    <row r="712">
      <c r="A712" s="8" t="inlineStr"/>
      <c r="B712" s="8" t="inlineStr"/>
      <c r="C712" s="8" t="inlineStr">
        <is>
          <t>Chi phí xây dựng sau thuế (Gxdtt + GTGT)</t>
        </is>
      </c>
      <c r="E712" s="8" t="inlineStr">
        <is>
          <t>Gxdst</t>
        </is>
      </c>
      <c r="F712" s="8" t="inlineStr"/>
      <c r="G712" s="8" t="inlineStr"/>
      <c r="H712" s="8" t="inlineStr"/>
      <c r="I712" s="8" t="n">
        <v>6415980.1490169</v>
      </c>
    </row>
    <row r="713">
      <c r="A713" s="8" t="inlineStr"/>
      <c r="B713" s="8" t="inlineStr"/>
      <c r="C713" s="8" t="inlineStr">
        <is>
          <t>Chi phí nhà tạm để ở và điều hành thi công (Gxdtt x 0,9% x (1+10%))</t>
        </is>
      </c>
      <c r="E713" s="8" t="inlineStr">
        <is>
          <t>LT</t>
        </is>
      </c>
      <c r="F713" s="8" t="n">
        <v>0.008999999999999999</v>
      </c>
      <c r="G713" s="8" t="inlineStr"/>
      <c r="H713" s="8" t="inlineStr"/>
      <c r="I713" s="8" t="n">
        <v>57743.82134115209</v>
      </c>
    </row>
    <row r="714">
      <c r="A714" s="8" t="inlineStr"/>
      <c r="B714" s="8" t="inlineStr"/>
      <c r="C714" s="8" t="inlineStr">
        <is>
          <t>TỔNG CỘNG (Gxdst + LT)</t>
        </is>
      </c>
      <c r="E714" s="8" t="inlineStr">
        <is>
          <t>Gxd</t>
        </is>
      </c>
      <c r="F714" s="8" t="inlineStr"/>
      <c r="G714" s="8" t="inlineStr"/>
      <c r="H714" s="8" t="inlineStr"/>
      <c r="I714" s="8" t="n">
        <v>6473723.970358052</v>
      </c>
    </row>
    <row r="715">
      <c r="A715" s="8" t="n">
        <v>25</v>
      </c>
      <c r="B715" s="11" t="inlineStr">
        <is>
          <t>BC.13103</t>
        </is>
      </c>
      <c r="C715" s="8" t="inlineStr">
        <is>
          <t>Bảo ôn ống uPVC D27 dày 13mm</t>
        </is>
      </c>
      <c r="D715" s="12">
        <f>HYPERLINK("tt38://pl3/204", "👉 Phụ lục III - Trang 204 (Khớp nhóm BC.1310)")</f>
        <v/>
      </c>
      <c r="E715" s="8" t="inlineStr">
        <is>
          <t>100m</t>
        </is>
      </c>
      <c r="F715" s="8" t="n">
        <v>1</v>
      </c>
      <c r="G715" s="8" t="inlineStr"/>
      <c r="H715" s="8" t="inlineStr"/>
      <c r="I715" s="8" t="inlineStr"/>
    </row>
    <row r="716">
      <c r="A716" s="8" t="inlineStr"/>
      <c r="B716" s="8" t="inlineStr"/>
      <c r="C716" s="8" t="inlineStr">
        <is>
          <t>a) Vật liệu</t>
        </is>
      </c>
      <c r="E716" s="8" t="inlineStr"/>
      <c r="F716" s="8" t="inlineStr"/>
      <c r="G716" s="8" t="inlineStr"/>
      <c r="H716" s="8" t="inlineStr"/>
      <c r="I716" s="8" t="n">
        <v>1971469.5</v>
      </c>
    </row>
    <row r="717">
      <c r="A717" s="8" t="inlineStr"/>
      <c r="B717" s="8" t="inlineStr">
        <is>
          <t>A33.1140</t>
        </is>
      </c>
      <c r="C717" s="8" t="inlineStr">
        <is>
          <t>Bảo ôn ống uPVC D27 dày 13mm</t>
        </is>
      </c>
      <c r="E717" s="8" t="inlineStr">
        <is>
          <t>m</t>
        </is>
      </c>
      <c r="F717" s="8" t="n">
        <v>101</v>
      </c>
      <c r="G717" s="8" t="n">
        <v>19500</v>
      </c>
      <c r="H717" s="8" t="n">
        <v>1</v>
      </c>
      <c r="I717" s="8" t="n">
        <v>1969500</v>
      </c>
    </row>
    <row r="718">
      <c r="A718" s="8" t="inlineStr"/>
      <c r="B718" s="8" t="inlineStr">
        <is>
          <t>Z999</t>
        </is>
      </c>
      <c r="C718" s="8" t="inlineStr">
        <is>
          <t>Vật liệu khác</t>
        </is>
      </c>
      <c r="E718" s="8" t="inlineStr">
        <is>
          <t>%</t>
        </is>
      </c>
      <c r="F718" s="8" t="n">
        <v>0.1</v>
      </c>
      <c r="G718" s="8" t="n">
        <v>1969500</v>
      </c>
      <c r="H718" s="8" t="inlineStr"/>
      <c r="I718" s="8" t="n">
        <v>1969.5</v>
      </c>
    </row>
    <row r="719">
      <c r="A719" s="8" t="inlineStr"/>
      <c r="B719" s="8" t="inlineStr"/>
      <c r="C719" s="8" t="inlineStr">
        <is>
          <t>Cộng</t>
        </is>
      </c>
      <c r="E719" s="8" t="inlineStr"/>
      <c r="F719" s="8" t="inlineStr"/>
      <c r="G719" s="8" t="inlineStr"/>
      <c r="H719" s="8" t="inlineStr"/>
      <c r="I719" s="8" t="n">
        <v>1971469.5</v>
      </c>
    </row>
    <row r="720">
      <c r="A720" s="8" t="inlineStr"/>
      <c r="B720" s="8" t="inlineStr"/>
      <c r="C720" s="8" t="inlineStr">
        <is>
          <t>b) Nhân công</t>
        </is>
      </c>
      <c r="E720" s="8" t="inlineStr"/>
      <c r="F720" s="8" t="inlineStr"/>
      <c r="G720" s="8" t="inlineStr"/>
      <c r="H720" s="8" t="inlineStr"/>
      <c r="I720" s="8" t="n">
        <v>3655120</v>
      </c>
    </row>
    <row r="721">
      <c r="A721" s="8" t="inlineStr"/>
      <c r="B721" s="8" t="inlineStr">
        <is>
          <t>N3</t>
        </is>
      </c>
      <c r="C721" s="8" t="inlineStr">
        <is>
          <t>Nhân công nhóm 3</t>
        </is>
      </c>
      <c r="E721" s="8" t="inlineStr">
        <is>
          <t>công</t>
        </is>
      </c>
      <c r="F721" s="8" t="n">
        <v>8.56</v>
      </c>
      <c r="G721" s="8" t="n">
        <v>427000</v>
      </c>
      <c r="H721" s="8" t="n">
        <v>1</v>
      </c>
      <c r="I721" s="8" t="n">
        <v>3655120</v>
      </c>
    </row>
    <row r="722">
      <c r="A722" s="8" t="inlineStr"/>
      <c r="B722" s="8" t="inlineStr"/>
      <c r="C722" s="8" t="inlineStr">
        <is>
          <t>Cộng chi phí trực tiếp (VL+NC+M)</t>
        </is>
      </c>
      <c r="E722" s="8" t="inlineStr">
        <is>
          <t>T</t>
        </is>
      </c>
      <c r="F722" s="8" t="inlineStr"/>
      <c r="G722" s="8" t="inlineStr"/>
      <c r="H722" s="8" t="inlineStr"/>
      <c r="I722" s="8" t="n">
        <v>5626589.5</v>
      </c>
    </row>
    <row r="723">
      <c r="A723" s="8" t="inlineStr"/>
      <c r="B723" s="8" t="inlineStr"/>
      <c r="C723" s="8" t="inlineStr">
        <is>
          <t>CHI PHÍ GIÁN TIẾP</t>
        </is>
      </c>
      <c r="E723" s="8" t="inlineStr">
        <is>
          <t>GT</t>
        </is>
      </c>
      <c r="F723" s="8" t="inlineStr"/>
      <c r="G723" s="8" t="inlineStr"/>
      <c r="H723" s="8" t="inlineStr"/>
      <c r="I723" s="8" t="n">
        <v>551405.7709999999</v>
      </c>
    </row>
    <row r="724">
      <c r="A724" s="8" t="inlineStr"/>
      <c r="B724" s="8" t="inlineStr"/>
      <c r="C724" s="8" t="inlineStr">
        <is>
          <t>Chi phí chung (T x 7,3%)</t>
        </is>
      </c>
      <c r="E724" s="8" t="inlineStr">
        <is>
          <t>C</t>
        </is>
      </c>
      <c r="F724" s="8" t="inlineStr">
        <is>
          <t>7,3%</t>
        </is>
      </c>
      <c r="G724" s="8" t="inlineStr"/>
      <c r="H724" s="8" t="inlineStr"/>
      <c r="I724" s="8" t="n">
        <v>410741.0335</v>
      </c>
    </row>
    <row r="725">
      <c r="A725" s="8" t="inlineStr"/>
      <c r="B725" s="8" t="inlineStr"/>
      <c r="C725" s="8" t="inlineStr">
        <is>
          <t>Chi phí một số công việc không xác định được khối lượng từ thiết kế (T x 2,5%)</t>
        </is>
      </c>
      <c r="E725" s="8" t="inlineStr">
        <is>
          <t>TT</t>
        </is>
      </c>
      <c r="F725" s="8" t="inlineStr">
        <is>
          <t>2,5%</t>
        </is>
      </c>
      <c r="G725" s="8" t="inlineStr"/>
      <c r="H725" s="8" t="inlineStr"/>
      <c r="I725" s="8" t="n">
        <v>140664.7375</v>
      </c>
    </row>
    <row r="726">
      <c r="A726" s="8" t="inlineStr"/>
      <c r="B726" s="8" t="inlineStr"/>
      <c r="C726" s="8" t="inlineStr">
        <is>
          <t>THU NHẬP CHỊU THUẾ TÍNH TRƯỚC (T+GT) x 5,5%</t>
        </is>
      </c>
      <c r="E726" s="8" t="inlineStr">
        <is>
          <t>TL</t>
        </is>
      </c>
      <c r="F726" s="8" t="inlineStr">
        <is>
          <t>5,5%</t>
        </is>
      </c>
      <c r="G726" s="8" t="inlineStr"/>
      <c r="H726" s="8" t="inlineStr"/>
      <c r="I726" s="8" t="n">
        <v>339789.739905</v>
      </c>
    </row>
    <row r="727">
      <c r="A727" s="8" t="inlineStr"/>
      <c r="B727" s="8" t="inlineStr"/>
      <c r="C727" s="8" t="inlineStr">
        <is>
          <t>Chi phí xây dựng trước thuế (T + GT + TL)</t>
        </is>
      </c>
      <c r="E727" s="8" t="inlineStr">
        <is>
          <t>Gxdtt</t>
        </is>
      </c>
      <c r="F727" s="8" t="inlineStr"/>
      <c r="G727" s="8" t="inlineStr"/>
      <c r="H727" s="8" t="inlineStr"/>
      <c r="I727" s="8" t="n">
        <v>6517785.010904999</v>
      </c>
    </row>
    <row r="728">
      <c r="A728" s="8" t="inlineStr"/>
      <c r="B728" s="8" t="inlineStr"/>
      <c r="C728" s="8" t="inlineStr">
        <is>
          <t>THUẾ GIÁ TRỊ GIA TĂNG (Gxdtt x 10%)</t>
        </is>
      </c>
      <c r="E728" s="8" t="inlineStr">
        <is>
          <t>GTGT</t>
        </is>
      </c>
      <c r="F728" s="8" t="n">
        <v>0.1</v>
      </c>
      <c r="G728" s="8" t="inlineStr"/>
      <c r="H728" s="8" t="inlineStr"/>
      <c r="I728" s="8" t="n">
        <v>651778.5010905</v>
      </c>
    </row>
    <row r="729">
      <c r="A729" s="8" t="inlineStr"/>
      <c r="B729" s="8" t="inlineStr"/>
      <c r="C729" s="8" t="inlineStr">
        <is>
          <t>Chi phí xây dựng sau thuế (Gxdtt + GTGT)</t>
        </is>
      </c>
      <c r="E729" s="8" t="inlineStr">
        <is>
          <t>Gxdst</t>
        </is>
      </c>
      <c r="F729" s="8" t="inlineStr"/>
      <c r="G729" s="8" t="inlineStr"/>
      <c r="H729" s="8" t="inlineStr"/>
      <c r="I729" s="8" t="n">
        <v>7169563.5119955</v>
      </c>
    </row>
    <row r="730">
      <c r="A730" s="8" t="inlineStr"/>
      <c r="B730" s="8" t="inlineStr"/>
      <c r="C730" s="8" t="inlineStr">
        <is>
          <t>Chi phí nhà tạm để ở và điều hành thi công (Gxdtt x 0,9% x (1+10%))</t>
        </is>
      </c>
      <c r="E730" s="8" t="inlineStr">
        <is>
          <t>LT</t>
        </is>
      </c>
      <c r="F730" s="8" t="n">
        <v>0.008999999999999999</v>
      </c>
      <c r="G730" s="8" t="inlineStr"/>
      <c r="H730" s="8" t="inlineStr"/>
      <c r="I730" s="8" t="n">
        <v>64526.07160795949</v>
      </c>
    </row>
    <row r="731">
      <c r="A731" s="8" t="inlineStr"/>
      <c r="B731" s="8" t="inlineStr"/>
      <c r="C731" s="8" t="inlineStr">
        <is>
          <t>TỔNG CỘNG (Gxdst + LT)</t>
        </is>
      </c>
      <c r="E731" s="8" t="inlineStr">
        <is>
          <t>Gxd</t>
        </is>
      </c>
      <c r="F731" s="8" t="inlineStr"/>
      <c r="G731" s="8" t="inlineStr"/>
      <c r="H731" s="8" t="inlineStr"/>
      <c r="I731" s="8" t="n">
        <v>7234089.583603459</v>
      </c>
    </row>
    <row r="732">
      <c r="A732" s="8" t="n">
        <v>26</v>
      </c>
      <c r="B732" s="11" t="inlineStr">
        <is>
          <t>BC.13104</t>
        </is>
      </c>
      <c r="C732" s="8" t="inlineStr">
        <is>
          <t>Bảo ôn ống uPVC D34 dày 13mm</t>
        </is>
      </c>
      <c r="D732" s="12">
        <f>HYPERLINK("tt38://pl3/204", "👉 Phụ lục III - Trang 204 (Khớp nhóm BC.1310)")</f>
        <v/>
      </c>
      <c r="E732" s="8" t="inlineStr">
        <is>
          <t>100m</t>
        </is>
      </c>
      <c r="F732" s="8" t="n">
        <v>1</v>
      </c>
      <c r="G732" s="8" t="inlineStr"/>
      <c r="H732" s="8" t="inlineStr"/>
      <c r="I732" s="8" t="inlineStr"/>
    </row>
    <row r="733">
      <c r="A733" s="8" t="inlineStr"/>
      <c r="B733" s="8" t="inlineStr"/>
      <c r="C733" s="8" t="inlineStr">
        <is>
          <t>a) Vật liệu</t>
        </is>
      </c>
      <c r="E733" s="8" t="inlineStr"/>
      <c r="F733" s="8" t="inlineStr"/>
      <c r="G733" s="8" t="inlineStr"/>
      <c r="H733" s="8" t="inlineStr"/>
      <c r="I733" s="8" t="n">
        <v>2315212.9</v>
      </c>
    </row>
    <row r="734">
      <c r="A734" s="8" t="inlineStr"/>
      <c r="B734" s="8" t="inlineStr">
        <is>
          <t>A33.1140</t>
        </is>
      </c>
      <c r="C734" s="8" t="inlineStr">
        <is>
          <t>Bảo ôn ống uPVC D34 dày 13mm</t>
        </is>
      </c>
      <c r="E734" s="8" t="inlineStr">
        <is>
          <t>m</t>
        </is>
      </c>
      <c r="F734" s="8" t="n">
        <v>101</v>
      </c>
      <c r="G734" s="8" t="n">
        <v>22900</v>
      </c>
      <c r="H734" s="8" t="n">
        <v>1</v>
      </c>
      <c r="I734" s="8" t="n">
        <v>2312900</v>
      </c>
    </row>
    <row r="735">
      <c r="A735" s="8" t="inlineStr"/>
      <c r="B735" s="8" t="inlineStr">
        <is>
          <t>Z999</t>
        </is>
      </c>
      <c r="C735" s="8" t="inlineStr">
        <is>
          <t>Vật liệu khác</t>
        </is>
      </c>
      <c r="E735" s="8" t="inlineStr">
        <is>
          <t>%</t>
        </is>
      </c>
      <c r="F735" s="8" t="n">
        <v>0.1</v>
      </c>
      <c r="G735" s="8" t="n">
        <v>2312900</v>
      </c>
      <c r="H735" s="8" t="inlineStr"/>
      <c r="I735" s="8" t="n">
        <v>2312.9</v>
      </c>
    </row>
    <row r="736">
      <c r="A736" s="8" t="inlineStr"/>
      <c r="B736" s="8" t="inlineStr"/>
      <c r="C736" s="8" t="inlineStr">
        <is>
          <t>Cộng</t>
        </is>
      </c>
      <c r="E736" s="8" t="inlineStr"/>
      <c r="F736" s="8" t="inlineStr"/>
      <c r="G736" s="8" t="inlineStr"/>
      <c r="H736" s="8" t="inlineStr"/>
      <c r="I736" s="8" t="n">
        <v>2315212.9</v>
      </c>
    </row>
    <row r="737">
      <c r="A737" s="8" t="inlineStr"/>
      <c r="B737" s="8" t="inlineStr"/>
      <c r="C737" s="8" t="inlineStr">
        <is>
          <t>b) Nhân công</t>
        </is>
      </c>
      <c r="E737" s="8" t="inlineStr"/>
      <c r="F737" s="8" t="inlineStr"/>
      <c r="G737" s="8" t="inlineStr"/>
      <c r="H737" s="8" t="inlineStr"/>
      <c r="I737" s="8" t="n">
        <v>3885700</v>
      </c>
    </row>
    <row r="738">
      <c r="A738" s="8" t="inlineStr"/>
      <c r="B738" s="8" t="inlineStr">
        <is>
          <t>N3</t>
        </is>
      </c>
      <c r="C738" s="8" t="inlineStr">
        <is>
          <t>Nhân công nhóm 3</t>
        </is>
      </c>
      <c r="E738" s="8" t="inlineStr">
        <is>
          <t>công</t>
        </is>
      </c>
      <c r="F738" s="8" t="n">
        <v>9.1</v>
      </c>
      <c r="G738" s="8" t="n">
        <v>427000</v>
      </c>
      <c r="H738" s="8" t="n">
        <v>1</v>
      </c>
      <c r="I738" s="8" t="n">
        <v>3885700</v>
      </c>
    </row>
    <row r="739">
      <c r="A739" s="8" t="inlineStr"/>
      <c r="B739" s="8" t="inlineStr"/>
      <c r="C739" s="8" t="inlineStr">
        <is>
          <t>Cộng chi phí trực tiếp (VL+NC+M)</t>
        </is>
      </c>
      <c r="E739" s="8" t="inlineStr">
        <is>
          <t>T</t>
        </is>
      </c>
      <c r="F739" s="8" t="inlineStr"/>
      <c r="G739" s="8" t="inlineStr"/>
      <c r="H739" s="8" t="inlineStr"/>
      <c r="I739" s="8" t="n">
        <v>6200912.9</v>
      </c>
    </row>
    <row r="740">
      <c r="A740" s="8" t="inlineStr"/>
      <c r="B740" s="8" t="inlineStr"/>
      <c r="C740" s="8" t="inlineStr">
        <is>
          <t>CHI PHÍ GIÁN TIẾP</t>
        </is>
      </c>
      <c r="E740" s="8" t="inlineStr">
        <is>
          <t>GT</t>
        </is>
      </c>
      <c r="F740" s="8" t="inlineStr"/>
      <c r="G740" s="8" t="inlineStr"/>
      <c r="H740" s="8" t="inlineStr"/>
      <c r="I740" s="8" t="n">
        <v>607689.4642</v>
      </c>
    </row>
    <row r="741">
      <c r="A741" s="8" t="inlineStr"/>
      <c r="B741" s="8" t="inlineStr"/>
      <c r="C741" s="8" t="inlineStr">
        <is>
          <t>Chi phí chung (T x 7,3%)</t>
        </is>
      </c>
      <c r="E741" s="8" t="inlineStr">
        <is>
          <t>C</t>
        </is>
      </c>
      <c r="F741" s="8" t="inlineStr">
        <is>
          <t>7,3%</t>
        </is>
      </c>
      <c r="G741" s="8" t="inlineStr"/>
      <c r="H741" s="8" t="inlineStr"/>
      <c r="I741" s="8" t="n">
        <v>452666.6417</v>
      </c>
    </row>
    <row r="742">
      <c r="A742" s="8" t="inlineStr"/>
      <c r="B742" s="8" t="inlineStr"/>
      <c r="C742" s="8" t="inlineStr">
        <is>
          <t>Chi phí một số công việc không xác định được khối lượng từ thiết kế (T x 2,5%)</t>
        </is>
      </c>
      <c r="E742" s="8" t="inlineStr">
        <is>
          <t>TT</t>
        </is>
      </c>
      <c r="F742" s="8" t="inlineStr">
        <is>
          <t>2,5%</t>
        </is>
      </c>
      <c r="G742" s="8" t="inlineStr"/>
      <c r="H742" s="8" t="inlineStr"/>
      <c r="I742" s="8" t="n">
        <v>155022.8225</v>
      </c>
    </row>
    <row r="743">
      <c r="A743" s="8" t="inlineStr"/>
      <c r="B743" s="8" t="inlineStr"/>
      <c r="C743" s="8" t="inlineStr">
        <is>
          <t>THU NHẬP CHỊU THUẾ TÍNH TRƯỚC (T+GT) x 5,5%</t>
        </is>
      </c>
      <c r="E743" s="8" t="inlineStr">
        <is>
          <t>TL</t>
        </is>
      </c>
      <c r="F743" s="8" t="inlineStr">
        <is>
          <t>5,5%</t>
        </is>
      </c>
      <c r="G743" s="8" t="inlineStr"/>
      <c r="H743" s="8" t="inlineStr"/>
      <c r="I743" s="8" t="n">
        <v>374473.1300310001</v>
      </c>
    </row>
    <row r="744">
      <c r="A744" s="8" t="inlineStr"/>
      <c r="B744" s="8" t="inlineStr"/>
      <c r="C744" s="8" t="inlineStr">
        <is>
          <t>Chi phí xây dựng trước thuế (T + GT + TL)</t>
        </is>
      </c>
      <c r="E744" s="8" t="inlineStr">
        <is>
          <t>Gxdtt</t>
        </is>
      </c>
      <c r="F744" s="8" t="inlineStr"/>
      <c r="G744" s="8" t="inlineStr"/>
      <c r="H744" s="8" t="inlineStr"/>
      <c r="I744" s="8" t="n">
        <v>7183075.494231001</v>
      </c>
    </row>
    <row r="745">
      <c r="A745" s="8" t="inlineStr"/>
      <c r="B745" s="8" t="inlineStr"/>
      <c r="C745" s="8" t="inlineStr">
        <is>
          <t>THUẾ GIÁ TRỊ GIA TĂNG (Gxdtt x 10%)</t>
        </is>
      </c>
      <c r="E745" s="8" t="inlineStr">
        <is>
          <t>GTGT</t>
        </is>
      </c>
      <c r="F745" s="8" t="n">
        <v>0.1</v>
      </c>
      <c r="G745" s="8" t="inlineStr"/>
      <c r="H745" s="8" t="inlineStr"/>
      <c r="I745" s="8" t="n">
        <v>718307.5494231001</v>
      </c>
    </row>
    <row r="746">
      <c r="A746" s="8" t="inlineStr"/>
      <c r="B746" s="8" t="inlineStr"/>
      <c r="C746" s="8" t="inlineStr">
        <is>
          <t>Chi phí xây dựng sau thuế (Gxdtt + GTGT)</t>
        </is>
      </c>
      <c r="E746" s="8" t="inlineStr">
        <is>
          <t>Gxdst</t>
        </is>
      </c>
      <c r="F746" s="8" t="inlineStr"/>
      <c r="G746" s="8" t="inlineStr"/>
      <c r="H746" s="8" t="inlineStr"/>
      <c r="I746" s="8" t="n">
        <v>7901383.043654101</v>
      </c>
    </row>
    <row r="747">
      <c r="A747" s="8" t="inlineStr"/>
      <c r="B747" s="8" t="inlineStr"/>
      <c r="C747" s="8" t="inlineStr">
        <is>
          <t>Chi phí nhà tạm để ở và điều hành thi công (Gxdtt x 0,9% x (1+10%))</t>
        </is>
      </c>
      <c r="E747" s="8" t="inlineStr">
        <is>
          <t>LT</t>
        </is>
      </c>
      <c r="F747" s="8" t="n">
        <v>0.008999999999999999</v>
      </c>
      <c r="G747" s="8" t="inlineStr"/>
      <c r="H747" s="8" t="inlineStr"/>
      <c r="I747" s="8" t="n">
        <v>71112.4473928869</v>
      </c>
    </row>
    <row r="748">
      <c r="A748" s="8" t="inlineStr"/>
      <c r="B748" s="8" t="inlineStr"/>
      <c r="C748" s="8" t="inlineStr">
        <is>
          <t>TỔNG CỘNG (Gxdst + LT)</t>
        </is>
      </c>
      <c r="E748" s="8" t="inlineStr">
        <is>
          <t>Gxd</t>
        </is>
      </c>
      <c r="F748" s="8" t="inlineStr"/>
      <c r="G748" s="8" t="inlineStr"/>
      <c r="H748" s="8" t="inlineStr"/>
      <c r="I748" s="8" t="n">
        <v>7972495.491046987</v>
      </c>
    </row>
    <row r="749">
      <c r="A749" s="8" t="n">
        <v>27</v>
      </c>
      <c r="B749" s="11" t="inlineStr">
        <is>
          <t>BC.13105</t>
        </is>
      </c>
      <c r="C749" s="8" t="inlineStr">
        <is>
          <t>Bảo ôn ống uPVC D42 dày 13mm</t>
        </is>
      </c>
      <c r="D749" s="12">
        <f>HYPERLINK("tt38://pl3/204", "👉 Phụ lục III - Trang 204 (Khớp nhóm BC.1310)")</f>
        <v/>
      </c>
      <c r="E749" s="8" t="inlineStr">
        <is>
          <t>100m</t>
        </is>
      </c>
      <c r="F749" s="8" t="n">
        <v>1</v>
      </c>
      <c r="G749" s="8" t="inlineStr"/>
      <c r="H749" s="8" t="inlineStr"/>
      <c r="I749" s="8" t="inlineStr"/>
    </row>
    <row r="750">
      <c r="A750" s="8" t="inlineStr"/>
      <c r="B750" s="8" t="inlineStr"/>
      <c r="C750" s="8" t="inlineStr">
        <is>
          <t>a) Vật liệu</t>
        </is>
      </c>
      <c r="E750" s="8" t="inlineStr"/>
      <c r="F750" s="8" t="inlineStr"/>
      <c r="G750" s="8" t="inlineStr"/>
      <c r="H750" s="8" t="inlineStr"/>
      <c r="I750" s="8" t="n">
        <v>2952149.2</v>
      </c>
    </row>
    <row r="751">
      <c r="A751" s="8" t="inlineStr"/>
      <c r="B751" s="8" t="inlineStr">
        <is>
          <t>A33.1140</t>
        </is>
      </c>
      <c r="C751" s="8" t="inlineStr">
        <is>
          <t>Bảo ôn ống uPVC D42 dày 13mm</t>
        </is>
      </c>
      <c r="E751" s="8" t="inlineStr">
        <is>
          <t>m</t>
        </is>
      </c>
      <c r="F751" s="8" t="n">
        <v>101</v>
      </c>
      <c r="G751" s="8" t="n">
        <v>29200</v>
      </c>
      <c r="H751" s="8" t="n">
        <v>1</v>
      </c>
      <c r="I751" s="8" t="n">
        <v>2949200</v>
      </c>
    </row>
    <row r="752">
      <c r="A752" s="8" t="inlineStr"/>
      <c r="B752" s="8" t="inlineStr">
        <is>
          <t>Z999</t>
        </is>
      </c>
      <c r="C752" s="8" t="inlineStr">
        <is>
          <t>Vật liệu khác</t>
        </is>
      </c>
      <c r="E752" s="8" t="inlineStr">
        <is>
          <t>%</t>
        </is>
      </c>
      <c r="F752" s="8" t="n">
        <v>0.1</v>
      </c>
      <c r="G752" s="8" t="n">
        <v>2949200</v>
      </c>
      <c r="H752" s="8" t="inlineStr"/>
      <c r="I752" s="8" t="n">
        <v>2949.2</v>
      </c>
    </row>
    <row r="753">
      <c r="A753" s="8" t="inlineStr"/>
      <c r="B753" s="8" t="inlineStr"/>
      <c r="C753" s="8" t="inlineStr">
        <is>
          <t>Cộng</t>
        </is>
      </c>
      <c r="E753" s="8" t="inlineStr"/>
      <c r="F753" s="8" t="inlineStr"/>
      <c r="G753" s="8" t="inlineStr"/>
      <c r="H753" s="8" t="inlineStr"/>
      <c r="I753" s="8" t="n">
        <v>2952149.2</v>
      </c>
    </row>
    <row r="754">
      <c r="A754" s="8" t="inlineStr"/>
      <c r="B754" s="8" t="inlineStr"/>
      <c r="C754" s="8" t="inlineStr">
        <is>
          <t>b) Nhân công</t>
        </is>
      </c>
      <c r="E754" s="8" t="inlineStr"/>
      <c r="F754" s="8" t="inlineStr"/>
      <c r="G754" s="8" t="inlineStr"/>
      <c r="H754" s="8" t="inlineStr"/>
      <c r="I754" s="8" t="n">
        <v>4270000</v>
      </c>
    </row>
    <row r="755">
      <c r="A755" s="8" t="inlineStr"/>
      <c r="B755" s="8" t="inlineStr">
        <is>
          <t>N3</t>
        </is>
      </c>
      <c r="C755" s="8" t="inlineStr">
        <is>
          <t>Nhân công nhóm 3</t>
        </is>
      </c>
      <c r="E755" s="8" t="inlineStr">
        <is>
          <t>công</t>
        </is>
      </c>
      <c r="F755" s="8" t="n">
        <v>10</v>
      </c>
      <c r="G755" s="8" t="n">
        <v>427000</v>
      </c>
      <c r="H755" s="8" t="n">
        <v>1</v>
      </c>
      <c r="I755" s="8" t="n">
        <v>4270000</v>
      </c>
    </row>
    <row r="756">
      <c r="A756" s="8" t="inlineStr"/>
      <c r="B756" s="8" t="inlineStr"/>
      <c r="C756" s="8" t="inlineStr">
        <is>
          <t>Cộng chi phí trực tiếp (VL+NC+M)</t>
        </is>
      </c>
      <c r="E756" s="8" t="inlineStr">
        <is>
          <t>T</t>
        </is>
      </c>
      <c r="F756" s="8" t="inlineStr"/>
      <c r="G756" s="8" t="inlineStr"/>
      <c r="H756" s="8" t="inlineStr"/>
      <c r="I756" s="8" t="n">
        <v>7222149.2</v>
      </c>
    </row>
    <row r="757">
      <c r="A757" s="8" t="inlineStr"/>
      <c r="B757" s="8" t="inlineStr"/>
      <c r="C757" s="8" t="inlineStr">
        <is>
          <t>CHI PHÍ GIÁN TIẾP</t>
        </is>
      </c>
      <c r="E757" s="8" t="inlineStr">
        <is>
          <t>GT</t>
        </is>
      </c>
      <c r="F757" s="8" t="inlineStr"/>
      <c r="G757" s="8" t="inlineStr"/>
      <c r="H757" s="8" t="inlineStr"/>
      <c r="I757" s="8" t="n">
        <v>707770.6216</v>
      </c>
    </row>
    <row r="758">
      <c r="A758" s="8" t="inlineStr"/>
      <c r="B758" s="8" t="inlineStr"/>
      <c r="C758" s="8" t="inlineStr">
        <is>
          <t>Chi phí chung (T x 7,3%)</t>
        </is>
      </c>
      <c r="E758" s="8" t="inlineStr">
        <is>
          <t>C</t>
        </is>
      </c>
      <c r="F758" s="8" t="inlineStr">
        <is>
          <t>7,3%</t>
        </is>
      </c>
      <c r="G758" s="8" t="inlineStr"/>
      <c r="H758" s="8" t="inlineStr"/>
      <c r="I758" s="8" t="n">
        <v>527216.8916</v>
      </c>
    </row>
    <row r="759">
      <c r="A759" s="8" t="inlineStr"/>
      <c r="B759" s="8" t="inlineStr"/>
      <c r="C759" s="8" t="inlineStr">
        <is>
          <t>Chi phí một số công việc không xác định được khối lượng từ thiết kế (T x 2,5%)</t>
        </is>
      </c>
      <c r="E759" s="8" t="inlineStr">
        <is>
          <t>TT</t>
        </is>
      </c>
      <c r="F759" s="8" t="inlineStr">
        <is>
          <t>2,5%</t>
        </is>
      </c>
      <c r="G759" s="8" t="inlineStr"/>
      <c r="H759" s="8" t="inlineStr"/>
      <c r="I759" s="8" t="n">
        <v>180553.73</v>
      </c>
    </row>
    <row r="760">
      <c r="A760" s="8" t="inlineStr"/>
      <c r="B760" s="8" t="inlineStr"/>
      <c r="C760" s="8" t="inlineStr">
        <is>
          <t>THU NHẬP CHỊU THUẾ TÍNH TRƯỚC (T+GT) x 5,5%</t>
        </is>
      </c>
      <c r="E760" s="8" t="inlineStr">
        <is>
          <t>TL</t>
        </is>
      </c>
      <c r="F760" s="8" t="inlineStr">
        <is>
          <t>5,5%</t>
        </is>
      </c>
      <c r="G760" s="8" t="inlineStr"/>
      <c r="H760" s="8" t="inlineStr"/>
      <c r="I760" s="8" t="n">
        <v>436145.590188</v>
      </c>
    </row>
    <row r="761">
      <c r="A761" s="8" t="inlineStr"/>
      <c r="B761" s="8" t="inlineStr"/>
      <c r="C761" s="8" t="inlineStr">
        <is>
          <t>Chi phí xây dựng trước thuế (T + GT + TL)</t>
        </is>
      </c>
      <c r="E761" s="8" t="inlineStr">
        <is>
          <t>Gxdtt</t>
        </is>
      </c>
      <c r="F761" s="8" t="inlineStr"/>
      <c r="G761" s="8" t="inlineStr"/>
      <c r="H761" s="8" t="inlineStr"/>
      <c r="I761" s="8" t="n">
        <v>8366065.411788001</v>
      </c>
    </row>
    <row r="762">
      <c r="A762" s="8" t="inlineStr"/>
      <c r="B762" s="8" t="inlineStr"/>
      <c r="C762" s="8" t="inlineStr">
        <is>
          <t>THUẾ GIÁ TRỊ GIA TĂNG (Gxdtt x 10%)</t>
        </is>
      </c>
      <c r="E762" s="8" t="inlineStr">
        <is>
          <t>GTGT</t>
        </is>
      </c>
      <c r="F762" s="8" t="n">
        <v>0.1</v>
      </c>
      <c r="G762" s="8" t="inlineStr"/>
      <c r="H762" s="8" t="inlineStr"/>
      <c r="I762" s="8" t="n">
        <v>836606.5411788002</v>
      </c>
    </row>
    <row r="763">
      <c r="A763" s="8" t="inlineStr"/>
      <c r="B763" s="8" t="inlineStr"/>
      <c r="C763" s="8" t="inlineStr">
        <is>
          <t>Chi phí xây dựng sau thuế (Gxdtt + GTGT)</t>
        </is>
      </c>
      <c r="E763" s="8" t="inlineStr">
        <is>
          <t>Gxdst</t>
        </is>
      </c>
      <c r="F763" s="8" t="inlineStr"/>
      <c r="G763" s="8" t="inlineStr"/>
      <c r="H763" s="8" t="inlineStr"/>
      <c r="I763" s="8" t="n">
        <v>9202671.952966802</v>
      </c>
    </row>
    <row r="764">
      <c r="A764" s="8" t="inlineStr"/>
      <c r="B764" s="8" t="inlineStr"/>
      <c r="C764" s="8" t="inlineStr">
        <is>
          <t>Chi phí nhà tạm để ở và điều hành thi công (Gxdtt x 0,9% x (1+10%))</t>
        </is>
      </c>
      <c r="E764" s="8" t="inlineStr">
        <is>
          <t>LT</t>
        </is>
      </c>
      <c r="F764" s="8" t="n">
        <v>0.008999999999999999</v>
      </c>
      <c r="G764" s="8" t="inlineStr"/>
      <c r="H764" s="8" t="inlineStr"/>
      <c r="I764" s="8" t="n">
        <v>82824.04757670121</v>
      </c>
    </row>
    <row r="765">
      <c r="A765" s="8" t="inlineStr"/>
      <c r="B765" s="8" t="inlineStr"/>
      <c r="C765" s="8" t="inlineStr">
        <is>
          <t>TỔNG CỘNG (Gxdst + LT)</t>
        </is>
      </c>
      <c r="E765" s="8" t="inlineStr">
        <is>
          <t>Gxd</t>
        </is>
      </c>
      <c r="F765" s="8" t="inlineStr"/>
      <c r="G765" s="8" t="inlineStr"/>
      <c r="H765" s="8" t="inlineStr"/>
      <c r="I765" s="8" t="n">
        <v>9285496.000543503</v>
      </c>
    </row>
    <row r="766">
      <c r="A766" s="8" t="n">
        <v>28</v>
      </c>
      <c r="B766" s="11" t="inlineStr">
        <is>
          <t>BC.13106</t>
        </is>
      </c>
      <c r="C766" s="8" t="inlineStr">
        <is>
          <t>Bảo ôn ống uPVC D48 dày 13mm</t>
        </is>
      </c>
      <c r="D766" s="12">
        <f>HYPERLINK("tt38://pl3/204", "👉 Phụ lục III - Trang 204 (Khớp nhóm BC.1310)")</f>
        <v/>
      </c>
      <c r="E766" s="8" t="inlineStr">
        <is>
          <t>100m</t>
        </is>
      </c>
      <c r="F766" s="8" t="n">
        <v>1</v>
      </c>
      <c r="G766" s="8" t="inlineStr"/>
      <c r="H766" s="8" t="inlineStr"/>
      <c r="I766" s="8" t="inlineStr"/>
    </row>
    <row r="767">
      <c r="A767" s="8" t="inlineStr"/>
      <c r="B767" s="8" t="inlineStr"/>
      <c r="C767" s="8" t="inlineStr">
        <is>
          <t>a) Vật liệu</t>
        </is>
      </c>
      <c r="E767" s="8" t="inlineStr"/>
      <c r="F767" s="8" t="inlineStr"/>
      <c r="G767" s="8" t="inlineStr"/>
      <c r="H767" s="8" t="inlineStr"/>
      <c r="I767" s="8" t="n">
        <v>3245342.1</v>
      </c>
    </row>
    <row r="768">
      <c r="A768" s="8" t="inlineStr"/>
      <c r="B768" s="8" t="inlineStr">
        <is>
          <t>A33.1140</t>
        </is>
      </c>
      <c r="C768" s="8" t="inlineStr">
        <is>
          <t>Bảo ôn ống uPVC D48 dày 13mm</t>
        </is>
      </c>
      <c r="E768" s="8" t="inlineStr">
        <is>
          <t>m</t>
        </is>
      </c>
      <c r="F768" s="8" t="n">
        <v>101</v>
      </c>
      <c r="G768" s="8" t="n">
        <v>32100</v>
      </c>
      <c r="H768" s="8" t="n">
        <v>1</v>
      </c>
      <c r="I768" s="8" t="n">
        <v>3242100</v>
      </c>
    </row>
    <row r="769">
      <c r="A769" s="8" t="inlineStr"/>
      <c r="B769" s="8" t="inlineStr">
        <is>
          <t>Z999</t>
        </is>
      </c>
      <c r="C769" s="8" t="inlineStr">
        <is>
          <t>Vật liệu khác</t>
        </is>
      </c>
      <c r="E769" s="8" t="inlineStr">
        <is>
          <t>%</t>
        </is>
      </c>
      <c r="F769" s="8" t="n">
        <v>0.1</v>
      </c>
      <c r="G769" s="8" t="n">
        <v>3242100</v>
      </c>
      <c r="H769" s="8" t="inlineStr"/>
      <c r="I769" s="8" t="n">
        <v>3242.1</v>
      </c>
    </row>
    <row r="770">
      <c r="A770" s="8" t="inlineStr"/>
      <c r="B770" s="8" t="inlineStr"/>
      <c r="C770" s="8" t="inlineStr">
        <is>
          <t>Cộng</t>
        </is>
      </c>
      <c r="E770" s="8" t="inlineStr"/>
      <c r="F770" s="8" t="inlineStr"/>
      <c r="G770" s="8" t="inlineStr"/>
      <c r="H770" s="8" t="inlineStr"/>
      <c r="I770" s="8" t="n">
        <v>3245342.1</v>
      </c>
    </row>
    <row r="771">
      <c r="A771" s="8" t="inlineStr"/>
      <c r="B771" s="8" t="inlineStr"/>
      <c r="C771" s="8" t="inlineStr">
        <is>
          <t>b) Nhân công</t>
        </is>
      </c>
      <c r="E771" s="8" t="inlineStr"/>
      <c r="F771" s="8" t="inlineStr"/>
      <c r="G771" s="8" t="inlineStr"/>
      <c r="H771" s="8" t="inlineStr"/>
      <c r="I771" s="8" t="n">
        <v>4526200</v>
      </c>
    </row>
    <row r="772">
      <c r="A772" s="8" t="inlineStr"/>
      <c r="B772" s="8" t="inlineStr">
        <is>
          <t>N3</t>
        </is>
      </c>
      <c r="C772" s="8" t="inlineStr">
        <is>
          <t>Nhân công nhóm 3</t>
        </is>
      </c>
      <c r="E772" s="8" t="inlineStr">
        <is>
          <t>công</t>
        </is>
      </c>
      <c r="F772" s="8" t="n">
        <v>10.6</v>
      </c>
      <c r="G772" s="8" t="n">
        <v>427000</v>
      </c>
      <c r="H772" s="8" t="n">
        <v>1</v>
      </c>
      <c r="I772" s="8" t="n">
        <v>4526200</v>
      </c>
    </row>
    <row r="773">
      <c r="A773" s="8" t="inlineStr"/>
      <c r="B773" s="8" t="inlineStr"/>
      <c r="C773" s="8" t="inlineStr">
        <is>
          <t>Cộng chi phí trực tiếp (VL+NC+M)</t>
        </is>
      </c>
      <c r="E773" s="8" t="inlineStr">
        <is>
          <t>T</t>
        </is>
      </c>
      <c r="F773" s="8" t="inlineStr"/>
      <c r="G773" s="8" t="inlineStr"/>
      <c r="H773" s="8" t="inlineStr"/>
      <c r="I773" s="8" t="n">
        <v>7771542.1</v>
      </c>
    </row>
    <row r="774">
      <c r="A774" s="8" t="inlineStr"/>
      <c r="B774" s="8" t="inlineStr"/>
      <c r="C774" s="8" t="inlineStr">
        <is>
          <t>CHI PHÍ GIÁN TIẾP</t>
        </is>
      </c>
      <c r="E774" s="8" t="inlineStr">
        <is>
          <t>GT</t>
        </is>
      </c>
      <c r="F774" s="8" t="inlineStr"/>
      <c r="G774" s="8" t="inlineStr"/>
      <c r="H774" s="8" t="inlineStr"/>
      <c r="I774" s="8" t="n">
        <v>761611.1257999999</v>
      </c>
    </row>
    <row r="775">
      <c r="A775" s="8" t="inlineStr"/>
      <c r="B775" s="8" t="inlineStr"/>
      <c r="C775" s="8" t="inlineStr">
        <is>
          <t>Chi phí chung (T x 7,3%)</t>
        </is>
      </c>
      <c r="E775" s="8" t="inlineStr">
        <is>
          <t>C</t>
        </is>
      </c>
      <c r="F775" s="8" t="inlineStr">
        <is>
          <t>7,3%</t>
        </is>
      </c>
      <c r="G775" s="8" t="inlineStr"/>
      <c r="H775" s="8" t="inlineStr"/>
      <c r="I775" s="8" t="n">
        <v>567322.5732999999</v>
      </c>
    </row>
    <row r="776">
      <c r="A776" s="8" t="inlineStr"/>
      <c r="B776" s="8" t="inlineStr"/>
      <c r="C776" s="8" t="inlineStr">
        <is>
          <t>Chi phí một số công việc không xác định được khối lượng từ thiết kế (T x 2,5%)</t>
        </is>
      </c>
      <c r="E776" s="8" t="inlineStr">
        <is>
          <t>TT</t>
        </is>
      </c>
      <c r="F776" s="8" t="inlineStr">
        <is>
          <t>2,5%</t>
        </is>
      </c>
      <c r="G776" s="8" t="inlineStr"/>
      <c r="H776" s="8" t="inlineStr"/>
      <c r="I776" s="8" t="n">
        <v>194288.5525</v>
      </c>
    </row>
    <row r="777">
      <c r="A777" s="8" t="inlineStr"/>
      <c r="B777" s="8" t="inlineStr"/>
      <c r="C777" s="8" t="inlineStr">
        <is>
          <t>THU NHẬP CHỊU THUẾ TÍNH TRƯỚC (T+GT) x 5,5%</t>
        </is>
      </c>
      <c r="E777" s="8" t="inlineStr">
        <is>
          <t>TL</t>
        </is>
      </c>
      <c r="F777" s="8" t="inlineStr">
        <is>
          <t>5,5%</t>
        </is>
      </c>
      <c r="G777" s="8" t="inlineStr"/>
      <c r="H777" s="8" t="inlineStr"/>
      <c r="I777" s="8" t="n">
        <v>469323.427419</v>
      </c>
    </row>
    <row r="778">
      <c r="A778" s="8" t="inlineStr"/>
      <c r="B778" s="8" t="inlineStr"/>
      <c r="C778" s="8" t="inlineStr">
        <is>
          <t>Chi phí xây dựng trước thuế (T + GT + TL)</t>
        </is>
      </c>
      <c r="E778" s="8" t="inlineStr">
        <is>
          <t>Gxdtt</t>
        </is>
      </c>
      <c r="F778" s="8" t="inlineStr"/>
      <c r="G778" s="8" t="inlineStr"/>
      <c r="H778" s="8" t="inlineStr"/>
      <c r="I778" s="8" t="n">
        <v>9002476.653219</v>
      </c>
    </row>
    <row r="779">
      <c r="A779" s="8" t="inlineStr"/>
      <c r="B779" s="8" t="inlineStr"/>
      <c r="C779" s="8" t="inlineStr">
        <is>
          <t>THUẾ GIÁ TRỊ GIA TĂNG (Gxdtt x 10%)</t>
        </is>
      </c>
      <c r="E779" s="8" t="inlineStr">
        <is>
          <t>GTGT</t>
        </is>
      </c>
      <c r="F779" s="8" t="n">
        <v>0.1</v>
      </c>
      <c r="G779" s="8" t="inlineStr"/>
      <c r="H779" s="8" t="inlineStr"/>
      <c r="I779" s="8" t="n">
        <v>900247.6653219</v>
      </c>
    </row>
    <row r="780">
      <c r="A780" s="8" t="inlineStr"/>
      <c r="B780" s="8" t="inlineStr"/>
      <c r="C780" s="8" t="inlineStr">
        <is>
          <t>Chi phí xây dựng sau thuế (Gxdtt + GTGT)</t>
        </is>
      </c>
      <c r="E780" s="8" t="inlineStr">
        <is>
          <t>Gxdst</t>
        </is>
      </c>
      <c r="F780" s="8" t="inlineStr"/>
      <c r="G780" s="8" t="inlineStr"/>
      <c r="H780" s="8" t="inlineStr"/>
      <c r="I780" s="8" t="n">
        <v>9902724.318540899</v>
      </c>
    </row>
    <row r="781">
      <c r="A781" s="8" t="inlineStr"/>
      <c r="B781" s="8" t="inlineStr"/>
      <c r="C781" s="8" t="inlineStr">
        <is>
          <t>Chi phí nhà tạm để ở và điều hành thi công (Gxdtt x 0,9% x (1+10%))</t>
        </is>
      </c>
      <c r="E781" s="8" t="inlineStr">
        <is>
          <t>LT</t>
        </is>
      </c>
      <c r="F781" s="8" t="n">
        <v>0.008999999999999999</v>
      </c>
      <c r="G781" s="8" t="inlineStr"/>
      <c r="H781" s="8" t="inlineStr"/>
      <c r="I781" s="8" t="n">
        <v>89124.51886686809</v>
      </c>
    </row>
    <row r="782">
      <c r="A782" s="8" t="inlineStr"/>
      <c r="B782" s="8" t="inlineStr"/>
      <c r="C782" s="8" t="inlineStr">
        <is>
          <t>TỔNG CỘNG (Gxdst + LT)</t>
        </is>
      </c>
      <c r="E782" s="8" t="inlineStr">
        <is>
          <t>Gxd</t>
        </is>
      </c>
      <c r="F782" s="8" t="inlineStr"/>
      <c r="G782" s="8" t="inlineStr"/>
      <c r="H782" s="8" t="inlineStr"/>
      <c r="I782" s="8" t="n">
        <v>9991848.837407768</v>
      </c>
    </row>
    <row r="783">
      <c r="A783" s="8" t="inlineStr"/>
      <c r="B783" s="8" t="inlineStr">
        <is>
          <t>*</t>
        </is>
      </c>
      <c r="C783" s="8" t="inlineStr">
        <is>
          <t>Dây điện</t>
        </is>
      </c>
      <c r="E783" s="8" t="inlineStr"/>
      <c r="F783" s="8" t="inlineStr"/>
      <c r="G783" s="8" t="inlineStr"/>
      <c r="H783" s="8" t="inlineStr"/>
      <c r="I783" s="8" t="inlineStr"/>
    </row>
    <row r="784">
      <c r="A784" s="8" t="n">
        <v>29</v>
      </c>
      <c r="B784" s="11" t="inlineStr">
        <is>
          <t>BA.16201</t>
        </is>
      </c>
      <c r="C784" s="8" t="inlineStr">
        <is>
          <t>Dây điện_Cu/PVC_2x(1x0.75)mm2</t>
        </is>
      </c>
      <c r="D784" s="12">
        <f>HYPERLINK("tt38://pl3/14", "👉 Phụ lục III - Trang 14 (Khớp nhóm BA.1620)")</f>
        <v/>
      </c>
      <c r="E784" s="8" t="inlineStr">
        <is>
          <t>m</t>
        </is>
      </c>
      <c r="F784" s="8" t="n">
        <v>1</v>
      </c>
      <c r="G784" s="8" t="inlineStr"/>
      <c r="H784" s="8" t="inlineStr"/>
      <c r="I784" s="8" t="inlineStr"/>
    </row>
    <row r="785">
      <c r="A785" s="8" t="inlineStr"/>
      <c r="B785" s="8" t="inlineStr"/>
      <c r="C785" s="8" t="inlineStr">
        <is>
          <t>a) Vật liệu</t>
        </is>
      </c>
      <c r="E785" s="8" t="inlineStr"/>
      <c r="F785" s="8" t="inlineStr"/>
      <c r="G785" s="8" t="inlineStr"/>
      <c r="H785" s="8" t="inlineStr"/>
      <c r="I785" s="8" t="n">
        <v>9006.9174</v>
      </c>
    </row>
    <row r="786">
      <c r="A786" s="8" t="inlineStr"/>
      <c r="B786" s="8" t="inlineStr">
        <is>
          <t>A33.0074</t>
        </is>
      </c>
      <c r="C786" s="8" t="inlineStr">
        <is>
          <t>Dây điện_Cu/PVC_2x(1x0.75)mm2</t>
        </is>
      </c>
      <c r="E786" s="8" t="inlineStr">
        <is>
          <t>m</t>
        </is>
      </c>
      <c r="F786" s="8" t="n">
        <v>1.01</v>
      </c>
      <c r="G786" s="8" t="n">
        <v>8658</v>
      </c>
      <c r="H786" s="8" t="n">
        <v>1</v>
      </c>
      <c r="I786" s="8" t="n">
        <v>8744.58</v>
      </c>
    </row>
    <row r="787">
      <c r="A787" s="8" t="inlineStr"/>
      <c r="B787" s="8" t="inlineStr">
        <is>
          <t>Z999</t>
        </is>
      </c>
      <c r="C787" s="8" t="inlineStr">
        <is>
          <t>Vật liệu khác</t>
        </is>
      </c>
      <c r="E787" s="8" t="inlineStr">
        <is>
          <t>%</t>
        </is>
      </c>
      <c r="F787" s="8" t="n">
        <v>3</v>
      </c>
      <c r="G787" s="8" t="n">
        <v>8744.58</v>
      </c>
      <c r="H787" s="8" t="inlineStr"/>
      <c r="I787" s="8" t="n">
        <v>262.3374</v>
      </c>
    </row>
    <row r="788">
      <c r="A788" s="8" t="inlineStr"/>
      <c r="B788" s="8" t="inlineStr"/>
      <c r="C788" s="8" t="inlineStr">
        <is>
          <t>Cộng</t>
        </is>
      </c>
      <c r="E788" s="8" t="inlineStr"/>
      <c r="F788" s="8" t="inlineStr"/>
      <c r="G788" s="8" t="inlineStr"/>
      <c r="H788" s="8" t="inlineStr"/>
      <c r="I788" s="8" t="n">
        <v>9006.9174</v>
      </c>
    </row>
    <row r="789">
      <c r="A789" s="8" t="inlineStr"/>
      <c r="B789" s="8" t="inlineStr"/>
      <c r="C789" s="8" t="inlineStr">
        <is>
          <t>b) Nhân công</t>
        </is>
      </c>
      <c r="E789" s="8" t="inlineStr"/>
      <c r="F789" s="8" t="inlineStr"/>
      <c r="G789" s="8" t="inlineStr"/>
      <c r="H789" s="8" t="inlineStr"/>
      <c r="I789" s="8" t="n">
        <v>9821</v>
      </c>
    </row>
    <row r="790">
      <c r="A790" s="8" t="inlineStr"/>
      <c r="B790" s="8" t="inlineStr">
        <is>
          <t>N3</t>
        </is>
      </c>
      <c r="C790" s="8" t="inlineStr">
        <is>
          <t>Nhân công nhóm 3</t>
        </is>
      </c>
      <c r="E790" s="8" t="inlineStr">
        <is>
          <t>công</t>
        </is>
      </c>
      <c r="F790" s="8" t="n">
        <v>0.023</v>
      </c>
      <c r="G790" s="8" t="n">
        <v>427000</v>
      </c>
      <c r="H790" s="8" t="n">
        <v>1</v>
      </c>
      <c r="I790" s="8" t="n">
        <v>9821</v>
      </c>
    </row>
    <row r="791">
      <c r="A791" s="8" t="inlineStr"/>
      <c r="B791" s="8" t="inlineStr"/>
      <c r="C791" s="8" t="inlineStr">
        <is>
          <t>Cộng chi phí trực tiếp (VL+NC+M)</t>
        </is>
      </c>
      <c r="E791" s="8" t="inlineStr">
        <is>
          <t>T</t>
        </is>
      </c>
      <c r="F791" s="8" t="inlineStr"/>
      <c r="G791" s="8" t="inlineStr"/>
      <c r="H791" s="8" t="inlineStr"/>
      <c r="I791" s="8" t="n">
        <v>18827.9174</v>
      </c>
    </row>
    <row r="792">
      <c r="A792" s="8" t="inlineStr"/>
      <c r="B792" s="8" t="inlineStr"/>
      <c r="C792" s="8" t="inlineStr">
        <is>
          <t>CHI PHÍ GIÁN TIẾP</t>
        </is>
      </c>
      <c r="E792" s="8" t="inlineStr">
        <is>
          <t>GT</t>
        </is>
      </c>
      <c r="F792" s="8" t="inlineStr"/>
      <c r="G792" s="8" t="inlineStr"/>
      <c r="H792" s="8" t="inlineStr"/>
      <c r="I792" s="8" t="n">
        <v>1845.1359052</v>
      </c>
    </row>
    <row r="793">
      <c r="A793" s="8" t="inlineStr"/>
      <c r="B793" s="8" t="inlineStr"/>
      <c r="C793" s="8" t="inlineStr">
        <is>
          <t>Chi phí chung (T x 7,3%)</t>
        </is>
      </c>
      <c r="E793" s="8" t="inlineStr">
        <is>
          <t>C</t>
        </is>
      </c>
      <c r="F793" s="8" t="inlineStr">
        <is>
          <t>7,3%</t>
        </is>
      </c>
      <c r="G793" s="8" t="inlineStr"/>
      <c r="H793" s="8" t="inlineStr"/>
      <c r="I793" s="8" t="n">
        <v>1374.4379702</v>
      </c>
    </row>
    <row r="794">
      <c r="A794" s="8" t="inlineStr"/>
      <c r="B794" s="8" t="inlineStr"/>
      <c r="C794" s="8" t="inlineStr">
        <is>
          <t>Chi phí một số công việc không xác định được khối lượng từ thiết kế (T x 2,5%)</t>
        </is>
      </c>
      <c r="E794" s="8" t="inlineStr">
        <is>
          <t>TT</t>
        </is>
      </c>
      <c r="F794" s="8" t="inlineStr">
        <is>
          <t>2,5%</t>
        </is>
      </c>
      <c r="G794" s="8" t="inlineStr"/>
      <c r="H794" s="8" t="inlineStr"/>
      <c r="I794" s="8" t="n">
        <v>470.697935</v>
      </c>
    </row>
    <row r="795">
      <c r="A795" s="8" t="inlineStr"/>
      <c r="B795" s="8" t="inlineStr"/>
      <c r="C795" s="8" t="inlineStr">
        <is>
          <t>THU NHẬP CHỊU THUẾ TÍNH TRƯỚC (T+GT) x 5,5%</t>
        </is>
      </c>
      <c r="E795" s="8" t="inlineStr">
        <is>
          <t>TL</t>
        </is>
      </c>
      <c r="F795" s="8" t="inlineStr">
        <is>
          <t>5,5%</t>
        </is>
      </c>
      <c r="G795" s="8" t="inlineStr"/>
      <c r="H795" s="8" t="inlineStr"/>
      <c r="I795" s="8" t="n">
        <v>1137.017931786</v>
      </c>
    </row>
    <row r="796">
      <c r="A796" s="8" t="inlineStr"/>
      <c r="B796" s="8" t="inlineStr"/>
      <c r="C796" s="8" t="inlineStr">
        <is>
          <t>Chi phí xây dựng trước thuế (T + GT + TL)</t>
        </is>
      </c>
      <c r="E796" s="8" t="inlineStr">
        <is>
          <t>Gxdtt</t>
        </is>
      </c>
      <c r="F796" s="8" t="inlineStr"/>
      <c r="G796" s="8" t="inlineStr"/>
      <c r="H796" s="8" t="inlineStr"/>
      <c r="I796" s="8" t="n">
        <v>21810.071236986</v>
      </c>
    </row>
    <row r="797">
      <c r="A797" s="8" t="inlineStr"/>
      <c r="B797" s="8" t="inlineStr"/>
      <c r="C797" s="8" t="inlineStr">
        <is>
          <t>THUẾ GIÁ TRỊ GIA TĂNG (Gxdtt x 10%)</t>
        </is>
      </c>
      <c r="E797" s="8" t="inlineStr">
        <is>
          <t>GTGT</t>
        </is>
      </c>
      <c r="F797" s="8" t="n">
        <v>0.1</v>
      </c>
      <c r="G797" s="8" t="inlineStr"/>
      <c r="H797" s="8" t="inlineStr"/>
      <c r="I797" s="8" t="n">
        <v>2181.0071236986</v>
      </c>
    </row>
    <row r="798">
      <c r="A798" s="8" t="inlineStr"/>
      <c r="B798" s="8" t="inlineStr"/>
      <c r="C798" s="8" t="inlineStr">
        <is>
          <t>Chi phí xây dựng sau thuế (Gxdtt + GTGT)</t>
        </is>
      </c>
      <c r="E798" s="8" t="inlineStr">
        <is>
          <t>Gxdst</t>
        </is>
      </c>
      <c r="F798" s="8" t="inlineStr"/>
      <c r="G798" s="8" t="inlineStr"/>
      <c r="H798" s="8" t="inlineStr"/>
      <c r="I798" s="8" t="n">
        <v>23991.0783606846</v>
      </c>
    </row>
    <row r="799">
      <c r="A799" s="8" t="inlineStr"/>
      <c r="B799" s="8" t="inlineStr"/>
      <c r="C799" s="8" t="inlineStr">
        <is>
          <t>Chi phí nhà tạm để ở và điều hành thi công (Gxdtt x 0,9% x (1+10%))</t>
        </is>
      </c>
      <c r="E799" s="8" t="inlineStr">
        <is>
          <t>LT</t>
        </is>
      </c>
      <c r="F799" s="8" t="n">
        <v>0.008999999999999999</v>
      </c>
      <c r="G799" s="8" t="inlineStr"/>
      <c r="H799" s="8" t="inlineStr"/>
      <c r="I799" s="8" t="n">
        <v>215.9197052461614</v>
      </c>
    </row>
    <row r="800">
      <c r="A800" s="8" t="inlineStr"/>
      <c r="B800" s="8" t="inlineStr"/>
      <c r="C800" s="8" t="inlineStr">
        <is>
          <t>TỔNG CỘNG (Gxdst + LT)</t>
        </is>
      </c>
      <c r="E800" s="8" t="inlineStr">
        <is>
          <t>Gxd</t>
        </is>
      </c>
      <c r="F800" s="8" t="inlineStr"/>
      <c r="G800" s="8" t="inlineStr"/>
      <c r="H800" s="8" t="inlineStr"/>
      <c r="I800" s="8" t="n">
        <v>24206.99806593076</v>
      </c>
    </row>
    <row r="801">
      <c r="A801" s="8" t="n">
        <v>30</v>
      </c>
      <c r="B801" s="11" t="inlineStr">
        <is>
          <t>BA.16202</t>
        </is>
      </c>
      <c r="C801" s="8" t="inlineStr">
        <is>
          <t>Dây điện_Cu/PVC_2x(1x1.5)mm2</t>
        </is>
      </c>
      <c r="D801" s="12">
        <f>HYPERLINK("tt38://pl3/14", "👉 Phụ lục III - Trang 14 (Khớp nhóm BA.1620)")</f>
        <v/>
      </c>
      <c r="E801" s="8" t="inlineStr">
        <is>
          <t>m</t>
        </is>
      </c>
      <c r="F801" s="8" t="n">
        <v>1</v>
      </c>
      <c r="G801" s="8" t="inlineStr"/>
      <c r="H801" s="8" t="inlineStr"/>
      <c r="I801" s="8" t="inlineStr"/>
    </row>
    <row r="802">
      <c r="A802" s="8" t="inlineStr"/>
      <c r="B802" s="8" t="inlineStr"/>
      <c r="C802" s="8" t="inlineStr">
        <is>
          <t>a) Vật liệu</t>
        </is>
      </c>
      <c r="E802" s="8" t="inlineStr"/>
      <c r="F802" s="8" t="inlineStr"/>
      <c r="G802" s="8" t="inlineStr"/>
      <c r="H802" s="8" t="inlineStr"/>
      <c r="I802" s="8" t="n">
        <v>15661.7165</v>
      </c>
    </row>
    <row r="803">
      <c r="A803" s="8" t="inlineStr"/>
      <c r="B803" s="8" t="inlineStr">
        <is>
          <t>A33.0075</t>
        </is>
      </c>
      <c r="C803" s="8" t="inlineStr">
        <is>
          <t>Dây điện_Cu/PVC_2x(1x1.5)mm2</t>
        </is>
      </c>
      <c r="E803" s="8" t="inlineStr">
        <is>
          <t>m</t>
        </is>
      </c>
      <c r="F803" s="8" t="n">
        <v>1.01</v>
      </c>
      <c r="G803" s="8" t="n">
        <v>15055</v>
      </c>
      <c r="H803" s="8" t="n">
        <v>1</v>
      </c>
      <c r="I803" s="8" t="n">
        <v>15205.55</v>
      </c>
    </row>
    <row r="804">
      <c r="A804" s="8" t="inlineStr"/>
      <c r="B804" s="8" t="inlineStr">
        <is>
          <t>Z999</t>
        </is>
      </c>
      <c r="C804" s="8" t="inlineStr">
        <is>
          <t>Vật liệu khác</t>
        </is>
      </c>
      <c r="E804" s="8" t="inlineStr">
        <is>
          <t>%</t>
        </is>
      </c>
      <c r="F804" s="8" t="n">
        <v>3</v>
      </c>
      <c r="G804" s="8" t="n">
        <v>15205.55</v>
      </c>
      <c r="H804" s="8" t="inlineStr"/>
      <c r="I804" s="8" t="n">
        <v>456.1664999999999</v>
      </c>
    </row>
    <row r="805">
      <c r="A805" s="8" t="inlineStr"/>
      <c r="B805" s="8" t="inlineStr"/>
      <c r="C805" s="8" t="inlineStr">
        <is>
          <t>Cộng</t>
        </is>
      </c>
      <c r="E805" s="8" t="inlineStr"/>
      <c r="F805" s="8" t="inlineStr"/>
      <c r="G805" s="8" t="inlineStr"/>
      <c r="H805" s="8" t="inlineStr"/>
      <c r="I805" s="8" t="n">
        <v>15661.7165</v>
      </c>
    </row>
    <row r="806">
      <c r="A806" s="8" t="inlineStr"/>
      <c r="B806" s="8" t="inlineStr"/>
      <c r="C806" s="8" t="inlineStr">
        <is>
          <t>b) Nhân công</t>
        </is>
      </c>
      <c r="E806" s="8" t="inlineStr"/>
      <c r="F806" s="8" t="inlineStr"/>
      <c r="G806" s="8" t="inlineStr"/>
      <c r="H806" s="8" t="inlineStr"/>
      <c r="I806" s="8" t="n">
        <v>11956</v>
      </c>
    </row>
    <row r="807">
      <c r="A807" s="8" t="inlineStr"/>
      <c r="B807" s="8" t="inlineStr">
        <is>
          <t>N3</t>
        </is>
      </c>
      <c r="C807" s="8" t="inlineStr">
        <is>
          <t>Nhân công nhóm 3</t>
        </is>
      </c>
      <c r="E807" s="8" t="inlineStr">
        <is>
          <t>công</t>
        </is>
      </c>
      <c r="F807" s="8" t="n">
        <v>0.028</v>
      </c>
      <c r="G807" s="8" t="n">
        <v>427000</v>
      </c>
      <c r="H807" s="8" t="n">
        <v>1</v>
      </c>
      <c r="I807" s="8" t="n">
        <v>11956</v>
      </c>
    </row>
    <row r="808">
      <c r="A808" s="8" t="inlineStr"/>
      <c r="B808" s="8" t="inlineStr"/>
      <c r="C808" s="8" t="inlineStr">
        <is>
          <t>Cộng chi phí trực tiếp (VL+NC+M)</t>
        </is>
      </c>
      <c r="E808" s="8" t="inlineStr">
        <is>
          <t>T</t>
        </is>
      </c>
      <c r="F808" s="8" t="inlineStr"/>
      <c r="G808" s="8" t="inlineStr"/>
      <c r="H808" s="8" t="inlineStr"/>
      <c r="I808" s="8" t="n">
        <v>27617.7165</v>
      </c>
    </row>
    <row r="809">
      <c r="A809" s="8" t="inlineStr"/>
      <c r="B809" s="8" t="inlineStr"/>
      <c r="C809" s="8" t="inlineStr">
        <is>
          <t>CHI PHÍ GIÁN TIẾP</t>
        </is>
      </c>
      <c r="E809" s="8" t="inlineStr">
        <is>
          <t>GT</t>
        </is>
      </c>
      <c r="F809" s="8" t="inlineStr"/>
      <c r="G809" s="8" t="inlineStr"/>
      <c r="H809" s="8" t="inlineStr"/>
      <c r="I809" s="8" t="n">
        <v>2706.536217</v>
      </c>
    </row>
    <row r="810">
      <c r="A810" s="8" t="inlineStr"/>
      <c r="B810" s="8" t="inlineStr"/>
      <c r="C810" s="8" t="inlineStr">
        <is>
          <t>Chi phí chung (T x 7,3%)</t>
        </is>
      </c>
      <c r="E810" s="8" t="inlineStr">
        <is>
          <t>C</t>
        </is>
      </c>
      <c r="F810" s="8" t="inlineStr">
        <is>
          <t>7,3%</t>
        </is>
      </c>
      <c r="G810" s="8" t="inlineStr"/>
      <c r="H810" s="8" t="inlineStr"/>
      <c r="I810" s="8" t="n">
        <v>2016.0933045</v>
      </c>
    </row>
    <row r="811">
      <c r="A811" s="8" t="inlineStr"/>
      <c r="B811" s="8" t="inlineStr"/>
      <c r="C811" s="8" t="inlineStr">
        <is>
          <t>Chi phí một số công việc không xác định được khối lượng từ thiết kế (T x 2,5%)</t>
        </is>
      </c>
      <c r="E811" s="8" t="inlineStr">
        <is>
          <t>TT</t>
        </is>
      </c>
      <c r="F811" s="8" t="inlineStr">
        <is>
          <t>2,5%</t>
        </is>
      </c>
      <c r="G811" s="8" t="inlineStr"/>
      <c r="H811" s="8" t="inlineStr"/>
      <c r="I811" s="8" t="n">
        <v>690.4429125</v>
      </c>
    </row>
    <row r="812">
      <c r="A812" s="8" t="inlineStr"/>
      <c r="B812" s="8" t="inlineStr"/>
      <c r="C812" s="8" t="inlineStr">
        <is>
          <t>THU NHẬP CHỊU THUẾ TÍNH TRƯỚC (T+GT) x 5,5%</t>
        </is>
      </c>
      <c r="E812" s="8" t="inlineStr">
        <is>
          <t>TL</t>
        </is>
      </c>
      <c r="F812" s="8" t="inlineStr">
        <is>
          <t>5,5%</t>
        </is>
      </c>
      <c r="G812" s="8" t="inlineStr"/>
      <c r="H812" s="8" t="inlineStr"/>
      <c r="I812" s="8" t="n">
        <v>1667.833899435</v>
      </c>
    </row>
    <row r="813">
      <c r="A813" s="8" t="inlineStr"/>
      <c r="B813" s="8" t="inlineStr"/>
      <c r="C813" s="8" t="inlineStr">
        <is>
          <t>Chi phí xây dựng trước thuế (T + GT + TL)</t>
        </is>
      </c>
      <c r="E813" s="8" t="inlineStr">
        <is>
          <t>Gxdtt</t>
        </is>
      </c>
      <c r="F813" s="8" t="inlineStr"/>
      <c r="G813" s="8" t="inlineStr"/>
      <c r="H813" s="8" t="inlineStr"/>
      <c r="I813" s="8" t="n">
        <v>31992.086616435</v>
      </c>
    </row>
    <row r="814">
      <c r="A814" s="8" t="inlineStr"/>
      <c r="B814" s="8" t="inlineStr"/>
      <c r="C814" s="8" t="inlineStr">
        <is>
          <t>THUẾ GIÁ TRỊ GIA TĂNG (Gxdtt x 10%)</t>
        </is>
      </c>
      <c r="E814" s="8" t="inlineStr">
        <is>
          <t>GTGT</t>
        </is>
      </c>
      <c r="F814" s="8" t="n">
        <v>0.1</v>
      </c>
      <c r="G814" s="8" t="inlineStr"/>
      <c r="H814" s="8" t="inlineStr"/>
      <c r="I814" s="8" t="n">
        <v>3199.2086616435</v>
      </c>
    </row>
    <row r="815">
      <c r="A815" s="8" t="inlineStr"/>
      <c r="B815" s="8" t="inlineStr"/>
      <c r="C815" s="8" t="inlineStr">
        <is>
          <t>Chi phí xây dựng sau thuế (Gxdtt + GTGT)</t>
        </is>
      </c>
      <c r="E815" s="8" t="inlineStr">
        <is>
          <t>Gxdst</t>
        </is>
      </c>
      <c r="F815" s="8" t="inlineStr"/>
      <c r="G815" s="8" t="inlineStr"/>
      <c r="H815" s="8" t="inlineStr"/>
      <c r="I815" s="8" t="n">
        <v>35191.2952780785</v>
      </c>
    </row>
    <row r="816">
      <c r="A816" s="8" t="inlineStr"/>
      <c r="B816" s="8" t="inlineStr"/>
      <c r="C816" s="8" t="inlineStr">
        <is>
          <t>Chi phí nhà tạm để ở và điều hành thi công (Gxdtt x 0,9% x (1+10%))</t>
        </is>
      </c>
      <c r="E816" s="8" t="inlineStr">
        <is>
          <t>LT</t>
        </is>
      </c>
      <c r="F816" s="8" t="n">
        <v>0.008999999999999999</v>
      </c>
      <c r="G816" s="8" t="inlineStr"/>
      <c r="H816" s="8" t="inlineStr"/>
      <c r="I816" s="8" t="n">
        <v>316.7216575027065</v>
      </c>
    </row>
    <row r="817">
      <c r="A817" s="8" t="inlineStr"/>
      <c r="B817" s="8" t="inlineStr"/>
      <c r="C817" s="8" t="inlineStr">
        <is>
          <t>TỔNG CỘNG (Gxdst + LT)</t>
        </is>
      </c>
      <c r="E817" s="8" t="inlineStr">
        <is>
          <t>Gxd</t>
        </is>
      </c>
      <c r="F817" s="8" t="inlineStr"/>
      <c r="G817" s="8" t="inlineStr"/>
      <c r="H817" s="8" t="inlineStr"/>
      <c r="I817" s="8" t="n">
        <v>35508.0169355812</v>
      </c>
    </row>
    <row r="818">
      <c r="A818" s="8" t="n">
        <v>31</v>
      </c>
      <c r="B818" s="11" t="inlineStr">
        <is>
          <t>BA.16202</t>
        </is>
      </c>
      <c r="C818" s="8" t="inlineStr">
        <is>
          <t>Dây điện_Cu/PVC_2x(1x2.5)mm2</t>
        </is>
      </c>
      <c r="D818" s="12">
        <f>HYPERLINK("tt38://pl3/14", "👉 Phụ lục III - Trang 14 (Khớp nhóm BA.1620)")</f>
        <v/>
      </c>
      <c r="E818" s="8" t="inlineStr">
        <is>
          <t>m</t>
        </is>
      </c>
      <c r="F818" s="8" t="n">
        <v>1</v>
      </c>
      <c r="G818" s="8" t="inlineStr"/>
      <c r="H818" s="8" t="inlineStr"/>
      <c r="I818" s="8" t="inlineStr"/>
    </row>
    <row r="819">
      <c r="A819" s="8" t="inlineStr"/>
      <c r="B819" s="8" t="inlineStr"/>
      <c r="C819" s="8" t="inlineStr">
        <is>
          <t>a) Vật liệu</t>
        </is>
      </c>
      <c r="E819" s="8" t="inlineStr"/>
      <c r="F819" s="8" t="inlineStr"/>
      <c r="G819" s="8" t="inlineStr"/>
      <c r="H819" s="8" t="inlineStr"/>
      <c r="I819" s="8" t="n">
        <v>25582.0173</v>
      </c>
    </row>
    <row r="820">
      <c r="A820" s="8" t="inlineStr"/>
      <c r="B820" s="8" t="inlineStr">
        <is>
          <t>A33.0075</t>
        </is>
      </c>
      <c r="C820" s="8" t="inlineStr">
        <is>
          <t>Dây điện_Cu/PVC_2x(1x2.5)mm2</t>
        </is>
      </c>
      <c r="E820" s="8" t="inlineStr">
        <is>
          <t>m</t>
        </is>
      </c>
      <c r="F820" s="8" t="n">
        <v>1.01</v>
      </c>
      <c r="G820" s="8" t="n">
        <v>24591</v>
      </c>
      <c r="H820" s="8" t="n">
        <v>1</v>
      </c>
      <c r="I820" s="8" t="n">
        <v>24836.91</v>
      </c>
    </row>
    <row r="821">
      <c r="A821" s="8" t="inlineStr"/>
      <c r="B821" s="8" t="inlineStr">
        <is>
          <t>Z999</t>
        </is>
      </c>
      <c r="C821" s="8" t="inlineStr">
        <is>
          <t>Vật liệu khác</t>
        </is>
      </c>
      <c r="E821" s="8" t="inlineStr">
        <is>
          <t>%</t>
        </is>
      </c>
      <c r="F821" s="8" t="n">
        <v>3</v>
      </c>
      <c r="G821" s="8" t="n">
        <v>24836.91</v>
      </c>
      <c r="H821" s="8" t="inlineStr"/>
      <c r="I821" s="8" t="n">
        <v>745.1073</v>
      </c>
    </row>
    <row r="822">
      <c r="A822" s="8" t="inlineStr"/>
      <c r="B822" s="8" t="inlineStr"/>
      <c r="C822" s="8" t="inlineStr">
        <is>
          <t>Cộng</t>
        </is>
      </c>
      <c r="E822" s="8" t="inlineStr"/>
      <c r="F822" s="8" t="inlineStr"/>
      <c r="G822" s="8" t="inlineStr"/>
      <c r="H822" s="8" t="inlineStr"/>
      <c r="I822" s="8" t="n">
        <v>25582.0173</v>
      </c>
    </row>
    <row r="823">
      <c r="A823" s="8" t="inlineStr"/>
      <c r="B823" s="8" t="inlineStr"/>
      <c r="C823" s="8" t="inlineStr">
        <is>
          <t>b) Nhân công</t>
        </is>
      </c>
      <c r="E823" s="8" t="inlineStr"/>
      <c r="F823" s="8" t="inlineStr"/>
      <c r="G823" s="8" t="inlineStr"/>
      <c r="H823" s="8" t="inlineStr"/>
      <c r="I823" s="8" t="n">
        <v>11956</v>
      </c>
    </row>
    <row r="824">
      <c r="A824" s="8" t="inlineStr"/>
      <c r="B824" s="8" t="inlineStr">
        <is>
          <t>N3</t>
        </is>
      </c>
      <c r="C824" s="8" t="inlineStr">
        <is>
          <t>Nhân công nhóm 3</t>
        </is>
      </c>
      <c r="E824" s="8" t="inlineStr">
        <is>
          <t>công</t>
        </is>
      </c>
      <c r="F824" s="8" t="n">
        <v>0.028</v>
      </c>
      <c r="G824" s="8" t="n">
        <v>427000</v>
      </c>
      <c r="H824" s="8" t="n">
        <v>1</v>
      </c>
      <c r="I824" s="8" t="n">
        <v>11956</v>
      </c>
    </row>
    <row r="825">
      <c r="A825" s="8" t="inlineStr"/>
      <c r="B825" s="8" t="inlineStr"/>
      <c r="C825" s="8" t="inlineStr">
        <is>
          <t>Cộng chi phí trực tiếp (VL+NC+M)</t>
        </is>
      </c>
      <c r="E825" s="8" t="inlineStr">
        <is>
          <t>T</t>
        </is>
      </c>
      <c r="F825" s="8" t="inlineStr"/>
      <c r="G825" s="8" t="inlineStr"/>
      <c r="H825" s="8" t="inlineStr"/>
      <c r="I825" s="8" t="n">
        <v>37538.0173</v>
      </c>
    </row>
    <row r="826">
      <c r="A826" s="8" t="inlineStr"/>
      <c r="B826" s="8" t="inlineStr"/>
      <c r="C826" s="8" t="inlineStr">
        <is>
          <t>CHI PHÍ GIÁN TIẾP</t>
        </is>
      </c>
      <c r="E826" s="8" t="inlineStr">
        <is>
          <t>GT</t>
        </is>
      </c>
      <c r="F826" s="8" t="inlineStr"/>
      <c r="G826" s="8" t="inlineStr"/>
      <c r="H826" s="8" t="inlineStr"/>
      <c r="I826" s="8" t="n">
        <v>3678.725695399999</v>
      </c>
    </row>
    <row r="827">
      <c r="A827" s="8" t="inlineStr"/>
      <c r="B827" s="8" t="inlineStr"/>
      <c r="C827" s="8" t="inlineStr">
        <is>
          <t>Chi phí chung (T x 7,3%)</t>
        </is>
      </c>
      <c r="E827" s="8" t="inlineStr">
        <is>
          <t>C</t>
        </is>
      </c>
      <c r="F827" s="8" t="inlineStr">
        <is>
          <t>7,3%</t>
        </is>
      </c>
      <c r="G827" s="8" t="inlineStr"/>
      <c r="H827" s="8" t="inlineStr"/>
      <c r="I827" s="8" t="n">
        <v>2740.2752629</v>
      </c>
    </row>
    <row r="828">
      <c r="A828" s="8" t="inlineStr"/>
      <c r="B828" s="8" t="inlineStr"/>
      <c r="C828" s="8" t="inlineStr">
        <is>
          <t>Chi phí một số công việc không xác định được khối lượng từ thiết kế (T x 2,5%)</t>
        </is>
      </c>
      <c r="E828" s="8" t="inlineStr">
        <is>
          <t>TT</t>
        </is>
      </c>
      <c r="F828" s="8" t="inlineStr">
        <is>
          <t>2,5%</t>
        </is>
      </c>
      <c r="G828" s="8" t="inlineStr"/>
      <c r="H828" s="8" t="inlineStr"/>
      <c r="I828" s="8" t="n">
        <v>938.4504325</v>
      </c>
    </row>
    <row r="829">
      <c r="A829" s="8" t="inlineStr"/>
      <c r="B829" s="8" t="inlineStr"/>
      <c r="C829" s="8" t="inlineStr">
        <is>
          <t>THU NHẬP CHỊU THUẾ TÍNH TRƯỚC (T+GT) x 5,5%</t>
        </is>
      </c>
      <c r="E829" s="8" t="inlineStr">
        <is>
          <t>TL</t>
        </is>
      </c>
      <c r="F829" s="8" t="inlineStr">
        <is>
          <t>5,5%</t>
        </is>
      </c>
      <c r="G829" s="8" t="inlineStr"/>
      <c r="H829" s="8" t="inlineStr"/>
      <c r="I829" s="8" t="n">
        <v>2266.920864747</v>
      </c>
    </row>
    <row r="830">
      <c r="A830" s="8" t="inlineStr"/>
      <c r="B830" s="8" t="inlineStr"/>
      <c r="C830" s="8" t="inlineStr">
        <is>
          <t>Chi phí xây dựng trước thuế (T + GT + TL)</t>
        </is>
      </c>
      <c r="E830" s="8" t="inlineStr">
        <is>
          <t>Gxdtt</t>
        </is>
      </c>
      <c r="F830" s="8" t="inlineStr"/>
      <c r="G830" s="8" t="inlineStr"/>
      <c r="H830" s="8" t="inlineStr"/>
      <c r="I830" s="8" t="n">
        <v>43483.663860147</v>
      </c>
    </row>
    <row r="831">
      <c r="A831" s="8" t="inlineStr"/>
      <c r="B831" s="8" t="inlineStr"/>
      <c r="C831" s="8" t="inlineStr">
        <is>
          <t>THUẾ GIÁ TRỊ GIA TĂNG (Gxdtt x 10%)</t>
        </is>
      </c>
      <c r="E831" s="8" t="inlineStr">
        <is>
          <t>GTGT</t>
        </is>
      </c>
      <c r="F831" s="8" t="n">
        <v>0.1</v>
      </c>
      <c r="G831" s="8" t="inlineStr"/>
      <c r="H831" s="8" t="inlineStr"/>
      <c r="I831" s="8" t="n">
        <v>4348.3663860147</v>
      </c>
    </row>
    <row r="832">
      <c r="A832" s="8" t="inlineStr"/>
      <c r="B832" s="8" t="inlineStr"/>
      <c r="C832" s="8" t="inlineStr">
        <is>
          <t>Chi phí xây dựng sau thuế (Gxdtt + GTGT)</t>
        </is>
      </c>
      <c r="E832" s="8" t="inlineStr">
        <is>
          <t>Gxdst</t>
        </is>
      </c>
      <c r="F832" s="8" t="inlineStr"/>
      <c r="G832" s="8" t="inlineStr"/>
      <c r="H832" s="8" t="inlineStr"/>
      <c r="I832" s="8" t="n">
        <v>47832.0302461617</v>
      </c>
    </row>
    <row r="833">
      <c r="A833" s="8" t="inlineStr"/>
      <c r="B833" s="8" t="inlineStr"/>
      <c r="C833" s="8" t="inlineStr">
        <is>
          <t>Chi phí nhà tạm để ở và điều hành thi công (Gxdtt x 0,9% x (1+10%))</t>
        </is>
      </c>
      <c r="E833" s="8" t="inlineStr">
        <is>
          <t>LT</t>
        </is>
      </c>
      <c r="F833" s="8" t="n">
        <v>0.008999999999999999</v>
      </c>
      <c r="G833" s="8" t="inlineStr"/>
      <c r="H833" s="8" t="inlineStr"/>
      <c r="I833" s="8" t="n">
        <v>430.4882722154553</v>
      </c>
    </row>
    <row r="834">
      <c r="A834" s="8" t="inlineStr"/>
      <c r="B834" s="8" t="inlineStr"/>
      <c r="C834" s="8" t="inlineStr">
        <is>
          <t>TỔNG CỘNG (Gxdst + LT)</t>
        </is>
      </c>
      <c r="E834" s="8" t="inlineStr">
        <is>
          <t>Gxd</t>
        </is>
      </c>
      <c r="F834" s="8" t="inlineStr"/>
      <c r="G834" s="8" t="inlineStr"/>
      <c r="H834" s="8" t="inlineStr"/>
      <c r="I834" s="8" t="n">
        <v>48262.51851837715</v>
      </c>
    </row>
    <row r="835">
      <c r="A835" s="8" t="n">
        <v>32</v>
      </c>
      <c r="B835" s="11" t="inlineStr">
        <is>
          <t>BA.16202</t>
        </is>
      </c>
      <c r="C835" s="8" t="inlineStr">
        <is>
          <t>Dây điện_Cu/PVC_2x(1x4.0)mm2</t>
        </is>
      </c>
      <c r="D835" s="12">
        <f>HYPERLINK("tt38://pl3/14", "👉 Phụ lục III - Trang 14 (Khớp nhóm BA.1620)")</f>
        <v/>
      </c>
      <c r="E835" s="8" t="inlineStr">
        <is>
          <t>m</t>
        </is>
      </c>
      <c r="F835" s="8" t="n">
        <v>1</v>
      </c>
      <c r="G835" s="8" t="inlineStr"/>
      <c r="H835" s="8" t="inlineStr"/>
      <c r="I835" s="8" t="inlineStr"/>
    </row>
    <row r="836">
      <c r="A836" s="8" t="inlineStr"/>
      <c r="B836" s="8" t="inlineStr"/>
      <c r="C836" s="8" t="inlineStr">
        <is>
          <t>a) Vật liệu</t>
        </is>
      </c>
      <c r="E836" s="8" t="inlineStr"/>
      <c r="F836" s="8" t="inlineStr"/>
      <c r="G836" s="8" t="inlineStr"/>
      <c r="H836" s="8" t="inlineStr"/>
      <c r="I836" s="8" t="n">
        <v>40875.4676</v>
      </c>
    </row>
    <row r="837">
      <c r="A837" s="8" t="inlineStr"/>
      <c r="B837" s="8" t="inlineStr">
        <is>
          <t>A33.0075</t>
        </is>
      </c>
      <c r="C837" s="8" t="inlineStr">
        <is>
          <t>Dây điện_Cu/PVC_2x(1x4.0)mm2</t>
        </is>
      </c>
      <c r="E837" s="8" t="inlineStr">
        <is>
          <t>m</t>
        </is>
      </c>
      <c r="F837" s="8" t="n">
        <v>1.01</v>
      </c>
      <c r="G837" s="8" t="n">
        <v>39292</v>
      </c>
      <c r="H837" s="8" t="n">
        <v>1</v>
      </c>
      <c r="I837" s="8" t="n">
        <v>39684.92</v>
      </c>
    </row>
    <row r="838">
      <c r="A838" s="8" t="inlineStr"/>
      <c r="B838" s="8" t="inlineStr">
        <is>
          <t>Z999</t>
        </is>
      </c>
      <c r="C838" s="8" t="inlineStr">
        <is>
          <t>Vật liệu khác</t>
        </is>
      </c>
      <c r="E838" s="8" t="inlineStr">
        <is>
          <t>%</t>
        </is>
      </c>
      <c r="F838" s="8" t="n">
        <v>3</v>
      </c>
      <c r="G838" s="8" t="n">
        <v>39684.92</v>
      </c>
      <c r="H838" s="8" t="inlineStr"/>
      <c r="I838" s="8" t="n">
        <v>1190.5476</v>
      </c>
    </row>
    <row r="839">
      <c r="A839" s="8" t="inlineStr"/>
      <c r="B839" s="8" t="inlineStr"/>
      <c r="C839" s="8" t="inlineStr">
        <is>
          <t>Cộng</t>
        </is>
      </c>
      <c r="E839" s="8" t="inlineStr"/>
      <c r="F839" s="8" t="inlineStr"/>
      <c r="G839" s="8" t="inlineStr"/>
      <c r="H839" s="8" t="inlineStr"/>
      <c r="I839" s="8" t="n">
        <v>40875.4676</v>
      </c>
    </row>
    <row r="840">
      <c r="A840" s="8" t="inlineStr"/>
      <c r="B840" s="8" t="inlineStr"/>
      <c r="C840" s="8" t="inlineStr">
        <is>
          <t>b) Nhân công</t>
        </is>
      </c>
      <c r="E840" s="8" t="inlineStr"/>
      <c r="F840" s="8" t="inlineStr"/>
      <c r="G840" s="8" t="inlineStr"/>
      <c r="H840" s="8" t="inlineStr"/>
      <c r="I840" s="8" t="n">
        <v>11956</v>
      </c>
    </row>
    <row r="841">
      <c r="A841" s="8" t="inlineStr"/>
      <c r="B841" s="8" t="inlineStr">
        <is>
          <t>N3</t>
        </is>
      </c>
      <c r="C841" s="8" t="inlineStr">
        <is>
          <t>Nhân công nhóm 3</t>
        </is>
      </c>
      <c r="E841" s="8" t="inlineStr">
        <is>
          <t>công</t>
        </is>
      </c>
      <c r="F841" s="8" t="n">
        <v>0.028</v>
      </c>
      <c r="G841" s="8" t="n">
        <v>427000</v>
      </c>
      <c r="H841" s="8" t="n">
        <v>1</v>
      </c>
      <c r="I841" s="8" t="n">
        <v>11956</v>
      </c>
    </row>
    <row r="842">
      <c r="A842" s="8" t="inlineStr"/>
      <c r="B842" s="8" t="inlineStr"/>
      <c r="C842" s="8" t="inlineStr">
        <is>
          <t>Cộng chi phí trực tiếp (VL+NC+M)</t>
        </is>
      </c>
      <c r="E842" s="8" t="inlineStr">
        <is>
          <t>T</t>
        </is>
      </c>
      <c r="F842" s="8" t="inlineStr"/>
      <c r="G842" s="8" t="inlineStr"/>
      <c r="H842" s="8" t="inlineStr"/>
      <c r="I842" s="8" t="n">
        <v>52831.4676</v>
      </c>
    </row>
    <row r="843">
      <c r="A843" s="8" t="inlineStr"/>
      <c r="B843" s="8" t="inlineStr"/>
      <c r="C843" s="8" t="inlineStr">
        <is>
          <t>CHI PHÍ GIÁN TIẾP</t>
        </is>
      </c>
      <c r="E843" s="8" t="inlineStr">
        <is>
          <t>GT</t>
        </is>
      </c>
      <c r="F843" s="8" t="inlineStr"/>
      <c r="G843" s="8" t="inlineStr"/>
      <c r="H843" s="8" t="inlineStr"/>
      <c r="I843" s="8" t="n">
        <v>5177.4838248</v>
      </c>
    </row>
    <row r="844">
      <c r="A844" s="8" t="inlineStr"/>
      <c r="B844" s="8" t="inlineStr"/>
      <c r="C844" s="8" t="inlineStr">
        <is>
          <t>Chi phí chung (T x 7,3%)</t>
        </is>
      </c>
      <c r="E844" s="8" t="inlineStr">
        <is>
          <t>C</t>
        </is>
      </c>
      <c r="F844" s="8" t="inlineStr">
        <is>
          <t>7,3%</t>
        </is>
      </c>
      <c r="G844" s="8" t="inlineStr"/>
      <c r="H844" s="8" t="inlineStr"/>
      <c r="I844" s="8" t="n">
        <v>3856.697134799999</v>
      </c>
    </row>
    <row r="845">
      <c r="A845" s="8" t="inlineStr"/>
      <c r="B845" s="8" t="inlineStr"/>
      <c r="C845" s="8" t="inlineStr">
        <is>
          <t>Chi phí một số công việc không xác định được khối lượng từ thiết kế (T x 2,5%)</t>
        </is>
      </c>
      <c r="E845" s="8" t="inlineStr">
        <is>
          <t>TT</t>
        </is>
      </c>
      <c r="F845" s="8" t="inlineStr">
        <is>
          <t>2,5%</t>
        </is>
      </c>
      <c r="G845" s="8" t="inlineStr"/>
      <c r="H845" s="8" t="inlineStr"/>
      <c r="I845" s="8" t="n">
        <v>1320.78669</v>
      </c>
    </row>
    <row r="846">
      <c r="A846" s="8" t="inlineStr"/>
      <c r="B846" s="8" t="inlineStr"/>
      <c r="C846" s="8" t="inlineStr">
        <is>
          <t>THU NHẬP CHỊU THUẾ TÍNH TRƯỚC (T+GT) x 5,5%</t>
        </is>
      </c>
      <c r="E846" s="8" t="inlineStr">
        <is>
          <t>TL</t>
        </is>
      </c>
      <c r="F846" s="8" t="inlineStr">
        <is>
          <t>5,5%</t>
        </is>
      </c>
      <c r="G846" s="8" t="inlineStr"/>
      <c r="H846" s="8" t="inlineStr"/>
      <c r="I846" s="8" t="n">
        <v>3190.492328364</v>
      </c>
    </row>
    <row r="847">
      <c r="A847" s="8" t="inlineStr"/>
      <c r="B847" s="8" t="inlineStr"/>
      <c r="C847" s="8" t="inlineStr">
        <is>
          <t>Chi phí xây dựng trước thuế (T + GT + TL)</t>
        </is>
      </c>
      <c r="E847" s="8" t="inlineStr">
        <is>
          <t>Gxdtt</t>
        </is>
      </c>
      <c r="F847" s="8" t="inlineStr"/>
      <c r="G847" s="8" t="inlineStr"/>
      <c r="H847" s="8" t="inlineStr"/>
      <c r="I847" s="8" t="n">
        <v>61199.443753164</v>
      </c>
    </row>
    <row r="848">
      <c r="A848" s="8" t="inlineStr"/>
      <c r="B848" s="8" t="inlineStr"/>
      <c r="C848" s="8" t="inlineStr">
        <is>
          <t>THUẾ GIÁ TRỊ GIA TĂNG (Gxdtt x 10%)</t>
        </is>
      </c>
      <c r="E848" s="8" t="inlineStr">
        <is>
          <t>GTGT</t>
        </is>
      </c>
      <c r="F848" s="8" t="n">
        <v>0.1</v>
      </c>
      <c r="G848" s="8" t="inlineStr"/>
      <c r="H848" s="8" t="inlineStr"/>
      <c r="I848" s="8" t="n">
        <v>6119.944375316401</v>
      </c>
    </row>
    <row r="849">
      <c r="A849" s="8" t="inlineStr"/>
      <c r="B849" s="8" t="inlineStr"/>
      <c r="C849" s="8" t="inlineStr">
        <is>
          <t>Chi phí xây dựng sau thuế (Gxdtt + GTGT)</t>
        </is>
      </c>
      <c r="E849" s="8" t="inlineStr">
        <is>
          <t>Gxdst</t>
        </is>
      </c>
      <c r="F849" s="8" t="inlineStr"/>
      <c r="G849" s="8" t="inlineStr"/>
      <c r="H849" s="8" t="inlineStr"/>
      <c r="I849" s="8" t="n">
        <v>67319.38812848039</v>
      </c>
    </row>
    <row r="850">
      <c r="A850" s="8" t="inlineStr"/>
      <c r="B850" s="8" t="inlineStr"/>
      <c r="C850" s="8" t="inlineStr">
        <is>
          <t>Chi phí nhà tạm để ở và điều hành thi công (Gxdtt x 0,9% x (1+10%))</t>
        </is>
      </c>
      <c r="E850" s="8" t="inlineStr">
        <is>
          <t>LT</t>
        </is>
      </c>
      <c r="F850" s="8" t="n">
        <v>0.008999999999999999</v>
      </c>
      <c r="G850" s="8" t="inlineStr"/>
      <c r="H850" s="8" t="inlineStr"/>
      <c r="I850" s="8" t="n">
        <v>605.8744931563236</v>
      </c>
    </row>
    <row r="851">
      <c r="A851" s="8" t="inlineStr"/>
      <c r="B851" s="8" t="inlineStr"/>
      <c r="C851" s="8" t="inlineStr">
        <is>
          <t>TỔNG CỘNG (Gxdst + LT)</t>
        </is>
      </c>
      <c r="E851" s="8" t="inlineStr">
        <is>
          <t>Gxd</t>
        </is>
      </c>
      <c r="F851" s="8" t="inlineStr"/>
      <c r="G851" s="8" t="inlineStr"/>
      <c r="H851" s="8" t="inlineStr"/>
      <c r="I851" s="8" t="n">
        <v>67925.26262163672</v>
      </c>
    </row>
  </sheetData>
  <hyperlinks>
    <hyperlink xmlns:r="http://schemas.openxmlformats.org/officeDocument/2006/relationships" ref="B5" r:id="rId1"/>
    <hyperlink xmlns:r="http://schemas.openxmlformats.org/officeDocument/2006/relationships" ref="D5" r:id="rId2"/>
    <hyperlink xmlns:r="http://schemas.openxmlformats.org/officeDocument/2006/relationships" ref="B37" r:id="rId3"/>
    <hyperlink xmlns:r="http://schemas.openxmlformats.org/officeDocument/2006/relationships" ref="D37" r:id="rId4"/>
    <hyperlink xmlns:r="http://schemas.openxmlformats.org/officeDocument/2006/relationships" ref="B56" r:id="rId5"/>
    <hyperlink xmlns:r="http://schemas.openxmlformats.org/officeDocument/2006/relationships" ref="D56" r:id="rId6"/>
    <hyperlink xmlns:r="http://schemas.openxmlformats.org/officeDocument/2006/relationships" ref="B75" r:id="rId7"/>
    <hyperlink xmlns:r="http://schemas.openxmlformats.org/officeDocument/2006/relationships" ref="D75" r:id="rId8"/>
    <hyperlink xmlns:r="http://schemas.openxmlformats.org/officeDocument/2006/relationships" ref="B94" r:id="rId9"/>
    <hyperlink xmlns:r="http://schemas.openxmlformats.org/officeDocument/2006/relationships" ref="D94" r:id="rId10"/>
    <hyperlink xmlns:r="http://schemas.openxmlformats.org/officeDocument/2006/relationships" ref="B113" r:id="rId11"/>
    <hyperlink xmlns:r="http://schemas.openxmlformats.org/officeDocument/2006/relationships" ref="D113" r:id="rId12"/>
    <hyperlink xmlns:r="http://schemas.openxmlformats.org/officeDocument/2006/relationships" ref="B132" r:id="rId13"/>
    <hyperlink xmlns:r="http://schemas.openxmlformats.org/officeDocument/2006/relationships" ref="D132" r:id="rId14"/>
    <hyperlink xmlns:r="http://schemas.openxmlformats.org/officeDocument/2006/relationships" ref="B151" r:id="rId15"/>
    <hyperlink xmlns:r="http://schemas.openxmlformats.org/officeDocument/2006/relationships" ref="D151" r:id="rId16"/>
    <hyperlink xmlns:r="http://schemas.openxmlformats.org/officeDocument/2006/relationships" ref="B170" r:id="rId17"/>
    <hyperlink xmlns:r="http://schemas.openxmlformats.org/officeDocument/2006/relationships" ref="D170" r:id="rId18"/>
    <hyperlink xmlns:r="http://schemas.openxmlformats.org/officeDocument/2006/relationships" ref="B189" r:id="rId19"/>
    <hyperlink xmlns:r="http://schemas.openxmlformats.org/officeDocument/2006/relationships" ref="D189" r:id="rId20"/>
    <hyperlink xmlns:r="http://schemas.openxmlformats.org/officeDocument/2006/relationships" ref="B208" r:id="rId21"/>
    <hyperlink xmlns:r="http://schemas.openxmlformats.org/officeDocument/2006/relationships" ref="D208" r:id="rId22"/>
    <hyperlink xmlns:r="http://schemas.openxmlformats.org/officeDocument/2006/relationships" ref="B227" r:id="rId23"/>
    <hyperlink xmlns:r="http://schemas.openxmlformats.org/officeDocument/2006/relationships" ref="D227" r:id="rId24"/>
    <hyperlink xmlns:r="http://schemas.openxmlformats.org/officeDocument/2006/relationships" ref="B251" r:id="rId25"/>
    <hyperlink xmlns:r="http://schemas.openxmlformats.org/officeDocument/2006/relationships" ref="D251" r:id="rId26"/>
    <hyperlink xmlns:r="http://schemas.openxmlformats.org/officeDocument/2006/relationships" ref="B272" r:id="rId27"/>
    <hyperlink xmlns:r="http://schemas.openxmlformats.org/officeDocument/2006/relationships" ref="D272" r:id="rId28"/>
    <hyperlink xmlns:r="http://schemas.openxmlformats.org/officeDocument/2006/relationships" ref="B293" r:id="rId29"/>
    <hyperlink xmlns:r="http://schemas.openxmlformats.org/officeDocument/2006/relationships" ref="D293" r:id="rId30"/>
    <hyperlink xmlns:r="http://schemas.openxmlformats.org/officeDocument/2006/relationships" ref="B314" r:id="rId31"/>
    <hyperlink xmlns:r="http://schemas.openxmlformats.org/officeDocument/2006/relationships" ref="D314" r:id="rId32"/>
    <hyperlink xmlns:r="http://schemas.openxmlformats.org/officeDocument/2006/relationships" ref="B335" r:id="rId33"/>
    <hyperlink xmlns:r="http://schemas.openxmlformats.org/officeDocument/2006/relationships" ref="D335" r:id="rId34"/>
    <hyperlink xmlns:r="http://schemas.openxmlformats.org/officeDocument/2006/relationships" ref="B356" r:id="rId35"/>
    <hyperlink xmlns:r="http://schemas.openxmlformats.org/officeDocument/2006/relationships" ref="D356" r:id="rId36"/>
    <hyperlink xmlns:r="http://schemas.openxmlformats.org/officeDocument/2006/relationships" ref="B377" r:id="rId37"/>
    <hyperlink xmlns:r="http://schemas.openxmlformats.org/officeDocument/2006/relationships" ref="D377" r:id="rId38"/>
    <hyperlink xmlns:r="http://schemas.openxmlformats.org/officeDocument/2006/relationships" ref="B398" r:id="rId39"/>
    <hyperlink xmlns:r="http://schemas.openxmlformats.org/officeDocument/2006/relationships" ref="D398" r:id="rId40"/>
    <hyperlink xmlns:r="http://schemas.openxmlformats.org/officeDocument/2006/relationships" ref="B419" r:id="rId41"/>
    <hyperlink xmlns:r="http://schemas.openxmlformats.org/officeDocument/2006/relationships" ref="D419" r:id="rId42"/>
    <hyperlink xmlns:r="http://schemas.openxmlformats.org/officeDocument/2006/relationships" ref="B440" r:id="rId43"/>
    <hyperlink xmlns:r="http://schemas.openxmlformats.org/officeDocument/2006/relationships" ref="D440" r:id="rId44"/>
    <hyperlink xmlns:r="http://schemas.openxmlformats.org/officeDocument/2006/relationships" ref="B458" r:id="rId45"/>
    <hyperlink xmlns:r="http://schemas.openxmlformats.org/officeDocument/2006/relationships" ref="D458" r:id="rId46"/>
    <hyperlink xmlns:r="http://schemas.openxmlformats.org/officeDocument/2006/relationships" ref="B476" r:id="rId47"/>
    <hyperlink xmlns:r="http://schemas.openxmlformats.org/officeDocument/2006/relationships" ref="D476" r:id="rId48"/>
    <hyperlink xmlns:r="http://schemas.openxmlformats.org/officeDocument/2006/relationships" ref="B494" r:id="rId49"/>
    <hyperlink xmlns:r="http://schemas.openxmlformats.org/officeDocument/2006/relationships" ref="D494" r:id="rId50"/>
    <hyperlink xmlns:r="http://schemas.openxmlformats.org/officeDocument/2006/relationships" ref="B512" r:id="rId51"/>
    <hyperlink xmlns:r="http://schemas.openxmlformats.org/officeDocument/2006/relationships" ref="D512" r:id="rId52"/>
    <hyperlink xmlns:r="http://schemas.openxmlformats.org/officeDocument/2006/relationships" ref="B530" r:id="rId53"/>
    <hyperlink xmlns:r="http://schemas.openxmlformats.org/officeDocument/2006/relationships" ref="D530" r:id="rId54"/>
    <hyperlink xmlns:r="http://schemas.openxmlformats.org/officeDocument/2006/relationships" ref="B548" r:id="rId55"/>
    <hyperlink xmlns:r="http://schemas.openxmlformats.org/officeDocument/2006/relationships" ref="D548" r:id="rId56"/>
    <hyperlink xmlns:r="http://schemas.openxmlformats.org/officeDocument/2006/relationships" ref="B566" r:id="rId57"/>
    <hyperlink xmlns:r="http://schemas.openxmlformats.org/officeDocument/2006/relationships" ref="D566" r:id="rId58"/>
    <hyperlink xmlns:r="http://schemas.openxmlformats.org/officeDocument/2006/relationships" ref="B584" r:id="rId59"/>
    <hyperlink xmlns:r="http://schemas.openxmlformats.org/officeDocument/2006/relationships" ref="D584" r:id="rId60"/>
    <hyperlink xmlns:r="http://schemas.openxmlformats.org/officeDocument/2006/relationships" ref="B603" r:id="rId61"/>
    <hyperlink xmlns:r="http://schemas.openxmlformats.org/officeDocument/2006/relationships" ref="D603" r:id="rId62"/>
    <hyperlink xmlns:r="http://schemas.openxmlformats.org/officeDocument/2006/relationships" ref="B622" r:id="rId63"/>
    <hyperlink xmlns:r="http://schemas.openxmlformats.org/officeDocument/2006/relationships" ref="D622" r:id="rId64"/>
    <hyperlink xmlns:r="http://schemas.openxmlformats.org/officeDocument/2006/relationships" ref="B641" r:id="rId65"/>
    <hyperlink xmlns:r="http://schemas.openxmlformats.org/officeDocument/2006/relationships" ref="D641" r:id="rId66"/>
    <hyperlink xmlns:r="http://schemas.openxmlformats.org/officeDocument/2006/relationships" ref="B660" r:id="rId67"/>
    <hyperlink xmlns:r="http://schemas.openxmlformats.org/officeDocument/2006/relationships" ref="D660" r:id="rId68"/>
    <hyperlink xmlns:r="http://schemas.openxmlformats.org/officeDocument/2006/relationships" ref="B679" r:id="rId69"/>
    <hyperlink xmlns:r="http://schemas.openxmlformats.org/officeDocument/2006/relationships" ref="D679" r:id="rId70"/>
    <hyperlink xmlns:r="http://schemas.openxmlformats.org/officeDocument/2006/relationships" ref="B698" r:id="rId71"/>
    <hyperlink xmlns:r="http://schemas.openxmlformats.org/officeDocument/2006/relationships" ref="D698" r:id="rId72"/>
    <hyperlink xmlns:r="http://schemas.openxmlformats.org/officeDocument/2006/relationships" ref="B715" r:id="rId73"/>
    <hyperlink xmlns:r="http://schemas.openxmlformats.org/officeDocument/2006/relationships" ref="D715" r:id="rId74"/>
    <hyperlink xmlns:r="http://schemas.openxmlformats.org/officeDocument/2006/relationships" ref="B732" r:id="rId75"/>
    <hyperlink xmlns:r="http://schemas.openxmlformats.org/officeDocument/2006/relationships" ref="D732" r:id="rId76"/>
    <hyperlink xmlns:r="http://schemas.openxmlformats.org/officeDocument/2006/relationships" ref="B749" r:id="rId77"/>
    <hyperlink xmlns:r="http://schemas.openxmlformats.org/officeDocument/2006/relationships" ref="D749" r:id="rId78"/>
    <hyperlink xmlns:r="http://schemas.openxmlformats.org/officeDocument/2006/relationships" ref="B766" r:id="rId79"/>
    <hyperlink xmlns:r="http://schemas.openxmlformats.org/officeDocument/2006/relationships" ref="D766" r:id="rId80"/>
    <hyperlink xmlns:r="http://schemas.openxmlformats.org/officeDocument/2006/relationships" ref="B784" r:id="rId81"/>
    <hyperlink xmlns:r="http://schemas.openxmlformats.org/officeDocument/2006/relationships" ref="D784" r:id="rId82"/>
    <hyperlink xmlns:r="http://schemas.openxmlformats.org/officeDocument/2006/relationships" ref="B801" r:id="rId83"/>
    <hyperlink xmlns:r="http://schemas.openxmlformats.org/officeDocument/2006/relationships" ref="D801" r:id="rId84"/>
    <hyperlink xmlns:r="http://schemas.openxmlformats.org/officeDocument/2006/relationships" ref="B818" r:id="rId85"/>
    <hyperlink xmlns:r="http://schemas.openxmlformats.org/officeDocument/2006/relationships" ref="D818" r:id="rId86"/>
    <hyperlink xmlns:r="http://schemas.openxmlformats.org/officeDocument/2006/relationships" ref="B835" r:id="rId87"/>
    <hyperlink xmlns:r="http://schemas.openxmlformats.org/officeDocument/2006/relationships" ref="D835" r:id="rId88"/>
  </hyperlink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50" customWidth="1" min="1" max="1"/>
    <col width="19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5" customWidth="1" min="8" max="8"/>
  </cols>
  <sheetData>
    <row r="1">
      <c r="A1" s="8" t="inlineStr">
        <is>
          <t>BẢNG HỆ SỐ CHI PHÍ XÂY DỰNG</t>
        </is>
      </c>
      <c r="B1" s="8" t="inlineStr"/>
      <c r="C1" s="8" t="inlineStr"/>
      <c r="D1" s="8" t="inlineStr"/>
      <c r="E1" s="8" t="inlineStr"/>
      <c r="F1" s="8" t="inlineStr"/>
      <c r="G1" s="8" t="inlineStr"/>
      <c r="H1" s="8" t="inlineStr"/>
    </row>
    <row r="2">
      <c r="A2" s="8" t="inlineStr">
        <is>
          <t>DỰ ÁN: XÂY DỰNG NHÀ Ở CHO LỰC LƯỢNG VŨ TRANG CÔNG AN NHÂN DÂN TẠI Ô ĐẤT NO1 THUỘC LÔ ĐẤT D12 KHU ĐÔ THỊ MỚI CẦU GIẤY,
 PHƯỜNG CẦU GIẤY, THÀNH PHỐ HÀ NỘI</t>
        </is>
      </c>
      <c r="B2" s="8" t="inlineStr"/>
      <c r="C2" s="8" t="inlineStr"/>
      <c r="D2" s="8" t="inlineStr"/>
      <c r="E2" s="8" t="inlineStr"/>
      <c r="F2" s="8" t="inlineStr"/>
      <c r="G2" s="8" t="inlineStr"/>
      <c r="H2" s="8" t="inlineStr"/>
    </row>
    <row r="3">
      <c r="A3" s="8" t="inlineStr">
        <is>
          <t>HẠNG MỤC: ĐIỀU HÒA KHÔNG KHÍ &amp; THÔNG GIÓ - LẮP ĐẶT THIẾT BỊ</t>
        </is>
      </c>
      <c r="B3" s="8" t="inlineStr"/>
      <c r="C3" s="8" t="inlineStr"/>
      <c r="D3" s="8" t="inlineStr"/>
      <c r="E3" s="8" t="inlineStr"/>
      <c r="F3" s="8" t="inlineStr"/>
      <c r="G3" s="8" t="inlineStr"/>
      <c r="H3" s="8" t="inlineStr"/>
    </row>
    <row r="4">
      <c r="A4" s="8" t="inlineStr">
        <is>
          <t>STT</t>
        </is>
      </c>
      <c r="B4" s="8" t="inlineStr">
        <is>
          <t>Nội dung chi phí</t>
        </is>
      </c>
      <c r="C4" s="8" t="inlineStr">
        <is>
          <t>Ký hiệu</t>
        </is>
      </c>
      <c r="D4" s="8" t="inlineStr">
        <is>
          <t>Cách tính</t>
        </is>
      </c>
      <c r="E4" s="8" t="inlineStr"/>
      <c r="F4" s="8" t="inlineStr"/>
      <c r="G4" s="8" t="inlineStr">
        <is>
          <t>Hệ số</t>
        </is>
      </c>
      <c r="H4" s="8" t="inlineStr">
        <is>
          <t>Giá trị
(đ)</t>
        </is>
      </c>
    </row>
    <row r="5">
      <c r="A5" s="8" t="inlineStr">
        <is>
          <t>BẢNG HỆ SỐ CHI PHÍ XÂY DỰNG</t>
        </is>
      </c>
      <c r="B5" s="8" t="inlineStr"/>
      <c r="C5" s="8" t="inlineStr"/>
      <c r="D5" s="8" t="inlineStr"/>
      <c r="E5" s="8" t="inlineStr"/>
      <c r="F5" s="8" t="inlineStr"/>
      <c r="G5" s="8" t="inlineStr"/>
      <c r="H5" s="8" t="inlineStr"/>
    </row>
    <row r="6">
      <c r="A6" s="8" t="inlineStr">
        <is>
          <t>DỰ ÁN: XÂY DỰNG NHÀ Ở CHO LỰC LƯỢNG VŨ TRANG CÔNG AN NHÂN DÂN TẠI Ô ĐẤT NO1 THUỘC LÔ ĐẤT D12 KHU ĐÔ THỊ MỚI CẦU GIẤY,
 PHƯỜNG CẦU GIẤY, THÀNH PHỐ HÀ NỘI</t>
        </is>
      </c>
      <c r="B6" s="8" t="inlineStr"/>
      <c r="C6" s="8" t="inlineStr"/>
      <c r="D6" s="8" t="inlineStr"/>
      <c r="E6" s="8" t="inlineStr"/>
      <c r="F6" s="8" t="inlineStr"/>
      <c r="G6" s="8" t="inlineStr"/>
      <c r="H6" s="8" t="inlineStr"/>
    </row>
    <row r="7">
      <c r="A7" s="8" t="inlineStr">
        <is>
          <t>HẠNG MỤC: ĐIỀU HÒA KHÔNG KHÍ &amp; THÔNG GIÓ - VẬT TƯ XÂY LẮP</t>
        </is>
      </c>
      <c r="B7" s="8" t="inlineStr"/>
      <c r="C7" s="8" t="inlineStr"/>
      <c r="D7" s="8" t="inlineStr"/>
      <c r="E7" s="8" t="inlineStr"/>
      <c r="F7" s="8" t="inlineStr"/>
      <c r="G7" s="8" t="inlineStr"/>
      <c r="H7" s="8" t="inlineStr"/>
    </row>
    <row r="8">
      <c r="A8" s="8" t="inlineStr">
        <is>
          <t>STT</t>
        </is>
      </c>
      <c r="B8" s="8" t="inlineStr">
        <is>
          <t>Nội dung chi phí</t>
        </is>
      </c>
      <c r="C8" s="8" t="inlineStr">
        <is>
          <t>Ký hiệu</t>
        </is>
      </c>
      <c r="D8" s="8" t="inlineStr">
        <is>
          <t>Cách tính</t>
        </is>
      </c>
      <c r="E8" s="8" t="n">
        <v>0</v>
      </c>
      <c r="F8" s="8" t="n">
        <v>0</v>
      </c>
      <c r="G8" s="8" t="inlineStr">
        <is>
          <t>Hệ số</t>
        </is>
      </c>
      <c r="H8" s="8" t="inlineStr">
        <is>
          <t>Giá trị
(đ)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1" customWidth="1" min="3" max="3"/>
    <col width="38" customWidth="1" min="4" max="4"/>
    <col width="12" customWidth="1" min="5" max="5"/>
    <col width="14" customWidth="1" min="6" max="6"/>
    <col width="12" customWidth="1" min="7" max="7"/>
    <col width="12" customWidth="1" min="8" max="8"/>
    <col width="12" customWidth="1" min="9" max="9"/>
    <col width="12" customWidth="1" min="10" max="10"/>
    <col width="17" customWidth="1" min="11" max="11"/>
    <col width="12" customWidth="1" min="12" max="12"/>
    <col width="12" customWidth="1" min="13" max="13"/>
    <col width="12" customWidth="1" min="14" max="14"/>
    <col width="12" customWidth="1" min="15" max="15"/>
    <col width="25" customWidth="1" min="16" max="16"/>
  </cols>
  <sheetData>
    <row r="1">
      <c r="A1" s="8" t="inlineStr">
        <is>
          <t>TT</t>
        </is>
      </c>
      <c r="B1" s="8" t="inlineStr">
        <is>
          <t>Mã số</t>
        </is>
      </c>
      <c r="C1" s="8" t="inlineStr">
        <is>
          <t>Thành phần hao phí</t>
        </is>
      </c>
      <c r="D1" s="10" t="inlineStr">
        <is>
          <t>LINK TRA CỨU TT 38/2026/TT-BXD</t>
        </is>
      </c>
      <c r="E1" s="8" t="inlineStr">
        <is>
          <t>Đơn vị</t>
        </is>
      </c>
      <c r="F1" s="8" t="inlineStr">
        <is>
          <t>Đơn giá (đ)</t>
        </is>
      </c>
      <c r="G1" s="8" t="inlineStr"/>
      <c r="H1" s="8" t="inlineStr"/>
      <c r="I1" s="8" t="inlineStr"/>
      <c r="J1" s="8" t="inlineStr"/>
      <c r="K1" s="8" t="inlineStr">
        <is>
          <t>Thành tiền (đ)</t>
        </is>
      </c>
      <c r="L1" s="8" t="inlineStr"/>
      <c r="M1" s="8" t="inlineStr"/>
      <c r="N1" s="8" t="inlineStr"/>
      <c r="O1" s="8" t="inlineStr"/>
      <c r="P1" s="8" t="inlineStr">
        <is>
          <t>Đơn giá
tổng hợp
(đ)</t>
        </is>
      </c>
    </row>
    <row r="2">
      <c r="A2" s="8" t="inlineStr"/>
      <c r="B2" s="8" t="inlineStr"/>
      <c r="C2" s="8" t="inlineStr"/>
      <c r="E2" s="8" t="inlineStr"/>
      <c r="F2" s="8" t="inlineStr">
        <is>
          <t>Vật liệu</t>
        </is>
      </c>
      <c r="G2" s="8" t="inlineStr">
        <is>
          <t>Bù V.L</t>
        </is>
      </c>
      <c r="H2" s="8" t="inlineStr">
        <is>
          <t>NC XL</t>
        </is>
      </c>
      <c r="I2" s="8" t="inlineStr">
        <is>
          <t>NC Đất</t>
        </is>
      </c>
      <c r="J2" s="8" t="inlineStr">
        <is>
          <t>Ca máy</t>
        </is>
      </c>
      <c r="K2" s="8" t="inlineStr">
        <is>
          <t>Vật liệu</t>
        </is>
      </c>
      <c r="L2" s="8" t="inlineStr">
        <is>
          <t>Bù V.L</t>
        </is>
      </c>
      <c r="M2" s="8" t="inlineStr">
        <is>
          <t>NC XL</t>
        </is>
      </c>
      <c r="N2" s="8" t="inlineStr">
        <is>
          <t>NC Đất</t>
        </is>
      </c>
      <c r="O2" s="8" t="inlineStr">
        <is>
          <t>Ca máy</t>
        </is>
      </c>
      <c r="P2" s="8" t="inlineStr"/>
    </row>
    <row r="3">
      <c r="A3" s="8" t="inlineStr"/>
      <c r="B3" s="8" t="inlineStr"/>
      <c r="C3" s="8" t="inlineStr"/>
      <c r="E3" s="8" t="inlineStr"/>
      <c r="F3" s="8" t="inlineStr"/>
      <c r="G3" s="8" t="inlineStr"/>
      <c r="H3" s="8" t="inlineStr"/>
      <c r="I3" s="8" t="inlineStr"/>
      <c r="J3" s="8" t="inlineStr"/>
      <c r="K3" s="8" t="inlineStr"/>
      <c r="L3" s="8" t="inlineStr"/>
      <c r="M3" s="8" t="inlineStr"/>
      <c r="N3" s="8" t="inlineStr"/>
      <c r="O3" s="8" t="inlineStr"/>
      <c r="P3" s="8" t="inlineStr"/>
    </row>
    <row r="4">
      <c r="A4" s="8" t="inlineStr"/>
      <c r="B4" s="8" t="inlineStr"/>
      <c r="C4" s="8" t="inlineStr"/>
      <c r="E4" s="8" t="inlineStr"/>
      <c r="F4" s="8" t="inlineStr"/>
      <c r="G4" s="8" t="inlineStr"/>
      <c r="H4" s="8" t="inlineStr"/>
      <c r="I4" s="8" t="inlineStr"/>
      <c r="J4" s="8" t="inlineStr"/>
      <c r="K4" s="8" t="inlineStr"/>
      <c r="L4" s="8" t="inlineStr"/>
      <c r="M4" s="8" t="inlineStr"/>
      <c r="N4" s="8" t="inlineStr"/>
      <c r="O4" s="8" t="inlineStr"/>
      <c r="P4" s="8" t="inlineStr"/>
    </row>
    <row r="5">
      <c r="A5" s="8" t="inlineStr"/>
      <c r="B5" s="8" t="inlineStr"/>
      <c r="C5" s="8" t="inlineStr"/>
      <c r="E5" s="8" t="inlineStr"/>
      <c r="F5" s="8" t="inlineStr"/>
      <c r="G5" s="8" t="inlineStr"/>
      <c r="H5" s="8" t="inlineStr"/>
      <c r="I5" s="8" t="inlineStr"/>
      <c r="J5" s="8" t="inlineStr"/>
      <c r="K5" s="8" t="inlineStr"/>
      <c r="L5" s="8" t="inlineStr"/>
      <c r="M5" s="8" t="inlineStr"/>
      <c r="N5" s="8" t="inlineStr"/>
      <c r="O5" s="8" t="inlineStr"/>
      <c r="P5" s="8" t="inlineStr"/>
    </row>
    <row r="6">
      <c r="A6" s="8" t="inlineStr">
        <is>
          <t>TT</t>
        </is>
      </c>
      <c r="B6" s="8" t="inlineStr">
        <is>
          <t>Mã số</t>
        </is>
      </c>
      <c r="C6" s="8" t="inlineStr">
        <is>
          <t>Thành phần hao phí</t>
        </is>
      </c>
      <c r="E6" s="8" t="inlineStr">
        <is>
          <t>Đơn vị</t>
        </is>
      </c>
      <c r="F6" s="8" t="inlineStr">
        <is>
          <t>Đơn giá (đ)</t>
        </is>
      </c>
      <c r="G6" s="8" t="n">
        <v>0</v>
      </c>
      <c r="H6" s="8" t="n">
        <v>0</v>
      </c>
      <c r="I6" s="8" t="n">
        <v>0</v>
      </c>
      <c r="J6" s="8" t="n">
        <v>0</v>
      </c>
      <c r="K6" s="8" t="inlineStr">
        <is>
          <t>Thành tiền (đ)</t>
        </is>
      </c>
      <c r="L6" s="8" t="n">
        <v>0</v>
      </c>
      <c r="M6" s="8" t="n">
        <v>0</v>
      </c>
      <c r="N6" s="8" t="n">
        <v>0</v>
      </c>
      <c r="O6" s="8" t="n">
        <v>0</v>
      </c>
      <c r="P6" s="8" t="inlineStr">
        <is>
          <t>Đơn giá
tổng hợp
(đ)</t>
        </is>
      </c>
    </row>
    <row r="7">
      <c r="A7" s="8" t="n">
        <v>0</v>
      </c>
      <c r="B7" s="8" t="n">
        <v>0</v>
      </c>
      <c r="C7" s="8" t="n">
        <v>0</v>
      </c>
      <c r="E7" s="8" t="n">
        <v>0</v>
      </c>
      <c r="F7" s="8" t="inlineStr">
        <is>
          <t>Vật liệu</t>
        </is>
      </c>
      <c r="G7" s="8" t="inlineStr">
        <is>
          <t>Bù V.L</t>
        </is>
      </c>
      <c r="H7" s="8" t="inlineStr">
        <is>
          <t>NC XL</t>
        </is>
      </c>
      <c r="I7" s="8" t="inlineStr">
        <is>
          <t>NC Đất</t>
        </is>
      </c>
      <c r="J7" s="8" t="inlineStr">
        <is>
          <t>Ca máy</t>
        </is>
      </c>
      <c r="K7" s="8" t="inlineStr">
        <is>
          <t>Vật liệu</t>
        </is>
      </c>
      <c r="L7" s="8" t="inlineStr">
        <is>
          <t>Bù V.L</t>
        </is>
      </c>
      <c r="M7" s="8" t="inlineStr">
        <is>
          <t>NC XL</t>
        </is>
      </c>
      <c r="N7" s="8" t="inlineStr">
        <is>
          <t>NC Đất</t>
        </is>
      </c>
      <c r="O7" s="8" t="inlineStr">
        <is>
          <t>Ca máy</t>
        </is>
      </c>
      <c r="P7" s="8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64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44" customWidth="1" min="3" max="3"/>
    <col width="38" customWidth="1" min="4" max="4"/>
    <col width="12" customWidth="1" min="5" max="5"/>
    <col width="13" customWidth="1" min="6" max="6"/>
    <col width="21" customWidth="1" min="7" max="7"/>
    <col width="21" customWidth="1" min="8" max="8"/>
    <col width="20" customWidth="1" min="9" max="9"/>
    <col width="21" customWidth="1" min="10" max="10"/>
    <col width="21" customWidth="1" min="11" max="11"/>
    <col width="12" customWidth="1" min="12" max="12"/>
    <col width="12" customWidth="1" min="13" max="13"/>
    <col width="12" customWidth="1" min="14" max="14"/>
  </cols>
  <sheetData>
    <row r="1">
      <c r="A1" s="8" t="inlineStr">
        <is>
          <t>BẢNG ĐƠN GIÁ DỰ THẦU HẠNG MỤC CÔNG TRÌNH</t>
        </is>
      </c>
      <c r="B1" s="8" t="inlineStr"/>
      <c r="C1" s="8" t="inlineStr"/>
      <c r="E1" s="8" t="inlineStr"/>
      <c r="F1" s="8" t="inlineStr"/>
      <c r="G1" s="8" t="inlineStr"/>
      <c r="H1" s="8" t="inlineStr"/>
      <c r="I1" s="8" t="inlineStr"/>
      <c r="J1" s="8" t="inlineStr"/>
      <c r="K1" s="8" t="inlineStr"/>
      <c r="L1" s="8" t="inlineStr"/>
      <c r="M1" s="8" t="inlineStr"/>
      <c r="N1" s="8" t="inlineStr"/>
    </row>
    <row r="2">
      <c r="A2" s="8" t="inlineStr">
        <is>
          <t>DỰ ÁN: XÂY DỰNG NHÀ Ở CHO LỰC LƯỢNG VŨ TRANG CÔNG AN NHÂN DÂN TẠI Ô ĐẤT NO1 THUỘC LÔ ĐẤT D12 KHU ĐÔ THỊ MỚI CẦU GIẤY,
 PHƯỜNG CẦU GIẤY, THÀNH PHỐ HÀ NỘI</t>
        </is>
      </c>
      <c r="B2" s="8" t="inlineStr"/>
      <c r="C2" s="8" t="inlineStr"/>
      <c r="E2" s="8" t="inlineStr"/>
      <c r="F2" s="8" t="inlineStr"/>
      <c r="G2" s="8" t="inlineStr"/>
      <c r="H2" s="8" t="inlineStr"/>
      <c r="I2" s="8" t="inlineStr"/>
      <c r="J2" s="8" t="inlineStr"/>
      <c r="K2" s="8" t="inlineStr"/>
      <c r="L2" s="8" t="inlineStr"/>
      <c r="M2" s="8" t="inlineStr"/>
      <c r="N2" s="8" t="inlineStr"/>
    </row>
    <row r="3">
      <c r="A3" s="8" t="inlineStr">
        <is>
          <t>HẠNG MỤC: ĐIỀU HÒA KHÔNG KHÍ &amp; THÔNG GIÓ - LẮP ĐẶT THIẾT BỊ</t>
        </is>
      </c>
      <c r="B3" s="8" t="inlineStr"/>
      <c r="C3" s="8" t="inlineStr"/>
      <c r="E3" s="8" t="inlineStr"/>
      <c r="F3" s="8" t="inlineStr"/>
      <c r="G3" s="8" t="inlineStr"/>
      <c r="H3" s="8" t="inlineStr"/>
      <c r="I3" s="8" t="inlineStr"/>
      <c r="J3" s="8" t="inlineStr"/>
      <c r="K3" s="8" t="inlineStr"/>
      <c r="L3" s="8" t="inlineStr"/>
      <c r="M3" s="8" t="inlineStr"/>
      <c r="N3" s="8" t="inlineStr"/>
    </row>
    <row r="4">
      <c r="A4" s="8" t="inlineStr">
        <is>
          <t>STT</t>
        </is>
      </c>
      <c r="B4" s="8" t="inlineStr">
        <is>
          <t>Mã số</t>
        </is>
      </c>
      <c r="C4" s="8" t="inlineStr">
        <is>
          <t>Tên công tác</t>
        </is>
      </c>
      <c r="D4" s="10" t="inlineStr">
        <is>
          <t>LINK TRA CỨU TT 38/2026/TT-BXD</t>
        </is>
      </c>
      <c r="E4" s="8" t="inlineStr">
        <is>
          <t>Đơn vị</t>
        </is>
      </c>
      <c r="F4" s="8" t="inlineStr">
        <is>
          <t>Khối lượng</t>
        </is>
      </c>
      <c r="G4" s="8" t="inlineStr">
        <is>
          <t>Vật liệu
(đ)</t>
        </is>
      </c>
      <c r="H4" s="8" t="inlineStr">
        <is>
          <t>Nhân công
(đ)</t>
        </is>
      </c>
      <c r="I4" s="8" t="inlineStr">
        <is>
          <t>Máy
(đ)</t>
        </is>
      </c>
      <c r="J4" s="8" t="inlineStr">
        <is>
          <t>Đơn giá
(đ)</t>
        </is>
      </c>
      <c r="K4" s="8" t="inlineStr">
        <is>
          <t>Thành tiền
(đ)</t>
        </is>
      </c>
      <c r="L4" s="8" t="inlineStr"/>
      <c r="M4" s="8" t="inlineStr"/>
      <c r="N4" s="8" t="inlineStr"/>
    </row>
    <row r="5">
      <c r="A5" s="8" t="n">
        <v>1</v>
      </c>
      <c r="B5" s="11" t="inlineStr">
        <is>
          <t>MD.12002</t>
        </is>
      </c>
      <c r="C5" s="8" t="inlineStr">
        <is>
          <t>Dàn nóng điều hòa VRF, Multi</t>
        </is>
      </c>
      <c r="D5" s="12">
        <f>HYPERLINK("tt38://pl5/37", "👉 Phụ lục IV - Trang 37 (Khớp nhóm MD.1200)")</f>
        <v/>
      </c>
      <c r="E5" s="8" t="inlineStr">
        <is>
          <t>tấn</t>
        </is>
      </c>
      <c r="F5" s="8" t="n">
        <v>5.48</v>
      </c>
      <c r="G5" s="8" t="n">
        <v>518999.943</v>
      </c>
      <c r="H5" s="8" t="n">
        <v>16770760</v>
      </c>
      <c r="I5" s="8" t="n">
        <v>995693.7417000001</v>
      </c>
      <c r="J5" s="8" t="n">
        <v>23509554.06147041</v>
      </c>
      <c r="K5" s="8" t="n">
        <v>128832356.2568579</v>
      </c>
      <c r="L5" s="8" t="inlineStr"/>
      <c r="M5" s="8" t="inlineStr"/>
      <c r="N5" s="8" t="n">
        <v>1</v>
      </c>
    </row>
    <row r="6">
      <c r="A6" s="8" t="n">
        <v>2</v>
      </c>
      <c r="B6" s="11" t="inlineStr">
        <is>
          <t>BA.12130</t>
        </is>
      </c>
      <c r="C6" s="8" t="inlineStr">
        <is>
          <t>Dàn lạnh âm trần nối ống gió, CSL: 7.1 kW</t>
        </is>
      </c>
      <c r="D6" s="12">
        <f>HYPERLINK("tt38://pl3/6", "👉 Phụ lục III - Trang 6 (Khớp nhóm BA.121)")</f>
        <v/>
      </c>
      <c r="E6" s="8" t="inlineStr">
        <is>
          <t>máy</t>
        </is>
      </c>
      <c r="F6" s="8" t="n">
        <v>14</v>
      </c>
      <c r="G6" s="8" t="n">
        <v>525000</v>
      </c>
      <c r="H6" s="8" t="n">
        <v>559370</v>
      </c>
      <c r="I6" s="8" t="n">
        <v>5456.88</v>
      </c>
      <c r="J6" s="8" t="n">
        <v>1401187.2166148</v>
      </c>
      <c r="K6" s="8" t="n">
        <v>19616621.03260719</v>
      </c>
      <c r="L6" s="8" t="inlineStr"/>
      <c r="M6" s="8" t="inlineStr"/>
      <c r="N6" s="8" t="n">
        <v>1</v>
      </c>
    </row>
    <row r="7">
      <c r="A7" s="8" t="n">
        <v>3</v>
      </c>
      <c r="B7" s="11" t="inlineStr">
        <is>
          <t>BA.12130</t>
        </is>
      </c>
      <c r="C7" s="8" t="inlineStr">
        <is>
          <t>Dàn lạnh cassette, CSL: 9.0 kW</t>
        </is>
      </c>
      <c r="D7" s="12">
        <f>HYPERLINK("tt38://pl3/6", "👉 Phụ lục III - Trang 6 (Khớp nhóm BA.121)")</f>
        <v/>
      </c>
      <c r="E7" s="8" t="inlineStr">
        <is>
          <t>máy</t>
        </is>
      </c>
      <c r="F7" s="8" t="n">
        <v>14</v>
      </c>
      <c r="G7" s="8" t="n">
        <v>525000</v>
      </c>
      <c r="H7" s="8" t="n">
        <v>559370</v>
      </c>
      <c r="I7" s="8" t="n">
        <v>5456.88</v>
      </c>
      <c r="J7" s="8" t="n">
        <v>1401187.2166148</v>
      </c>
      <c r="K7" s="8" t="n">
        <v>19616621.03260719</v>
      </c>
      <c r="L7" s="8" t="inlineStr"/>
      <c r="M7" s="8" t="inlineStr"/>
      <c r="N7" s="8" t="n">
        <v>1</v>
      </c>
    </row>
    <row r="8">
      <c r="A8" s="8" t="n">
        <v>4</v>
      </c>
      <c r="B8" s="11" t="inlineStr">
        <is>
          <t>BA.12130</t>
        </is>
      </c>
      <c r="C8" s="8" t="inlineStr">
        <is>
          <t>Dàn lạnh cassette, CSL: 11.2 kW</t>
        </is>
      </c>
      <c r="D8" s="12">
        <f>HYPERLINK("tt38://pl3/6", "👉 Phụ lục III - Trang 6 (Khớp nhóm BA.121)")</f>
        <v/>
      </c>
      <c r="E8" s="8" t="inlineStr">
        <is>
          <t>máy</t>
        </is>
      </c>
      <c r="F8" s="8" t="n">
        <v>43</v>
      </c>
      <c r="G8" s="8" t="n">
        <v>525000</v>
      </c>
      <c r="H8" s="8" t="n">
        <v>559370</v>
      </c>
      <c r="I8" s="8" t="n">
        <v>5456.88</v>
      </c>
      <c r="J8" s="8" t="n">
        <v>1401187.2166148</v>
      </c>
      <c r="K8" s="8" t="n">
        <v>60251050.31443638</v>
      </c>
      <c r="L8" s="8" t="inlineStr"/>
      <c r="M8" s="8" t="inlineStr"/>
      <c r="N8" s="8" t="n">
        <v>1</v>
      </c>
    </row>
    <row r="9">
      <c r="A9" s="8" t="n">
        <v>5</v>
      </c>
      <c r="B9" s="11" t="inlineStr">
        <is>
          <t>BA.12130</t>
        </is>
      </c>
      <c r="C9" s="8" t="inlineStr">
        <is>
          <t>Dàn lạnh cassette, CSL: 14.0 kW</t>
        </is>
      </c>
      <c r="D9" s="12">
        <f>HYPERLINK("tt38://pl3/6", "👉 Phụ lục III - Trang 6 (Khớp nhóm BA.121)")</f>
        <v/>
      </c>
      <c r="E9" s="8" t="inlineStr">
        <is>
          <t>máy</t>
        </is>
      </c>
      <c r="F9" s="8" t="n">
        <v>18</v>
      </c>
      <c r="G9" s="8" t="n">
        <v>525000</v>
      </c>
      <c r="H9" s="8" t="n">
        <v>559370</v>
      </c>
      <c r="I9" s="8" t="n">
        <v>5456.88</v>
      </c>
      <c r="J9" s="8" t="n">
        <v>1401187.2166148</v>
      </c>
      <c r="K9" s="8" t="n">
        <v>25221369.89906639</v>
      </c>
      <c r="L9" s="8" t="inlineStr"/>
      <c r="M9" s="8" t="inlineStr"/>
      <c r="N9" s="8" t="n">
        <v>1</v>
      </c>
    </row>
    <row r="10">
      <c r="A10" s="8" t="n">
        <v>6</v>
      </c>
      <c r="B10" s="11" t="inlineStr">
        <is>
          <t>BA.12130</t>
        </is>
      </c>
      <c r="C10" s="8" t="inlineStr">
        <is>
          <t>Dàn lạnh âm trần nối ống gió CSL: 7.1 kW</t>
        </is>
      </c>
      <c r="D10" s="12">
        <f>HYPERLINK("tt38://pl3/6", "👉 Phụ lục III - Trang 6 (Khớp nhóm BA.121)")</f>
        <v/>
      </c>
      <c r="E10" s="8" t="inlineStr">
        <is>
          <t>máy</t>
        </is>
      </c>
      <c r="F10" s="8" t="n">
        <v>2</v>
      </c>
      <c r="G10" s="8" t="n">
        <v>525000</v>
      </c>
      <c r="H10" s="8" t="n">
        <v>559370</v>
      </c>
      <c r="I10" s="8" t="n">
        <v>5456.88</v>
      </c>
      <c r="J10" s="8" t="n">
        <v>1401187.2166148</v>
      </c>
      <c r="K10" s="8" t="n">
        <v>2802374.433229599</v>
      </c>
      <c r="L10" s="8" t="inlineStr"/>
      <c r="M10" s="8" t="inlineStr"/>
      <c r="N10" s="8" t="n">
        <v>1</v>
      </c>
    </row>
    <row r="11">
      <c r="A11" s="8" t="n">
        <v>7</v>
      </c>
      <c r="B11" s="11" t="inlineStr">
        <is>
          <t>BA.12130</t>
        </is>
      </c>
      <c r="C11" s="8" t="inlineStr">
        <is>
          <t>Dàn lạnh cassette CSL: 7.1 kW</t>
        </is>
      </c>
      <c r="D11" s="12">
        <f>HYPERLINK("tt38://pl3/6", "👉 Phụ lục III - Trang 6 (Khớp nhóm BA.121)")</f>
        <v/>
      </c>
      <c r="E11" s="8" t="inlineStr">
        <is>
          <t>máy</t>
        </is>
      </c>
      <c r="F11" s="8" t="n">
        <v>36</v>
      </c>
      <c r="G11" s="8" t="n">
        <v>525000</v>
      </c>
      <c r="H11" s="8" t="n">
        <v>559370</v>
      </c>
      <c r="I11" s="8" t="n">
        <v>5456.88</v>
      </c>
      <c r="J11" s="8" t="n">
        <v>1401187.2166148</v>
      </c>
      <c r="K11" s="8" t="n">
        <v>50442739.79813278</v>
      </c>
      <c r="L11" s="8" t="inlineStr"/>
      <c r="M11" s="8" t="inlineStr"/>
      <c r="N11" s="8" t="n">
        <v>1</v>
      </c>
    </row>
    <row r="12">
      <c r="A12" s="8" t="n">
        <v>8</v>
      </c>
      <c r="B12" s="11" t="inlineStr">
        <is>
          <t>BA.12130</t>
        </is>
      </c>
      <c r="C12" s="8" t="inlineStr">
        <is>
          <t>Dàn lạnh cassette CSL: 10.0 kW</t>
        </is>
      </c>
      <c r="D12" s="12">
        <f>HYPERLINK("tt38://pl3/6", "👉 Phụ lục III - Trang 6 (Khớp nhóm BA.121)")</f>
        <v/>
      </c>
      <c r="E12" s="8" t="inlineStr">
        <is>
          <t>máy</t>
        </is>
      </c>
      <c r="F12" s="8" t="n">
        <v>24</v>
      </c>
      <c r="G12" s="8" t="n">
        <v>525000</v>
      </c>
      <c r="H12" s="8" t="n">
        <v>559370</v>
      </c>
      <c r="I12" s="8" t="n">
        <v>5456.88</v>
      </c>
      <c r="J12" s="8" t="n">
        <v>1401187.2166148</v>
      </c>
      <c r="K12" s="8" t="n">
        <v>33628493.19875519</v>
      </c>
      <c r="L12" s="8" t="inlineStr"/>
      <c r="M12" s="8" t="inlineStr"/>
      <c r="N12" s="8" t="n">
        <v>1</v>
      </c>
    </row>
    <row r="13">
      <c r="A13" s="8" t="n">
        <v>9</v>
      </c>
      <c r="B13" s="11" t="inlineStr">
        <is>
          <t>BA.12130</t>
        </is>
      </c>
      <c r="C13" s="8" t="inlineStr">
        <is>
          <t>Dàn lạnh cassette CSL: 12.5 kW</t>
        </is>
      </c>
      <c r="D13" s="12">
        <f>HYPERLINK("tt38://pl3/6", "👉 Phụ lục III - Trang 6 (Khớp nhóm BA.121)")</f>
        <v/>
      </c>
      <c r="E13" s="8" t="inlineStr">
        <is>
          <t>máy</t>
        </is>
      </c>
      <c r="F13" s="8" t="n">
        <v>30</v>
      </c>
      <c r="G13" s="8" t="n">
        <v>525000</v>
      </c>
      <c r="H13" s="8" t="n">
        <v>559370</v>
      </c>
      <c r="I13" s="8" t="n">
        <v>5456.88</v>
      </c>
      <c r="J13" s="8" t="n">
        <v>1401187.2166148</v>
      </c>
      <c r="K13" s="8" t="n">
        <v>42035616.49844399</v>
      </c>
      <c r="L13" s="8" t="inlineStr"/>
      <c r="M13" s="8" t="inlineStr"/>
      <c r="N13" s="8" t="n">
        <v>1</v>
      </c>
    </row>
    <row r="14">
      <c r="A14" s="8" t="n">
        <v>10</v>
      </c>
      <c r="B14" s="11" t="inlineStr">
        <is>
          <t>BA.12110</t>
        </is>
      </c>
      <c r="C14" s="8" t="inlineStr">
        <is>
          <t>Dàn lạnh treo tường CSL: 2.5 kW</t>
        </is>
      </c>
      <c r="D14" s="12">
        <f>HYPERLINK("tt38://pl3/6", "👉 Phụ lục III - Trang 6 (Khớp nhóm BA.121)")</f>
        <v/>
      </c>
      <c r="E14" s="8" t="inlineStr">
        <is>
          <t>máy</t>
        </is>
      </c>
      <c r="F14" s="8" t="n">
        <v>1</v>
      </c>
      <c r="G14" s="8" t="n">
        <v>315000</v>
      </c>
      <c r="H14" s="8" t="n">
        <v>333060</v>
      </c>
      <c r="I14" s="8" t="n">
        <v>4547.4</v>
      </c>
      <c r="J14" s="8" t="n">
        <v>839055.4161668514</v>
      </c>
      <c r="K14" s="8" t="n">
        <v>839055.4161668514</v>
      </c>
      <c r="L14" s="8" t="inlineStr"/>
      <c r="M14" s="8" t="inlineStr"/>
      <c r="N14" s="8" t="n">
        <v>1</v>
      </c>
    </row>
    <row r="15">
      <c r="A15" s="8" t="n">
        <v>11</v>
      </c>
      <c r="B15" s="11" t="inlineStr">
        <is>
          <t>BA.12110</t>
        </is>
      </c>
      <c r="C15" s="8" t="inlineStr">
        <is>
          <t>Dàn lạnh treo tường CSL: 5.0 kW</t>
        </is>
      </c>
      <c r="D15" s="12">
        <f>HYPERLINK("tt38://pl3/6", "👉 Phụ lục III - Trang 6 (Khớp nhóm BA.121)")</f>
        <v/>
      </c>
      <c r="E15" s="8" t="inlineStr">
        <is>
          <t>máy</t>
        </is>
      </c>
      <c r="F15" s="8" t="n">
        <v>2</v>
      </c>
      <c r="G15" s="8" t="n">
        <v>315000</v>
      </c>
      <c r="H15" s="8" t="n">
        <v>333060</v>
      </c>
      <c r="I15" s="8" t="n">
        <v>4547.4</v>
      </c>
      <c r="J15" s="8" t="n">
        <v>839055.4161668514</v>
      </c>
      <c r="K15" s="8" t="n">
        <v>1678110.832333703</v>
      </c>
      <c r="L15" s="8" t="inlineStr"/>
      <c r="M15" s="8" t="inlineStr"/>
      <c r="N15" s="8" t="n">
        <v>1</v>
      </c>
    </row>
    <row r="16">
      <c r="A16" s="8" t="n">
        <v>12</v>
      </c>
      <c r="B16" s="11" t="inlineStr">
        <is>
          <t>BA.12110</t>
        </is>
      </c>
      <c r="C16" s="8" t="inlineStr">
        <is>
          <t>Dàn lạnh treo tường CSL: 7.1 kW</t>
        </is>
      </c>
      <c r="D16" s="12">
        <f>HYPERLINK("tt38://pl3/6", "👉 Phụ lục III - Trang 6 (Khớp nhóm BA.121)")</f>
        <v/>
      </c>
      <c r="E16" s="8" t="inlineStr">
        <is>
          <t>máy</t>
        </is>
      </c>
      <c r="F16" s="8" t="n">
        <v>2</v>
      </c>
      <c r="G16" s="8" t="n">
        <v>315000</v>
      </c>
      <c r="H16" s="8" t="n">
        <v>333060</v>
      </c>
      <c r="I16" s="8" t="n">
        <v>4547.4</v>
      </c>
      <c r="J16" s="8" t="n">
        <v>839055.4161668514</v>
      </c>
      <c r="K16" s="8" t="n">
        <v>1678110.832333703</v>
      </c>
      <c r="L16" s="8" t="inlineStr"/>
      <c r="M16" s="8" t="inlineStr"/>
      <c r="N16" s="8" t="n">
        <v>1</v>
      </c>
    </row>
    <row r="17">
      <c r="A17" s="8" t="inlineStr"/>
      <c r="B17" s="8" t="inlineStr"/>
      <c r="C17" s="8" t="inlineStr">
        <is>
          <t>TỔNG HẠNG MỤC</t>
        </is>
      </c>
      <c r="E17" s="8" t="inlineStr"/>
      <c r="F17" s="8" t="inlineStr"/>
      <c r="G17" s="8" t="inlineStr"/>
      <c r="H17" s="8" t="inlineStr"/>
      <c r="I17" s="8" t="inlineStr"/>
      <c r="J17" s="8" t="inlineStr"/>
      <c r="K17" s="8" t="n">
        <v>386642520</v>
      </c>
      <c r="L17" s="8" t="inlineStr"/>
      <c r="M17" s="8" t="inlineStr"/>
      <c r="N17" s="8" t="inlineStr"/>
    </row>
    <row r="18">
      <c r="A18" s="8" t="inlineStr">
        <is>
          <t>Bằng chữ: Ba trăm tám mươi sáu triệu sáu trăm bốn mươi hai nghìn năm trăm hai mươi đồng chẵn./.</t>
        </is>
      </c>
      <c r="B18" s="8" t="inlineStr"/>
      <c r="C18" s="8" t="inlineStr"/>
      <c r="E18" s="8" t="inlineStr"/>
      <c r="F18" s="8" t="inlineStr"/>
      <c r="G18" s="8" t="inlineStr"/>
      <c r="H18" s="8" t="inlineStr"/>
      <c r="I18" s="8" t="inlineStr"/>
      <c r="J18" s="8" t="inlineStr"/>
      <c r="K18" s="8" t="inlineStr"/>
      <c r="L18" s="8" t="inlineStr"/>
      <c r="M18" s="8" t="inlineStr"/>
      <c r="N18" s="8" t="inlineStr"/>
    </row>
    <row r="19">
      <c r="A19" s="8" t="inlineStr">
        <is>
          <t>BẢNG ĐƠN GIÁ DỰ THẦU HẠNG MỤC CÔNG TRÌNH</t>
        </is>
      </c>
      <c r="B19" s="8" t="inlineStr"/>
      <c r="C19" s="8" t="inlineStr"/>
      <c r="E19" s="8" t="inlineStr"/>
      <c r="F19" s="8" t="inlineStr"/>
      <c r="G19" s="8" t="inlineStr"/>
      <c r="H19" s="8" t="inlineStr"/>
      <c r="I19" s="8" t="inlineStr"/>
      <c r="J19" s="8" t="inlineStr"/>
      <c r="K19" s="8" t="inlineStr"/>
      <c r="L19" s="8" t="inlineStr"/>
      <c r="M19" s="8" t="inlineStr"/>
      <c r="N19" s="8" t="inlineStr"/>
    </row>
    <row r="20">
      <c r="A20" s="8" t="inlineStr">
        <is>
          <t>DỰ ÁN: XÂY DỰNG NHÀ Ở CHO LỰC LƯỢNG VŨ TRANG CÔNG AN NHÂN DÂN TẠI Ô ĐẤT NO1 THUỘC LÔ ĐẤT D12 KHU ĐÔ THỊ MỚI CẦU GIẤY,
 PHƯỜNG CẦU GIẤY, THÀNH PHỐ HÀ NỘI</t>
        </is>
      </c>
      <c r="B20" s="8" t="inlineStr"/>
      <c r="C20" s="8" t="inlineStr"/>
      <c r="E20" s="8" t="inlineStr"/>
      <c r="F20" s="8" t="inlineStr"/>
      <c r="G20" s="8" t="inlineStr"/>
      <c r="H20" s="8" t="inlineStr"/>
      <c r="I20" s="8" t="inlineStr"/>
      <c r="J20" s="8" t="inlineStr"/>
      <c r="K20" s="8" t="inlineStr"/>
      <c r="L20" s="8" t="inlineStr"/>
      <c r="M20" s="8" t="inlineStr"/>
      <c r="N20" s="8" t="inlineStr"/>
    </row>
    <row r="21">
      <c r="A21" s="8" t="inlineStr">
        <is>
          <t>HẠNG MỤC: ĐIỀU HÒA KHÔNG KHÍ &amp; THÔNG GIÓ - VẬT TƯ XÂY LẮP</t>
        </is>
      </c>
      <c r="B21" s="8" t="inlineStr"/>
      <c r="C21" s="8" t="inlineStr"/>
      <c r="E21" s="8" t="inlineStr"/>
      <c r="F21" s="8" t="inlineStr"/>
      <c r="G21" s="8" t="inlineStr"/>
      <c r="H21" s="8" t="inlineStr"/>
      <c r="I21" s="8" t="inlineStr"/>
      <c r="J21" s="8" t="inlineStr"/>
      <c r="K21" s="8" t="inlineStr"/>
      <c r="L21" s="8" t="inlineStr"/>
      <c r="M21" s="8" t="inlineStr"/>
      <c r="N21" s="8" t="inlineStr"/>
    </row>
    <row r="22">
      <c r="A22" s="8" t="inlineStr">
        <is>
          <t>STT</t>
        </is>
      </c>
      <c r="B22" s="8" t="inlineStr">
        <is>
          <t>Mã số</t>
        </is>
      </c>
      <c r="C22" s="8" t="inlineStr">
        <is>
          <t>Tên công tác</t>
        </is>
      </c>
      <c r="E22" s="8" t="inlineStr">
        <is>
          <t>Đơn vị</t>
        </is>
      </c>
      <c r="F22" s="8" t="inlineStr">
        <is>
          <t>Khối lượng</t>
        </is>
      </c>
      <c r="G22" s="8" t="inlineStr">
        <is>
          <t>Vật liệu
(đ)</t>
        </is>
      </c>
      <c r="H22" s="8" t="inlineStr">
        <is>
          <t>Nhân công
(đ)</t>
        </is>
      </c>
      <c r="I22" s="8" t="inlineStr">
        <is>
          <t>Máy
(đ)</t>
        </is>
      </c>
      <c r="J22" s="8" t="inlineStr">
        <is>
          <t>Đơn giá
(đ)</t>
        </is>
      </c>
      <c r="K22" s="8" t="inlineStr">
        <is>
          <t>Thành tiền
(đ)</t>
        </is>
      </c>
      <c r="L22" s="8" t="n">
        <v>0</v>
      </c>
      <c r="M22" s="8" t="n">
        <v>0</v>
      </c>
      <c r="N22" s="8" t="inlineStr"/>
    </row>
    <row r="23">
      <c r="A23" s="8" t="inlineStr"/>
      <c r="B23" s="8" t="inlineStr">
        <is>
          <t>*</t>
        </is>
      </c>
      <c r="C23" s="8" t="inlineStr">
        <is>
          <t>Ống đồng</t>
        </is>
      </c>
      <c r="E23" s="8" t="n">
        <v>0</v>
      </c>
      <c r="F23" s="8" t="n">
        <v>0</v>
      </c>
      <c r="G23" s="8" t="inlineStr"/>
      <c r="H23" s="8" t="inlineStr"/>
      <c r="I23" s="8" t="inlineStr"/>
      <c r="J23" s="8" t="inlineStr"/>
      <c r="K23" s="8" t="inlineStr"/>
      <c r="L23" s="8" t="inlineStr"/>
      <c r="M23" s="8" t="inlineStr"/>
      <c r="N23" s="8" t="inlineStr"/>
    </row>
    <row r="24">
      <c r="A24" s="8" t="n">
        <v>1</v>
      </c>
      <c r="B24" s="11" t="inlineStr">
        <is>
          <t>BB.51001</t>
        </is>
      </c>
      <c r="C24" s="8" t="inlineStr">
        <is>
          <t>Ống đồng_D6.4_0.81mm</t>
        </is>
      </c>
      <c r="D24" s="12">
        <f>HYPERLINK("tt38://pl3/100", "👉 Phụ lục III - Trang 100 (Khớp nhóm BB.5100)")</f>
        <v/>
      </c>
      <c r="E24" s="8" t="inlineStr">
        <is>
          <t>100m</t>
        </is>
      </c>
      <c r="F24" s="8" t="n">
        <v>0.8</v>
      </c>
      <c r="G24" s="8" t="n">
        <v>5082383.0054818</v>
      </c>
      <c r="H24" s="8" t="n">
        <v>5764500</v>
      </c>
      <c r="I24" s="8" t="n">
        <v>0</v>
      </c>
      <c r="J24" s="8" t="n">
        <v>13945805.6011588</v>
      </c>
      <c r="K24" s="8" t="n">
        <v>11156644.48092704</v>
      </c>
      <c r="L24" s="8" t="inlineStr"/>
      <c r="M24" s="8" t="inlineStr"/>
      <c r="N24" s="8" t="inlineStr"/>
    </row>
    <row r="25">
      <c r="A25" s="8" t="n">
        <v>2</v>
      </c>
      <c r="B25" s="11" t="inlineStr">
        <is>
          <t>BB.51002</t>
        </is>
      </c>
      <c r="C25" s="8" t="inlineStr">
        <is>
          <t>Ống đồng_D9.5_0.81mm</t>
        </is>
      </c>
      <c r="D25" s="12">
        <f>HYPERLINK("tt38://pl3/100", "👉 Phụ lục III - Trang 100 (Khớp nhóm BB.5100)")</f>
        <v/>
      </c>
      <c r="E25" s="8" t="inlineStr">
        <is>
          <t>100m</t>
        </is>
      </c>
      <c r="F25" s="8" t="n">
        <v>23.4</v>
      </c>
      <c r="G25" s="8" t="n">
        <v>7982732.617442399</v>
      </c>
      <c r="H25" s="8" t="n">
        <v>6789300</v>
      </c>
      <c r="I25" s="8" t="n">
        <v>0</v>
      </c>
      <c r="J25" s="8" t="n">
        <v>18992358.92124183</v>
      </c>
      <c r="K25" s="8" t="n">
        <v>444421198.7570588</v>
      </c>
      <c r="L25" s="8" t="inlineStr"/>
      <c r="M25" s="8" t="inlineStr"/>
      <c r="N25" s="8" t="inlineStr"/>
    </row>
    <row r="26">
      <c r="A26" s="8" t="n">
        <v>3</v>
      </c>
      <c r="B26" s="11" t="inlineStr">
        <is>
          <t>BB.51003</t>
        </is>
      </c>
      <c r="C26" s="8" t="inlineStr">
        <is>
          <t>Ống đồng_D12.7_0.81mm</t>
        </is>
      </c>
      <c r="D26" s="12">
        <f>HYPERLINK("tt38://pl3/100", "👉 Phụ lục III - Trang 100 (Khớp nhóm BB.5100)")</f>
        <v/>
      </c>
      <c r="E26" s="8" t="inlineStr">
        <is>
          <t>100m</t>
        </is>
      </c>
      <c r="F26" s="8" t="n">
        <v>0.5</v>
      </c>
      <c r="G26" s="8" t="n">
        <v>10883055.226703</v>
      </c>
      <c r="H26" s="8" t="n">
        <v>7147979.999999999</v>
      </c>
      <c r="I26" s="8" t="n">
        <v>0</v>
      </c>
      <c r="J26" s="8" t="n">
        <v>23182448.99775951</v>
      </c>
      <c r="K26" s="8" t="n">
        <v>11591224.49887975</v>
      </c>
      <c r="L26" s="8" t="inlineStr"/>
      <c r="M26" s="8" t="inlineStr"/>
      <c r="N26" s="8" t="inlineStr"/>
    </row>
    <row r="27">
      <c r="A27" s="8" t="n">
        <v>4</v>
      </c>
      <c r="B27" s="11" t="inlineStr">
        <is>
          <t>BB.51004</t>
        </is>
      </c>
      <c r="C27" s="8" t="inlineStr">
        <is>
          <t>Ống đồng_D15.9_0.99mm</t>
        </is>
      </c>
      <c r="D27" s="12">
        <f>HYPERLINK("tt38://pl3/100", "👉 Phụ lục III - Trang 100 (Khớp nhóm BB.5100)")</f>
        <v/>
      </c>
      <c r="E27" s="8" t="inlineStr">
        <is>
          <t>100m</t>
        </is>
      </c>
      <c r="F27" s="8" t="n">
        <v>23.3</v>
      </c>
      <c r="G27" s="8" t="n">
        <v>16807230.1909636</v>
      </c>
      <c r="H27" s="8" t="n">
        <v>7852530</v>
      </c>
      <c r="I27" s="8" t="n">
        <v>0</v>
      </c>
      <c r="J27" s="8" t="n">
        <v>31704981.2024867</v>
      </c>
      <c r="K27" s="8" t="n">
        <v>738726062.01794</v>
      </c>
      <c r="L27" s="8" t="inlineStr"/>
      <c r="M27" s="8" t="inlineStr"/>
      <c r="N27" s="8" t="inlineStr"/>
    </row>
    <row r="28">
      <c r="A28" s="8" t="n">
        <v>5</v>
      </c>
      <c r="B28" s="11" t="inlineStr">
        <is>
          <t>BB.51005</t>
        </is>
      </c>
      <c r="C28" s="8" t="inlineStr">
        <is>
          <t>Ống đồng_D19.1_0.99mm</t>
        </is>
      </c>
      <c r="D28" s="12">
        <f>HYPERLINK("tt38://pl3/100", "👉 Phụ lục III - Trang 100 (Khớp nhóm BB.5100)")</f>
        <v/>
      </c>
      <c r="E28" s="8" t="inlineStr">
        <is>
          <t>100m</t>
        </is>
      </c>
      <c r="F28" s="8" t="n">
        <v>4</v>
      </c>
      <c r="G28" s="8" t="n">
        <v>20369250.3573636</v>
      </c>
      <c r="H28" s="8" t="n">
        <v>9475130</v>
      </c>
      <c r="I28" s="8" t="n">
        <v>0</v>
      </c>
      <c r="J28" s="8" t="n">
        <v>38370832.11282851</v>
      </c>
      <c r="K28" s="8" t="n">
        <v>153483328.451314</v>
      </c>
      <c r="L28" s="8" t="inlineStr"/>
      <c r="M28" s="8" t="inlineStr"/>
      <c r="N28" s="8" t="inlineStr"/>
    </row>
    <row r="29">
      <c r="A29" s="8" t="n">
        <v>6</v>
      </c>
      <c r="B29" s="11" t="inlineStr">
        <is>
          <t>BB.51006</t>
        </is>
      </c>
      <c r="C29" s="8" t="inlineStr">
        <is>
          <t>Ống đồng_D22.2_1.14mm</t>
        </is>
      </c>
      <c r="D29" s="12">
        <f>HYPERLINK("tt38://pl3/100", "👉 Phụ lục III - Trang 100 (Khớp nhóm BB.5100)")</f>
        <v/>
      </c>
      <c r="E29" s="8" t="inlineStr">
        <is>
          <t>100m</t>
        </is>
      </c>
      <c r="F29" s="8" t="n">
        <v>0.8</v>
      </c>
      <c r="G29" s="8" t="n">
        <v>27399625.9306242</v>
      </c>
      <c r="H29" s="8" t="n">
        <v>9850890</v>
      </c>
      <c r="I29" s="8" t="n">
        <v>0</v>
      </c>
      <c r="J29" s="8" t="n">
        <v>47892878.85273721</v>
      </c>
      <c r="K29" s="8" t="n">
        <v>38314303.08218977</v>
      </c>
      <c r="L29" s="8" t="inlineStr"/>
      <c r="M29" s="8" t="inlineStr"/>
      <c r="N29" s="8" t="inlineStr"/>
    </row>
    <row r="30">
      <c r="A30" s="8" t="n">
        <v>7</v>
      </c>
      <c r="B30" s="11" t="inlineStr">
        <is>
          <t>BB.51008</t>
        </is>
      </c>
      <c r="C30" s="8" t="inlineStr">
        <is>
          <t>Ống đồng_D28.6_1.27mm</t>
        </is>
      </c>
      <c r="D30" s="12">
        <f>HYPERLINK("tt38://pl3/100", "👉 Phụ lục III - Trang 100 (Khớp nhóm BB.5100)")</f>
        <v/>
      </c>
      <c r="E30" s="8" t="inlineStr">
        <is>
          <t>100m</t>
        </is>
      </c>
      <c r="F30" s="8" t="n">
        <v>1.6</v>
      </c>
      <c r="G30" s="8" t="n">
        <v>39525486.213406</v>
      </c>
      <c r="H30" s="8" t="n">
        <v>10320590</v>
      </c>
      <c r="I30" s="8" t="n">
        <v>0</v>
      </c>
      <c r="J30" s="8" t="n">
        <v>64086953.6899581</v>
      </c>
      <c r="K30" s="8" t="n">
        <v>102539125.903933</v>
      </c>
      <c r="L30" s="8" t="inlineStr"/>
      <c r="M30" s="8" t="inlineStr"/>
      <c r="N30" s="8" t="inlineStr"/>
    </row>
    <row r="31">
      <c r="A31" s="8" t="n">
        <v>8</v>
      </c>
      <c r="B31" s="11" t="inlineStr">
        <is>
          <t>BB.51010</t>
        </is>
      </c>
      <c r="C31" s="8" t="inlineStr">
        <is>
          <t>Ống đồng_D34.9_1.40mm</t>
        </is>
      </c>
      <c r="D31" s="12">
        <f>HYPERLINK("tt38://pl3/100", "👉 Phụ lục III - Trang 100 (Khớp nhóm BB.510)")</f>
        <v/>
      </c>
      <c r="E31" s="8" t="inlineStr">
        <is>
          <t>100m</t>
        </is>
      </c>
      <c r="F31" s="8" t="n">
        <v>1.6</v>
      </c>
      <c r="G31" s="8" t="n">
        <v>53498375.5746272</v>
      </c>
      <c r="H31" s="8" t="n">
        <v>10747590</v>
      </c>
      <c r="I31" s="8" t="n">
        <v>0</v>
      </c>
      <c r="J31" s="8" t="n">
        <v>82600849.12040538</v>
      </c>
      <c r="K31" s="8" t="n">
        <v>132161358.5926486</v>
      </c>
      <c r="L31" s="8" t="inlineStr"/>
      <c r="M31" s="8" t="inlineStr"/>
      <c r="N31" s="8" t="inlineStr"/>
    </row>
    <row r="32">
      <c r="A32" s="8" t="n">
        <v>9</v>
      </c>
      <c r="B32" s="11" t="inlineStr">
        <is>
          <t>BB.51012</t>
        </is>
      </c>
      <c r="C32" s="8" t="inlineStr">
        <is>
          <t>Ống đồng_D41.3_1.53mm</t>
        </is>
      </c>
      <c r="D32" s="12">
        <f>HYPERLINK("tt38://pl3/100", "👉 Phụ lục III - Trang 100 (Khớp nhóm BB.510)")</f>
        <v/>
      </c>
      <c r="E32" s="8" t="inlineStr">
        <is>
          <t>100m</t>
        </is>
      </c>
      <c r="F32" s="8" t="n">
        <v>2.4</v>
      </c>
      <c r="G32" s="8" t="n">
        <v>68855447.73428781</v>
      </c>
      <c r="H32" s="8" t="n">
        <v>11622940</v>
      </c>
      <c r="I32" s="8" t="n">
        <v>0</v>
      </c>
      <c r="J32" s="8" t="n">
        <v>103470826.5839923</v>
      </c>
      <c r="K32" s="8" t="n">
        <v>248329983.8015815</v>
      </c>
      <c r="L32" s="8" t="inlineStr"/>
      <c r="M32" s="8" t="inlineStr"/>
      <c r="N32" s="8" t="inlineStr"/>
    </row>
    <row r="33">
      <c r="A33" s="8" t="n">
        <v>10</v>
      </c>
      <c r="B33" s="11" t="inlineStr">
        <is>
          <t>BC.14101</t>
        </is>
      </c>
      <c r="C33" s="8" t="inlineStr">
        <is>
          <t>Bảo ôn ống đồng D6.4 dày 19mm</t>
        </is>
      </c>
      <c r="D33" s="12">
        <f>HYPERLINK("tt38://pl3/212", "👉 Phụ lục III - Trang 212 (Khớp nhóm BC.1410)")</f>
        <v/>
      </c>
      <c r="E33" s="8" t="inlineStr">
        <is>
          <t>100m</t>
        </is>
      </c>
      <c r="F33" s="8" t="n">
        <v>0.8</v>
      </c>
      <c r="G33" s="8" t="n">
        <v>1889588.94</v>
      </c>
      <c r="H33" s="8" t="n">
        <v>1942850</v>
      </c>
      <c r="I33" s="8" t="n">
        <v>0</v>
      </c>
      <c r="J33" s="8" t="n">
        <v>4927355.481619956</v>
      </c>
      <c r="K33" s="8" t="n">
        <v>3941884.385295965</v>
      </c>
      <c r="L33" s="8" t="inlineStr"/>
      <c r="M33" s="8" t="inlineStr"/>
      <c r="N33" s="8" t="inlineStr"/>
    </row>
    <row r="34">
      <c r="A34" s="8" t="n">
        <v>11</v>
      </c>
      <c r="B34" s="11" t="inlineStr">
        <is>
          <t>BC.14102</t>
        </is>
      </c>
      <c r="C34" s="8" t="inlineStr">
        <is>
          <t>Bảo ôn ống đồng D9.5 dày 19mm</t>
        </is>
      </c>
      <c r="D34" s="12">
        <f>HYPERLINK("tt38://pl3/212", "👉 Phụ lục III - Trang 212 (Khớp nhóm BC.1410)")</f>
        <v/>
      </c>
      <c r="E34" s="8" t="inlineStr">
        <is>
          <t>100m</t>
        </is>
      </c>
      <c r="F34" s="8" t="n">
        <v>23.4</v>
      </c>
      <c r="G34" s="8" t="n">
        <v>2038403.82</v>
      </c>
      <c r="H34" s="8" t="n">
        <v>2036790</v>
      </c>
      <c r="I34" s="8" t="n">
        <v>0</v>
      </c>
      <c r="J34" s="8" t="n">
        <v>5239464.717379362</v>
      </c>
      <c r="K34" s="8" t="n">
        <v>122603474.3866771</v>
      </c>
      <c r="L34" s="8" t="inlineStr"/>
      <c r="M34" s="8" t="inlineStr"/>
      <c r="N34" s="8" t="inlineStr"/>
    </row>
    <row r="35">
      <c r="A35" s="8" t="n">
        <v>12</v>
      </c>
      <c r="B35" s="11" t="inlineStr">
        <is>
          <t>BC.14103</t>
        </is>
      </c>
      <c r="C35" s="8" t="inlineStr">
        <is>
          <t>Bảo ôn ống đồng D12.7 dày 19mm</t>
        </is>
      </c>
      <c r="D35" s="12">
        <f>HYPERLINK("tt38://pl3/212", "👉 Phụ lục III - Trang 212 (Khớp nhóm BC.1410)")</f>
        <v/>
      </c>
      <c r="E35" s="8" t="inlineStr">
        <is>
          <t>100m</t>
        </is>
      </c>
      <c r="F35" s="8" t="n">
        <v>0.5</v>
      </c>
      <c r="G35" s="8" t="n">
        <v>2349984.975</v>
      </c>
      <c r="H35" s="8" t="n">
        <v>2143540</v>
      </c>
      <c r="I35" s="8" t="n">
        <v>0</v>
      </c>
      <c r="J35" s="8" t="n">
        <v>5777311.853887597</v>
      </c>
      <c r="K35" s="8" t="n">
        <v>2888655.926943799</v>
      </c>
      <c r="L35" s="8" t="inlineStr"/>
      <c r="M35" s="8" t="inlineStr"/>
      <c r="N35" s="8" t="inlineStr"/>
    </row>
    <row r="36">
      <c r="A36" s="8" t="n">
        <v>13</v>
      </c>
      <c r="B36" s="11" t="inlineStr">
        <is>
          <t>BC.14104</t>
        </is>
      </c>
      <c r="C36" s="8" t="inlineStr">
        <is>
          <t>Bảo ôn ống đồng D15.9 dày 19mm</t>
        </is>
      </c>
      <c r="D36" s="12">
        <f>HYPERLINK("tt38://pl3/212", "👉 Phụ lục III - Trang 212 (Khớp nhóm BC.1410)")</f>
        <v/>
      </c>
      <c r="E36" s="8" t="inlineStr">
        <is>
          <t>100m</t>
        </is>
      </c>
      <c r="F36" s="8" t="n">
        <v>23.3</v>
      </c>
      <c r="G36" s="8" t="n">
        <v>2601260.1</v>
      </c>
      <c r="H36" s="8" t="n">
        <v>2280180</v>
      </c>
      <c r="I36" s="8" t="n">
        <v>0</v>
      </c>
      <c r="J36" s="8" t="n">
        <v>6276053.190017547</v>
      </c>
      <c r="K36" s="8" t="n">
        <v>146232039.3274089</v>
      </c>
      <c r="L36" s="8" t="inlineStr"/>
      <c r="M36" s="8" t="inlineStr"/>
      <c r="N36" s="8" t="inlineStr"/>
    </row>
    <row r="37">
      <c r="A37" s="8" t="n">
        <v>14</v>
      </c>
      <c r="B37" s="11" t="inlineStr">
        <is>
          <t>BC.14105</t>
        </is>
      </c>
      <c r="C37" s="8" t="inlineStr">
        <is>
          <t>Bảo ôn ống đồng D19.1 dày 19mm</t>
        </is>
      </c>
      <c r="D37" s="12">
        <f>HYPERLINK("tt38://pl3/212", "👉 Phụ lục III - Trang 212 (Khớp nhóm BC.1410)")</f>
        <v/>
      </c>
      <c r="E37" s="8" t="inlineStr">
        <is>
          <t>100m</t>
        </is>
      </c>
      <c r="F37" s="8" t="n">
        <v>4</v>
      </c>
      <c r="G37" s="8" t="n">
        <v>2902790.25</v>
      </c>
      <c r="H37" s="8" t="n">
        <v>2365580</v>
      </c>
      <c r="I37" s="8" t="n">
        <v>0</v>
      </c>
      <c r="J37" s="8" t="n">
        <v>6773528.146684837</v>
      </c>
      <c r="K37" s="8" t="n">
        <v>27094112.58673935</v>
      </c>
      <c r="L37" s="8" t="inlineStr"/>
      <c r="M37" s="8" t="inlineStr"/>
      <c r="N37" s="8" t="inlineStr"/>
    </row>
    <row r="38">
      <c r="A38" s="8" t="n">
        <v>15</v>
      </c>
      <c r="B38" s="11" t="inlineStr">
        <is>
          <t>BC.14106</t>
        </is>
      </c>
      <c r="C38" s="8" t="inlineStr">
        <is>
          <t>Bảo ôn ống đồng D22.2 dày 19mm</t>
        </is>
      </c>
      <c r="D38" s="12">
        <f>HYPERLINK("tt38://pl3/212", "👉 Phụ lục III - Trang 212 (Khớp nhóm BC.1410)")</f>
        <v/>
      </c>
      <c r="E38" s="8" t="inlineStr">
        <is>
          <t>100m</t>
        </is>
      </c>
      <c r="F38" s="8" t="n">
        <v>0.8</v>
      </c>
      <c r="G38" s="8" t="n">
        <v>3152115.18</v>
      </c>
      <c r="H38" s="8" t="n">
        <v>2493680</v>
      </c>
      <c r="I38" s="8" t="n">
        <v>0</v>
      </c>
      <c r="J38" s="8" t="n">
        <v>7258782.269933966</v>
      </c>
      <c r="K38" s="8" t="n">
        <v>5807025.815947173</v>
      </c>
      <c r="L38" s="8" t="inlineStr"/>
      <c r="M38" s="8" t="inlineStr"/>
      <c r="N38" s="8" t="inlineStr"/>
    </row>
    <row r="39">
      <c r="A39" s="8" t="n">
        <v>16</v>
      </c>
      <c r="B39" s="11" t="inlineStr">
        <is>
          <t>BC.14108</t>
        </is>
      </c>
      <c r="C39" s="8" t="inlineStr">
        <is>
          <t>Bảo ôn ống đồng D28.6 dày 19mm</t>
        </is>
      </c>
      <c r="D39" s="12">
        <f>HYPERLINK("tt38://pl3/212", "👉 Phụ lục III - Trang 212 (Khớp nhóm BC.1410)")</f>
        <v/>
      </c>
      <c r="E39" s="8" t="inlineStr">
        <is>
          <t>100m</t>
        </is>
      </c>
      <c r="F39" s="8" t="n">
        <v>1.6</v>
      </c>
      <c r="G39" s="8" t="n">
        <v>3855685.53</v>
      </c>
      <c r="H39" s="8" t="n">
        <v>2732800</v>
      </c>
      <c r="I39" s="8" t="n">
        <v>0</v>
      </c>
      <c r="J39" s="8" t="n">
        <v>8470796.482362026</v>
      </c>
      <c r="K39" s="8" t="n">
        <v>13553274.37177924</v>
      </c>
      <c r="L39" s="8" t="inlineStr"/>
      <c r="M39" s="8" t="inlineStr"/>
      <c r="N39" s="8" t="inlineStr"/>
    </row>
    <row r="40">
      <c r="A40" s="8" t="n">
        <v>17</v>
      </c>
      <c r="B40" s="11" t="inlineStr">
        <is>
          <t>BC.14110</t>
        </is>
      </c>
      <c r="C40" s="8" t="inlineStr">
        <is>
          <t>Bảo ôn ống đồng D34.9 dày 19mm</t>
        </is>
      </c>
      <c r="D40" s="12">
        <f>HYPERLINK("tt38://pl3/212", "👉 Phụ lục III - Trang 212 (Khớp nhóm BC.141)")</f>
        <v/>
      </c>
      <c r="E40" s="8" t="inlineStr">
        <is>
          <t>100m</t>
        </is>
      </c>
      <c r="F40" s="8" t="n">
        <v>1.6</v>
      </c>
      <c r="G40" s="8" t="n">
        <v>4858835.835</v>
      </c>
      <c r="H40" s="8" t="n">
        <v>2822470</v>
      </c>
      <c r="I40" s="8" t="n">
        <v>0</v>
      </c>
      <c r="J40" s="8" t="n">
        <v>9875832.33670165</v>
      </c>
      <c r="K40" s="8" t="n">
        <v>15801331.73872264</v>
      </c>
      <c r="L40" s="8" t="inlineStr"/>
      <c r="M40" s="8" t="inlineStr"/>
      <c r="N40" s="8" t="inlineStr"/>
    </row>
    <row r="41">
      <c r="A41" s="8" t="n">
        <v>18</v>
      </c>
      <c r="B41" s="11" t="inlineStr">
        <is>
          <t>BC.14112</t>
        </is>
      </c>
      <c r="C41" s="8" t="inlineStr">
        <is>
          <t>Bảo ôn ống đồng D41.3 dày 19mm</t>
        </is>
      </c>
      <c r="D41" s="12">
        <f>HYPERLINK("tt38://pl3/212", "👉 Phụ lục III - Trang 212 (Khớp nhóm BC.141)")</f>
        <v/>
      </c>
      <c r="E41" s="8" t="inlineStr">
        <is>
          <t>100m</t>
        </is>
      </c>
      <c r="F41" s="8" t="n">
        <v>2.4</v>
      </c>
      <c r="G41" s="8" t="n">
        <v>5612661.21</v>
      </c>
      <c r="H41" s="8" t="n">
        <v>2971920</v>
      </c>
      <c r="I41" s="8" t="n">
        <v>0</v>
      </c>
      <c r="J41" s="8" t="n">
        <v>11037170.83161283</v>
      </c>
      <c r="K41" s="8" t="n">
        <v>26489209.99587078</v>
      </c>
      <c r="L41" s="8" t="inlineStr"/>
      <c r="M41" s="8" t="inlineStr"/>
      <c r="N41" s="8" t="inlineStr"/>
    </row>
    <row r="42">
      <c r="A42" s="8" t="inlineStr"/>
      <c r="B42" s="8" t="inlineStr"/>
      <c r="C42" s="8" t="inlineStr">
        <is>
          <t>TỔNG CỘNG: Ống đồng</t>
        </is>
      </c>
      <c r="E42" s="8" t="inlineStr"/>
      <c r="F42" s="8" t="inlineStr"/>
      <c r="G42" s="8" t="inlineStr"/>
      <c r="H42" s="8" t="inlineStr"/>
      <c r="I42" s="8" t="inlineStr"/>
      <c r="J42" s="8" t="inlineStr"/>
      <c r="K42" s="8" t="n">
        <v>2245134238.121857</v>
      </c>
      <c r="L42" s="8" t="inlineStr"/>
      <c r="M42" s="8" t="inlineStr"/>
      <c r="N42" s="8" t="n">
        <v>1</v>
      </c>
    </row>
    <row r="43">
      <c r="A43" s="8" t="inlineStr"/>
      <c r="B43" s="8" t="inlineStr">
        <is>
          <t>*</t>
        </is>
      </c>
      <c r="C43" s="8" t="inlineStr">
        <is>
          <t>Ống nước ngưng</t>
        </is>
      </c>
      <c r="E43" s="8" t="n">
        <v>0</v>
      </c>
      <c r="F43" s="8" t="n">
        <v>0</v>
      </c>
      <c r="G43" s="8" t="inlineStr"/>
      <c r="H43" s="8" t="inlineStr"/>
      <c r="I43" s="8" t="inlineStr"/>
      <c r="J43" s="8" t="inlineStr"/>
      <c r="K43" s="8" t="inlineStr"/>
      <c r="L43" s="8" t="inlineStr"/>
      <c r="M43" s="8" t="inlineStr"/>
      <c r="N43" s="8" t="inlineStr"/>
    </row>
    <row r="44">
      <c r="A44" s="8" t="n">
        <v>19</v>
      </c>
      <c r="B44" s="11" t="inlineStr">
        <is>
          <t>BB.41101</t>
        </is>
      </c>
      <c r="C44" s="8" t="inlineStr">
        <is>
          <t>Ống uPVC_D21</t>
        </is>
      </c>
      <c r="D44" s="12">
        <f>HYPERLINK("tt38://pl3/71", "👉 Phụ lục III - Trang 71 (Khớp nhóm BB.4110)")</f>
        <v/>
      </c>
      <c r="E44" s="8" t="inlineStr">
        <is>
          <t>100m</t>
        </is>
      </c>
      <c r="F44" s="8" t="n">
        <v>0.6</v>
      </c>
      <c r="G44" s="8" t="n">
        <v>851525.144</v>
      </c>
      <c r="H44" s="8" t="n">
        <v>1063230</v>
      </c>
      <c r="I44" s="8" t="n">
        <v>0</v>
      </c>
      <c r="J44" s="8" t="n">
        <v>2461795.061175432</v>
      </c>
      <c r="K44" s="8" t="n">
        <v>1477077.036705259</v>
      </c>
      <c r="L44" s="8" t="inlineStr"/>
      <c r="M44" s="8" t="inlineStr"/>
      <c r="N44" s="8" t="inlineStr"/>
    </row>
    <row r="45">
      <c r="A45" s="8" t="n">
        <v>20</v>
      </c>
      <c r="B45" s="11" t="inlineStr">
        <is>
          <t>BB.41102</t>
        </is>
      </c>
      <c r="C45" s="8" t="inlineStr">
        <is>
          <t>Ống uPVC_D27</t>
        </is>
      </c>
      <c r="D45" s="12">
        <f>HYPERLINK("tt38://pl3/71", "👉 Phụ lục III - Trang 71 (Khớp nhóm BB.4110)")</f>
        <v/>
      </c>
      <c r="E45" s="8" t="inlineStr">
        <is>
          <t>100m</t>
        </is>
      </c>
      <c r="F45" s="8" t="n">
        <v>17.6</v>
      </c>
      <c r="G45" s="8" t="n">
        <v>1165756.564</v>
      </c>
      <c r="H45" s="8" t="n">
        <v>1246840</v>
      </c>
      <c r="I45" s="8" t="n">
        <v>0</v>
      </c>
      <c r="J45" s="8" t="n">
        <v>3101868.311713499</v>
      </c>
      <c r="K45" s="8" t="n">
        <v>54592882.28615758</v>
      </c>
      <c r="L45" s="8" t="inlineStr"/>
      <c r="M45" s="8" t="inlineStr"/>
      <c r="N45" s="8" t="inlineStr"/>
    </row>
    <row r="46">
      <c r="A46" s="8" t="n">
        <v>21</v>
      </c>
      <c r="B46" s="11" t="inlineStr">
        <is>
          <t>BB.41103</t>
        </is>
      </c>
      <c r="C46" s="8" t="inlineStr">
        <is>
          <t>Ống uPVC_D34</t>
        </is>
      </c>
      <c r="D46" s="12">
        <f>HYPERLINK("tt38://pl3/71", "👉 Phụ lục III - Trang 71 (Khớp nhóm BB.4110)")</f>
        <v/>
      </c>
      <c r="E46" s="8" t="inlineStr">
        <is>
          <t>100m</t>
        </is>
      </c>
      <c r="F46" s="8" t="n">
        <v>3</v>
      </c>
      <c r="G46" s="8" t="n">
        <v>1469542.9396</v>
      </c>
      <c r="H46" s="8" t="n">
        <v>1498770</v>
      </c>
      <c r="I46" s="8" t="n">
        <v>0</v>
      </c>
      <c r="J46" s="8" t="n">
        <v>3816351.22257199</v>
      </c>
      <c r="K46" s="8" t="n">
        <v>11449053.66771597</v>
      </c>
      <c r="L46" s="8" t="inlineStr"/>
      <c r="M46" s="8" t="inlineStr"/>
      <c r="N46" s="8" t="inlineStr"/>
    </row>
    <row r="47">
      <c r="A47" s="8" t="n">
        <v>22</v>
      </c>
      <c r="B47" s="11" t="inlineStr">
        <is>
          <t>BB.41104</t>
        </is>
      </c>
      <c r="C47" s="8" t="inlineStr">
        <is>
          <t>Ống uPVC_D42</t>
        </is>
      </c>
      <c r="D47" s="12">
        <f>HYPERLINK("tt38://pl3/71", "👉 Phụ lục III - Trang 71 (Khớp nhóm BB.4110)")</f>
        <v/>
      </c>
      <c r="E47" s="8" t="inlineStr">
        <is>
          <t>100m</t>
        </is>
      </c>
      <c r="F47" s="8" t="n">
        <v>3</v>
      </c>
      <c r="G47" s="8" t="n">
        <v>2288858.863</v>
      </c>
      <c r="H47" s="8" t="n">
        <v>1870260</v>
      </c>
      <c r="I47" s="8" t="n">
        <v>0</v>
      </c>
      <c r="J47" s="8" t="n">
        <v>5347366.898508762</v>
      </c>
      <c r="K47" s="8" t="n">
        <v>16042100.69552629</v>
      </c>
      <c r="L47" s="8" t="inlineStr"/>
      <c r="M47" s="8" t="inlineStr"/>
      <c r="N47" s="8" t="inlineStr"/>
    </row>
    <row r="48">
      <c r="A48" s="8" t="n">
        <v>23</v>
      </c>
      <c r="B48" s="11" t="inlineStr">
        <is>
          <t>BB.41105</t>
        </is>
      </c>
      <c r="C48" s="8" t="inlineStr">
        <is>
          <t>Ống uPVC_D48</t>
        </is>
      </c>
      <c r="D48" s="12">
        <f>HYPERLINK("tt38://pl3/71", "👉 Phụ lục III - Trang 71 (Khớp nhóm BB.4110)")</f>
        <v/>
      </c>
      <c r="E48" s="8" t="inlineStr">
        <is>
          <t>100m</t>
        </is>
      </c>
      <c r="F48" s="8" t="n">
        <v>2.5</v>
      </c>
      <c r="G48" s="8" t="n">
        <v>2765496.522</v>
      </c>
      <c r="H48" s="8" t="n">
        <v>2339960</v>
      </c>
      <c r="I48" s="8" t="n">
        <v>0</v>
      </c>
      <c r="J48" s="8" t="n">
        <v>6564070.445398682</v>
      </c>
      <c r="K48" s="8" t="n">
        <v>16410176.1134967</v>
      </c>
      <c r="L48" s="8" t="inlineStr"/>
      <c r="M48" s="8" t="inlineStr"/>
      <c r="N48" s="8" t="inlineStr"/>
    </row>
    <row r="49">
      <c r="A49" s="8" t="n">
        <v>24</v>
      </c>
      <c r="B49" s="11" t="inlineStr">
        <is>
          <t>BC.13102</t>
        </is>
      </c>
      <c r="C49" s="8" t="inlineStr">
        <is>
          <t>Bảo ôn ống uPVC D21 dày 13mm</t>
        </is>
      </c>
      <c r="D49" s="12">
        <f>HYPERLINK("tt38://pl3/204", "👉 Phụ lục III - Trang 204 (Khớp nhóm BC.1310)")</f>
        <v/>
      </c>
      <c r="E49" s="8" t="inlineStr">
        <is>
          <t>100m</t>
        </is>
      </c>
      <c r="F49" s="8" t="n">
        <v>0.6</v>
      </c>
      <c r="G49" s="8" t="n">
        <v>1627726.1</v>
      </c>
      <c r="H49" s="8" t="n">
        <v>3407460</v>
      </c>
      <c r="I49" s="8" t="n">
        <v>0</v>
      </c>
      <c r="J49" s="8" t="n">
        <v>6473723.970358052</v>
      </c>
      <c r="K49" s="8" t="n">
        <v>3884234.382214831</v>
      </c>
      <c r="L49" s="8" t="inlineStr"/>
      <c r="M49" s="8" t="inlineStr"/>
      <c r="N49" s="8" t="inlineStr"/>
    </row>
    <row r="50">
      <c r="A50" s="8" t="n">
        <v>25</v>
      </c>
      <c r="B50" s="11" t="inlineStr">
        <is>
          <t>BC.13103</t>
        </is>
      </c>
      <c r="C50" s="8" t="inlineStr">
        <is>
          <t>Bảo ôn ống uPVC D27 dày 13mm</t>
        </is>
      </c>
      <c r="D50" s="12">
        <f>HYPERLINK("tt38://pl3/204", "👉 Phụ lục III - Trang 204 (Khớp nhóm BC.1310)")</f>
        <v/>
      </c>
      <c r="E50" s="8" t="inlineStr">
        <is>
          <t>100m</t>
        </is>
      </c>
      <c r="F50" s="8" t="n">
        <v>17.6</v>
      </c>
      <c r="G50" s="8" t="n">
        <v>1971469.5</v>
      </c>
      <c r="H50" s="8" t="n">
        <v>3655120</v>
      </c>
      <c r="I50" s="8" t="n">
        <v>0</v>
      </c>
      <c r="J50" s="8" t="n">
        <v>7234089.583603459</v>
      </c>
      <c r="K50" s="8" t="n">
        <v>127319976.6714209</v>
      </c>
      <c r="L50" s="8" t="inlineStr"/>
      <c r="M50" s="8" t="inlineStr"/>
      <c r="N50" s="8" t="inlineStr"/>
    </row>
    <row r="51">
      <c r="A51" s="8" t="n">
        <v>26</v>
      </c>
      <c r="B51" s="11" t="inlineStr">
        <is>
          <t>BC.13104</t>
        </is>
      </c>
      <c r="C51" s="8" t="inlineStr">
        <is>
          <t>Bảo ôn ống uPVC D34 dày 13mm</t>
        </is>
      </c>
      <c r="D51" s="12">
        <f>HYPERLINK("tt38://pl3/204", "👉 Phụ lục III - Trang 204 (Khớp nhóm BC.1310)")</f>
        <v/>
      </c>
      <c r="E51" s="8" t="inlineStr">
        <is>
          <t>100m</t>
        </is>
      </c>
      <c r="F51" s="8" t="n">
        <v>3</v>
      </c>
      <c r="G51" s="8" t="n">
        <v>2315212.9</v>
      </c>
      <c r="H51" s="8" t="n">
        <v>3885700</v>
      </c>
      <c r="I51" s="8" t="n">
        <v>0</v>
      </c>
      <c r="J51" s="8" t="n">
        <v>7972495.491046987</v>
      </c>
      <c r="K51" s="8" t="n">
        <v>23917486.47314096</v>
      </c>
      <c r="L51" s="8" t="inlineStr"/>
      <c r="M51" s="8" t="inlineStr"/>
      <c r="N51" s="8" t="inlineStr"/>
    </row>
    <row r="52">
      <c r="A52" s="8" t="n">
        <v>27</v>
      </c>
      <c r="B52" s="11" t="inlineStr">
        <is>
          <t>BC.13105</t>
        </is>
      </c>
      <c r="C52" s="8" t="inlineStr">
        <is>
          <t>Bảo ôn ống uPVC D42 dày 13mm</t>
        </is>
      </c>
      <c r="D52" s="12">
        <f>HYPERLINK("tt38://pl3/204", "👉 Phụ lục III - Trang 204 (Khớp nhóm BC.1310)")</f>
        <v/>
      </c>
      <c r="E52" s="8" t="inlineStr">
        <is>
          <t>100m</t>
        </is>
      </c>
      <c r="F52" s="8" t="n">
        <v>3</v>
      </c>
      <c r="G52" s="8" t="n">
        <v>2952149.2</v>
      </c>
      <c r="H52" s="8" t="n">
        <v>4270000</v>
      </c>
      <c r="I52" s="8" t="n">
        <v>0</v>
      </c>
      <c r="J52" s="8" t="n">
        <v>9285496.000543503</v>
      </c>
      <c r="K52" s="8" t="n">
        <v>27856488.00163051</v>
      </c>
      <c r="L52" s="8" t="inlineStr"/>
      <c r="M52" s="8" t="inlineStr"/>
      <c r="N52" s="8" t="inlineStr"/>
    </row>
    <row r="53">
      <c r="A53" s="8" t="n">
        <v>28</v>
      </c>
      <c r="B53" s="11" t="inlineStr">
        <is>
          <t>BC.13106</t>
        </is>
      </c>
      <c r="C53" s="8" t="inlineStr">
        <is>
          <t>Bảo ôn ống uPVC D48 dày 13mm</t>
        </is>
      </c>
      <c r="D53" s="12">
        <f>HYPERLINK("tt38://pl3/204", "👉 Phụ lục III - Trang 204 (Khớp nhóm BC.1310)")</f>
        <v/>
      </c>
      <c r="E53" s="8" t="inlineStr">
        <is>
          <t>100m</t>
        </is>
      </c>
      <c r="F53" s="8" t="n">
        <v>2.5</v>
      </c>
      <c r="G53" s="8" t="n">
        <v>3245342.1</v>
      </c>
      <c r="H53" s="8" t="n">
        <v>4526200</v>
      </c>
      <c r="I53" s="8" t="n">
        <v>0</v>
      </c>
      <c r="J53" s="8" t="n">
        <v>9991848.837407768</v>
      </c>
      <c r="K53" s="8" t="n">
        <v>24979622.09351942</v>
      </c>
      <c r="L53" s="8" t="inlineStr"/>
      <c r="M53" s="8" t="inlineStr"/>
      <c r="N53" s="8" t="inlineStr"/>
    </row>
    <row r="54">
      <c r="A54" s="8" t="inlineStr"/>
      <c r="B54" s="8" t="inlineStr"/>
      <c r="C54" s="8" t="inlineStr">
        <is>
          <t>TỔNG CỘNG: Ống nước ngưng</t>
        </is>
      </c>
      <c r="E54" s="8" t="inlineStr"/>
      <c r="F54" s="8" t="inlineStr"/>
      <c r="G54" s="8" t="inlineStr"/>
      <c r="H54" s="8" t="inlineStr"/>
      <c r="I54" s="8" t="inlineStr"/>
      <c r="J54" s="8" t="inlineStr"/>
      <c r="K54" s="8" t="n">
        <v>307929097.4215283</v>
      </c>
      <c r="L54" s="8" t="inlineStr"/>
      <c r="M54" s="8" t="inlineStr"/>
      <c r="N54" s="8" t="n">
        <v>1</v>
      </c>
    </row>
    <row r="55">
      <c r="A55" s="8" t="inlineStr"/>
      <c r="B55" s="8" t="inlineStr">
        <is>
          <t>*</t>
        </is>
      </c>
      <c r="C55" s="8" t="inlineStr">
        <is>
          <t>Dây điện</t>
        </is>
      </c>
      <c r="E55" s="8" t="n">
        <v>0</v>
      </c>
      <c r="F55" s="8" t="n">
        <v>0</v>
      </c>
      <c r="G55" s="8" t="inlineStr"/>
      <c r="H55" s="8" t="inlineStr"/>
      <c r="I55" s="8" t="inlineStr"/>
      <c r="J55" s="8" t="inlineStr"/>
      <c r="K55" s="8" t="inlineStr"/>
      <c r="L55" s="8" t="inlineStr"/>
      <c r="M55" s="8" t="inlineStr"/>
      <c r="N55" s="8" t="inlineStr"/>
    </row>
    <row r="56">
      <c r="A56" s="8" t="n">
        <v>29</v>
      </c>
      <c r="B56" s="11" t="inlineStr">
        <is>
          <t>BA.16201</t>
        </is>
      </c>
      <c r="C56" s="8" t="inlineStr">
        <is>
          <t>Dây điện_Cu/PVC_2x(1x0.75)mm2</t>
        </is>
      </c>
      <c r="D56" s="12">
        <f>HYPERLINK("tt38://pl3/14", "👉 Phụ lục III - Trang 14 (Khớp nhóm BA.1620)")</f>
        <v/>
      </c>
      <c r="E56" s="8" t="inlineStr">
        <is>
          <t>m</t>
        </is>
      </c>
      <c r="F56" s="8" t="n">
        <v>1300</v>
      </c>
      <c r="G56" s="8" t="n">
        <v>9006.9174</v>
      </c>
      <c r="H56" s="8" t="n">
        <v>9821</v>
      </c>
      <c r="I56" s="8" t="n">
        <v>0</v>
      </c>
      <c r="J56" s="8" t="n">
        <v>24206.99806593076</v>
      </c>
      <c r="K56" s="8" t="n">
        <v>31469097.48570999</v>
      </c>
      <c r="L56" s="8" t="inlineStr"/>
      <c r="M56" s="8" t="inlineStr"/>
      <c r="N56" s="8" t="inlineStr"/>
    </row>
    <row r="57">
      <c r="A57" s="8" t="n">
        <v>30</v>
      </c>
      <c r="B57" s="11" t="inlineStr">
        <is>
          <t>BA.16202</t>
        </is>
      </c>
      <c r="C57" s="8" t="inlineStr">
        <is>
          <t>Dây điện_Cu/PVC_2x(1x1.5)mm2</t>
        </is>
      </c>
      <c r="D57" s="12">
        <f>HYPERLINK("tt38://pl3/14", "👉 Phụ lục III - Trang 14 (Khớp nhóm BA.1620)")</f>
        <v/>
      </c>
      <c r="E57" s="8" t="inlineStr">
        <is>
          <t>m</t>
        </is>
      </c>
      <c r="F57" s="8" t="n">
        <v>4660</v>
      </c>
      <c r="G57" s="8" t="n">
        <v>15661.7165</v>
      </c>
      <c r="H57" s="8" t="n">
        <v>11956</v>
      </c>
      <c r="I57" s="8" t="n">
        <v>0</v>
      </c>
      <c r="J57" s="8" t="n">
        <v>35508.0169355812</v>
      </c>
      <c r="K57" s="8" t="n">
        <v>165467358.9198084</v>
      </c>
      <c r="L57" s="8" t="inlineStr"/>
      <c r="M57" s="8" t="inlineStr"/>
      <c r="N57" s="8" t="inlineStr"/>
    </row>
    <row r="58">
      <c r="A58" s="8" t="n">
        <v>31</v>
      </c>
      <c r="B58" s="11" t="inlineStr">
        <is>
          <t>BA.16202</t>
        </is>
      </c>
      <c r="C58" s="8" t="inlineStr">
        <is>
          <t>Dây điện_Cu/PVC_2x(1x2.5)mm2</t>
        </is>
      </c>
      <c r="D58" s="12">
        <f>HYPERLINK("tt38://pl3/14", "👉 Phụ lục III - Trang 14 (Khớp nhóm BA.1620)")</f>
        <v/>
      </c>
      <c r="E58" s="8" t="inlineStr">
        <is>
          <t>m</t>
        </is>
      </c>
      <c r="F58" s="8" t="n">
        <v>4660</v>
      </c>
      <c r="G58" s="8" t="n">
        <v>25582.0173</v>
      </c>
      <c r="H58" s="8" t="n">
        <v>11956</v>
      </c>
      <c r="I58" s="8" t="n">
        <v>0</v>
      </c>
      <c r="J58" s="8" t="n">
        <v>48262.51851837715</v>
      </c>
      <c r="K58" s="8" t="n">
        <v>224903336.2956375</v>
      </c>
      <c r="L58" s="8" t="inlineStr"/>
      <c r="M58" s="8" t="inlineStr"/>
      <c r="N58" s="8" t="inlineStr"/>
    </row>
    <row r="59">
      <c r="A59" s="8" t="n">
        <v>32</v>
      </c>
      <c r="B59" s="11" t="inlineStr">
        <is>
          <t>BA.16202</t>
        </is>
      </c>
      <c r="C59" s="8" t="inlineStr">
        <is>
          <t>Dây điện_Cu/PVC_2x(1x4.0)mm2</t>
        </is>
      </c>
      <c r="D59" s="12">
        <f>HYPERLINK("tt38://pl3/14", "👉 Phụ lục III - Trang 14 (Khớp nhóm BA.1620)")</f>
        <v/>
      </c>
      <c r="E59" s="8" t="inlineStr">
        <is>
          <t>m</t>
        </is>
      </c>
      <c r="F59" s="8" t="n">
        <v>4000</v>
      </c>
      <c r="G59" s="8" t="n">
        <v>40875.4676</v>
      </c>
      <c r="H59" s="8" t="n">
        <v>11956</v>
      </c>
      <c r="I59" s="8" t="n">
        <v>0</v>
      </c>
      <c r="J59" s="8" t="n">
        <v>67925.26262163672</v>
      </c>
      <c r="K59" s="8" t="n">
        <v>271701050.4865469</v>
      </c>
      <c r="L59" s="8" t="inlineStr"/>
      <c r="M59" s="8" t="inlineStr"/>
      <c r="N59" s="8" t="inlineStr"/>
    </row>
    <row r="60">
      <c r="A60" s="8" t="inlineStr"/>
      <c r="B60" s="8" t="inlineStr"/>
      <c r="C60" s="8" t="inlineStr">
        <is>
          <t>TỔNG CỘNG: Dây điện</t>
        </is>
      </c>
      <c r="E60" s="8" t="inlineStr"/>
      <c r="F60" s="8" t="inlineStr"/>
      <c r="G60" s="8" t="inlineStr"/>
      <c r="H60" s="8" t="inlineStr"/>
      <c r="I60" s="8" t="inlineStr"/>
      <c r="J60" s="8" t="inlineStr"/>
      <c r="K60" s="8" t="n">
        <v>693540843.1877029</v>
      </c>
      <c r="L60" s="8" t="inlineStr"/>
      <c r="M60" s="8" t="inlineStr"/>
      <c r="N60" s="8" t="n">
        <v>1</v>
      </c>
    </row>
    <row r="61">
      <c r="A61" s="8" t="inlineStr"/>
      <c r="B61" s="8" t="inlineStr"/>
      <c r="C61" s="8" t="inlineStr">
        <is>
          <t>TỔNG HẠNG MỤC</t>
        </is>
      </c>
      <c r="E61" s="8" t="inlineStr"/>
      <c r="F61" s="8" t="inlineStr"/>
      <c r="G61" s="8" t="inlineStr"/>
      <c r="H61" s="8" t="inlineStr"/>
      <c r="I61" s="8" t="inlineStr"/>
      <c r="J61" s="8" t="inlineStr"/>
      <c r="K61" s="8" t="n">
        <v>3246604179</v>
      </c>
      <c r="L61" s="8" t="inlineStr"/>
      <c r="M61" s="8" t="inlineStr"/>
      <c r="N61" s="8" t="inlineStr"/>
    </row>
    <row r="62">
      <c r="A62" s="8" t="inlineStr"/>
      <c r="B62" s="8" t="inlineStr"/>
      <c r="C62" s="8" t="inlineStr">
        <is>
          <t>TỔNG CÔNG TRÌNH</t>
        </is>
      </c>
      <c r="E62" s="8" t="inlineStr"/>
      <c r="F62" s="8" t="inlineStr"/>
      <c r="G62" s="8" t="inlineStr"/>
      <c r="H62" s="8" t="inlineStr"/>
      <c r="I62" s="8" t="inlineStr"/>
      <c r="J62" s="8" t="inlineStr"/>
      <c r="K62" s="8" t="n">
        <v>3633246699</v>
      </c>
      <c r="L62" s="8" t="inlineStr"/>
      <c r="M62" s="8" t="inlineStr"/>
      <c r="N62" s="8" t="inlineStr"/>
    </row>
    <row r="63">
      <c r="A63" s="8" t="inlineStr"/>
      <c r="B63" s="8" t="inlineStr"/>
      <c r="C63" s="8" t="inlineStr">
        <is>
          <t>LÀM TRÒN</t>
        </is>
      </c>
      <c r="E63" s="8" t="inlineStr"/>
      <c r="F63" s="8" t="inlineStr"/>
      <c r="G63" s="8" t="inlineStr"/>
      <c r="H63" s="8" t="inlineStr"/>
      <c r="I63" s="8" t="inlineStr"/>
      <c r="J63" s="8" t="inlineStr"/>
      <c r="K63" s="8" t="n">
        <v>3633247000</v>
      </c>
      <c r="L63" s="8" t="inlineStr"/>
      <c r="M63" s="8" t="inlineStr"/>
      <c r="N63" s="8" t="inlineStr"/>
    </row>
    <row r="64">
      <c r="A64" s="8" t="inlineStr">
        <is>
          <t>Bằng chữ: Ba tỷ sáu trăm ba mươi ba triệu hai trăm bốn mươi bảy nghìn đồng chẵn./.</t>
        </is>
      </c>
      <c r="B64" s="8" t="inlineStr"/>
      <c r="C64" s="8" t="inlineStr"/>
      <c r="E64" s="8" t="inlineStr"/>
      <c r="F64" s="8" t="inlineStr"/>
      <c r="G64" s="8" t="inlineStr"/>
      <c r="H64" s="8" t="inlineStr"/>
      <c r="I64" s="8" t="inlineStr"/>
      <c r="J64" s="8" t="inlineStr"/>
      <c r="K64" s="8" t="inlineStr"/>
      <c r="L64" s="8" t="inlineStr"/>
      <c r="M64" s="8" t="inlineStr"/>
      <c r="N64" s="8" t="inlineStr"/>
    </row>
  </sheetData>
  <hyperlinks>
    <hyperlink xmlns:r="http://schemas.openxmlformats.org/officeDocument/2006/relationships" ref="B5" r:id="rId1"/>
    <hyperlink xmlns:r="http://schemas.openxmlformats.org/officeDocument/2006/relationships" ref="D5" r:id="rId2"/>
    <hyperlink xmlns:r="http://schemas.openxmlformats.org/officeDocument/2006/relationships" ref="B6" r:id="rId3"/>
    <hyperlink xmlns:r="http://schemas.openxmlformats.org/officeDocument/2006/relationships" ref="D6" r:id="rId4"/>
    <hyperlink xmlns:r="http://schemas.openxmlformats.org/officeDocument/2006/relationships" ref="B7" r:id="rId5"/>
    <hyperlink xmlns:r="http://schemas.openxmlformats.org/officeDocument/2006/relationships" ref="D7" r:id="rId6"/>
    <hyperlink xmlns:r="http://schemas.openxmlformats.org/officeDocument/2006/relationships" ref="B8" r:id="rId7"/>
    <hyperlink xmlns:r="http://schemas.openxmlformats.org/officeDocument/2006/relationships" ref="D8" r:id="rId8"/>
    <hyperlink xmlns:r="http://schemas.openxmlformats.org/officeDocument/2006/relationships" ref="B9" r:id="rId9"/>
    <hyperlink xmlns:r="http://schemas.openxmlformats.org/officeDocument/2006/relationships" ref="D9" r:id="rId10"/>
    <hyperlink xmlns:r="http://schemas.openxmlformats.org/officeDocument/2006/relationships" ref="B10" r:id="rId11"/>
    <hyperlink xmlns:r="http://schemas.openxmlformats.org/officeDocument/2006/relationships" ref="D10" r:id="rId12"/>
    <hyperlink xmlns:r="http://schemas.openxmlformats.org/officeDocument/2006/relationships" ref="B11" r:id="rId13"/>
    <hyperlink xmlns:r="http://schemas.openxmlformats.org/officeDocument/2006/relationships" ref="D11" r:id="rId14"/>
    <hyperlink xmlns:r="http://schemas.openxmlformats.org/officeDocument/2006/relationships" ref="B12" r:id="rId15"/>
    <hyperlink xmlns:r="http://schemas.openxmlformats.org/officeDocument/2006/relationships" ref="D12" r:id="rId16"/>
    <hyperlink xmlns:r="http://schemas.openxmlformats.org/officeDocument/2006/relationships" ref="B13" r:id="rId17"/>
    <hyperlink xmlns:r="http://schemas.openxmlformats.org/officeDocument/2006/relationships" ref="D13" r:id="rId18"/>
    <hyperlink xmlns:r="http://schemas.openxmlformats.org/officeDocument/2006/relationships" ref="B14" r:id="rId19"/>
    <hyperlink xmlns:r="http://schemas.openxmlformats.org/officeDocument/2006/relationships" ref="D14" r:id="rId20"/>
    <hyperlink xmlns:r="http://schemas.openxmlformats.org/officeDocument/2006/relationships" ref="B15" r:id="rId21"/>
    <hyperlink xmlns:r="http://schemas.openxmlformats.org/officeDocument/2006/relationships" ref="D15" r:id="rId22"/>
    <hyperlink xmlns:r="http://schemas.openxmlformats.org/officeDocument/2006/relationships" ref="B16" r:id="rId23"/>
    <hyperlink xmlns:r="http://schemas.openxmlformats.org/officeDocument/2006/relationships" ref="D16" r:id="rId24"/>
    <hyperlink xmlns:r="http://schemas.openxmlformats.org/officeDocument/2006/relationships" ref="B24" r:id="rId25"/>
    <hyperlink xmlns:r="http://schemas.openxmlformats.org/officeDocument/2006/relationships" ref="D24" r:id="rId26"/>
    <hyperlink xmlns:r="http://schemas.openxmlformats.org/officeDocument/2006/relationships" ref="B25" r:id="rId27"/>
    <hyperlink xmlns:r="http://schemas.openxmlformats.org/officeDocument/2006/relationships" ref="D25" r:id="rId28"/>
    <hyperlink xmlns:r="http://schemas.openxmlformats.org/officeDocument/2006/relationships" ref="B26" r:id="rId29"/>
    <hyperlink xmlns:r="http://schemas.openxmlformats.org/officeDocument/2006/relationships" ref="D26" r:id="rId30"/>
    <hyperlink xmlns:r="http://schemas.openxmlformats.org/officeDocument/2006/relationships" ref="B27" r:id="rId31"/>
    <hyperlink xmlns:r="http://schemas.openxmlformats.org/officeDocument/2006/relationships" ref="D27" r:id="rId32"/>
    <hyperlink xmlns:r="http://schemas.openxmlformats.org/officeDocument/2006/relationships" ref="B28" r:id="rId33"/>
    <hyperlink xmlns:r="http://schemas.openxmlformats.org/officeDocument/2006/relationships" ref="D28" r:id="rId34"/>
    <hyperlink xmlns:r="http://schemas.openxmlformats.org/officeDocument/2006/relationships" ref="B29" r:id="rId35"/>
    <hyperlink xmlns:r="http://schemas.openxmlformats.org/officeDocument/2006/relationships" ref="D29" r:id="rId36"/>
    <hyperlink xmlns:r="http://schemas.openxmlformats.org/officeDocument/2006/relationships" ref="B30" r:id="rId37"/>
    <hyperlink xmlns:r="http://schemas.openxmlformats.org/officeDocument/2006/relationships" ref="D30" r:id="rId38"/>
    <hyperlink xmlns:r="http://schemas.openxmlformats.org/officeDocument/2006/relationships" ref="B31" r:id="rId39"/>
    <hyperlink xmlns:r="http://schemas.openxmlformats.org/officeDocument/2006/relationships" ref="D31" r:id="rId40"/>
    <hyperlink xmlns:r="http://schemas.openxmlformats.org/officeDocument/2006/relationships" ref="B32" r:id="rId41"/>
    <hyperlink xmlns:r="http://schemas.openxmlformats.org/officeDocument/2006/relationships" ref="D32" r:id="rId42"/>
    <hyperlink xmlns:r="http://schemas.openxmlformats.org/officeDocument/2006/relationships" ref="B33" r:id="rId43"/>
    <hyperlink xmlns:r="http://schemas.openxmlformats.org/officeDocument/2006/relationships" ref="D33" r:id="rId44"/>
    <hyperlink xmlns:r="http://schemas.openxmlformats.org/officeDocument/2006/relationships" ref="B34" r:id="rId45"/>
    <hyperlink xmlns:r="http://schemas.openxmlformats.org/officeDocument/2006/relationships" ref="D34" r:id="rId46"/>
    <hyperlink xmlns:r="http://schemas.openxmlformats.org/officeDocument/2006/relationships" ref="B35" r:id="rId47"/>
    <hyperlink xmlns:r="http://schemas.openxmlformats.org/officeDocument/2006/relationships" ref="D35" r:id="rId48"/>
    <hyperlink xmlns:r="http://schemas.openxmlformats.org/officeDocument/2006/relationships" ref="B36" r:id="rId49"/>
    <hyperlink xmlns:r="http://schemas.openxmlformats.org/officeDocument/2006/relationships" ref="D36" r:id="rId50"/>
    <hyperlink xmlns:r="http://schemas.openxmlformats.org/officeDocument/2006/relationships" ref="B37" r:id="rId51"/>
    <hyperlink xmlns:r="http://schemas.openxmlformats.org/officeDocument/2006/relationships" ref="D37" r:id="rId52"/>
    <hyperlink xmlns:r="http://schemas.openxmlformats.org/officeDocument/2006/relationships" ref="B38" r:id="rId53"/>
    <hyperlink xmlns:r="http://schemas.openxmlformats.org/officeDocument/2006/relationships" ref="D38" r:id="rId54"/>
    <hyperlink xmlns:r="http://schemas.openxmlformats.org/officeDocument/2006/relationships" ref="B39" r:id="rId55"/>
    <hyperlink xmlns:r="http://schemas.openxmlformats.org/officeDocument/2006/relationships" ref="D39" r:id="rId56"/>
    <hyperlink xmlns:r="http://schemas.openxmlformats.org/officeDocument/2006/relationships" ref="B40" r:id="rId57"/>
    <hyperlink xmlns:r="http://schemas.openxmlformats.org/officeDocument/2006/relationships" ref="D40" r:id="rId58"/>
    <hyperlink xmlns:r="http://schemas.openxmlformats.org/officeDocument/2006/relationships" ref="B41" r:id="rId59"/>
    <hyperlink xmlns:r="http://schemas.openxmlformats.org/officeDocument/2006/relationships" ref="D41" r:id="rId60"/>
    <hyperlink xmlns:r="http://schemas.openxmlformats.org/officeDocument/2006/relationships" ref="B44" r:id="rId61"/>
    <hyperlink xmlns:r="http://schemas.openxmlformats.org/officeDocument/2006/relationships" ref="D44" r:id="rId62"/>
    <hyperlink xmlns:r="http://schemas.openxmlformats.org/officeDocument/2006/relationships" ref="B45" r:id="rId63"/>
    <hyperlink xmlns:r="http://schemas.openxmlformats.org/officeDocument/2006/relationships" ref="D45" r:id="rId64"/>
    <hyperlink xmlns:r="http://schemas.openxmlformats.org/officeDocument/2006/relationships" ref="B46" r:id="rId65"/>
    <hyperlink xmlns:r="http://schemas.openxmlformats.org/officeDocument/2006/relationships" ref="D46" r:id="rId66"/>
    <hyperlink xmlns:r="http://schemas.openxmlformats.org/officeDocument/2006/relationships" ref="B47" r:id="rId67"/>
    <hyperlink xmlns:r="http://schemas.openxmlformats.org/officeDocument/2006/relationships" ref="D47" r:id="rId68"/>
    <hyperlink xmlns:r="http://schemas.openxmlformats.org/officeDocument/2006/relationships" ref="B48" r:id="rId69"/>
    <hyperlink xmlns:r="http://schemas.openxmlformats.org/officeDocument/2006/relationships" ref="D48" r:id="rId70"/>
    <hyperlink xmlns:r="http://schemas.openxmlformats.org/officeDocument/2006/relationships" ref="B49" r:id="rId71"/>
    <hyperlink xmlns:r="http://schemas.openxmlformats.org/officeDocument/2006/relationships" ref="D49" r:id="rId72"/>
    <hyperlink xmlns:r="http://schemas.openxmlformats.org/officeDocument/2006/relationships" ref="B50" r:id="rId73"/>
    <hyperlink xmlns:r="http://schemas.openxmlformats.org/officeDocument/2006/relationships" ref="D50" r:id="rId74"/>
    <hyperlink xmlns:r="http://schemas.openxmlformats.org/officeDocument/2006/relationships" ref="B51" r:id="rId75"/>
    <hyperlink xmlns:r="http://schemas.openxmlformats.org/officeDocument/2006/relationships" ref="D51" r:id="rId76"/>
    <hyperlink xmlns:r="http://schemas.openxmlformats.org/officeDocument/2006/relationships" ref="B52" r:id="rId77"/>
    <hyperlink xmlns:r="http://schemas.openxmlformats.org/officeDocument/2006/relationships" ref="D52" r:id="rId78"/>
    <hyperlink xmlns:r="http://schemas.openxmlformats.org/officeDocument/2006/relationships" ref="B53" r:id="rId79"/>
    <hyperlink xmlns:r="http://schemas.openxmlformats.org/officeDocument/2006/relationships" ref="D53" r:id="rId80"/>
    <hyperlink xmlns:r="http://schemas.openxmlformats.org/officeDocument/2006/relationships" ref="B56" r:id="rId81"/>
    <hyperlink xmlns:r="http://schemas.openxmlformats.org/officeDocument/2006/relationships" ref="D56" r:id="rId82"/>
    <hyperlink xmlns:r="http://schemas.openxmlformats.org/officeDocument/2006/relationships" ref="B57" r:id="rId83"/>
    <hyperlink xmlns:r="http://schemas.openxmlformats.org/officeDocument/2006/relationships" ref="D57" r:id="rId84"/>
    <hyperlink xmlns:r="http://schemas.openxmlformats.org/officeDocument/2006/relationships" ref="B58" r:id="rId85"/>
    <hyperlink xmlns:r="http://schemas.openxmlformats.org/officeDocument/2006/relationships" ref="D58" r:id="rId86"/>
    <hyperlink xmlns:r="http://schemas.openxmlformats.org/officeDocument/2006/relationships" ref="B59" r:id="rId87"/>
    <hyperlink xmlns:r="http://schemas.openxmlformats.org/officeDocument/2006/relationships" ref="D59" r:id="rId88"/>
  </hyperlink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23" customWidth="1" min="3" max="3"/>
    <col width="12" customWidth="1" min="4" max="4"/>
    <col width="24" customWidth="1" min="5" max="5"/>
    <col width="26" customWidth="1" min="6" max="6"/>
    <col width="30" customWidth="1" min="7" max="7"/>
    <col width="21" customWidth="1" min="8" max="8"/>
    <col width="21" customWidth="1" min="9" max="9"/>
  </cols>
  <sheetData>
    <row r="1">
      <c r="A1" s="8" t="inlineStr">
        <is>
          <t>DỰ ÁN: XÂY DỰNG NHÀ Ở CHO LỰC LƯỢNG VŨ TRANG CÔNG AN NHÂN DÂN TẠI Ô ĐẤT NO1 THUỘC LÔ ĐẤT D12 KHU ĐÔ THỊ MỚI CẦU GIẤY,
 PHƯỜNG CẦU GIẤY, THÀNH PHỐ HÀ NỘI</t>
        </is>
      </c>
      <c r="B1" s="8" t="inlineStr"/>
      <c r="C1" s="8" t="inlineStr"/>
      <c r="D1" s="8" t="inlineStr"/>
      <c r="E1" s="8" t="inlineStr"/>
      <c r="F1" s="8" t="inlineStr"/>
      <c r="G1" s="8" t="inlineStr"/>
      <c r="H1" s="8" t="inlineStr"/>
      <c r="I1" s="8" t="inlineStr"/>
    </row>
    <row r="2">
      <c r="A2" s="8" t="inlineStr">
        <is>
          <t>CHỈ SỐ GIÁ BÌNH QUÂN</t>
        </is>
      </c>
      <c r="B2" s="8" t="inlineStr"/>
      <c r="C2" s="8" t="inlineStr"/>
      <c r="D2" s="8" t="inlineStr"/>
      <c r="E2" s="8" t="inlineStr"/>
      <c r="F2" s="8" t="inlineStr"/>
      <c r="G2" s="8" t="inlineStr"/>
      <c r="H2" s="8" t="inlineStr"/>
      <c r="I2" s="8" t="inlineStr"/>
    </row>
    <row r="3">
      <c r="A3" s="8" t="inlineStr">
        <is>
          <t>STT</t>
        </is>
      </c>
      <c r="B3" s="8" t="inlineStr">
        <is>
          <t>Thời điểm</t>
        </is>
      </c>
      <c r="C3" s="8" t="inlineStr">
        <is>
          <t>Chỉ số giá XD</t>
        </is>
      </c>
      <c r="D3" s="8" t="inlineStr"/>
      <c r="E3" s="8" t="inlineStr"/>
      <c r="F3" s="8" t="inlineStr">
        <is>
          <t>Tỷ lệ ( Isau / Itrước )</t>
        </is>
      </c>
      <c r="G3" s="8" t="inlineStr">
        <is>
          <t>Chỉ số giá XD bình quân</t>
        </is>
      </c>
      <c r="H3" s="8" t="inlineStr"/>
      <c r="I3" s="8" t="inlineStr"/>
    </row>
    <row r="4">
      <c r="A4" s="8" t="n">
        <v>1</v>
      </c>
      <c r="B4" s="8" t="inlineStr">
        <is>
          <t>2014</t>
        </is>
      </c>
      <c r="C4" s="8" t="n">
        <v>1.05</v>
      </c>
      <c r="D4" s="8" t="inlineStr"/>
      <c r="E4" s="8" t="inlineStr"/>
      <c r="F4" s="8" t="n">
        <v>1</v>
      </c>
      <c r="G4" s="8" t="n">
        <v>1.00952</v>
      </c>
      <c r="H4" s="8" t="inlineStr"/>
      <c r="I4" s="8" t="inlineStr"/>
    </row>
    <row r="5">
      <c r="A5" s="8" t="n">
        <v>2</v>
      </c>
      <c r="B5" s="8" t="inlineStr">
        <is>
          <t>2015</t>
        </is>
      </c>
      <c r="C5" s="8" t="n">
        <v>1.05</v>
      </c>
      <c r="D5" s="8" t="inlineStr"/>
      <c r="E5" s="8" t="inlineStr"/>
      <c r="F5" s="8" t="n">
        <v>1</v>
      </c>
      <c r="G5" s="8" t="inlineStr"/>
      <c r="H5" s="8" t="inlineStr"/>
      <c r="I5" s="8" t="inlineStr"/>
    </row>
    <row r="6">
      <c r="A6" s="8" t="n">
        <v>3</v>
      </c>
      <c r="B6" s="8" t="inlineStr">
        <is>
          <t>2016</t>
        </is>
      </c>
      <c r="C6" s="8" t="n">
        <v>1.05</v>
      </c>
      <c r="D6" s="8" t="inlineStr"/>
      <c r="E6" s="8" t="inlineStr"/>
      <c r="F6" s="8" t="n">
        <v>1</v>
      </c>
      <c r="G6" s="8" t="inlineStr"/>
      <c r="H6" s="8" t="inlineStr"/>
      <c r="I6" s="8" t="inlineStr"/>
    </row>
    <row r="7">
      <c r="A7" s="8" t="n">
        <v>4</v>
      </c>
      <c r="B7" s="8" t="inlineStr">
        <is>
          <t>2017</t>
        </is>
      </c>
      <c r="C7" s="8" t="n">
        <v>1.05</v>
      </c>
      <c r="D7" s="8" t="inlineStr"/>
      <c r="E7" s="8" t="inlineStr"/>
      <c r="F7" s="8" t="n">
        <v>1.04762</v>
      </c>
      <c r="G7" s="8" t="inlineStr"/>
      <c r="H7" s="8" t="inlineStr"/>
      <c r="I7" s="8" t="inlineStr"/>
    </row>
    <row r="8">
      <c r="A8" s="8" t="n">
        <v>5</v>
      </c>
      <c r="B8" s="8" t="inlineStr">
        <is>
          <t>2018</t>
        </is>
      </c>
      <c r="C8" s="8" t="n">
        <v>1.1</v>
      </c>
      <c r="D8" s="8" t="inlineStr"/>
      <c r="E8" s="8" t="inlineStr"/>
      <c r="F8" s="8" t="n">
        <v>1</v>
      </c>
      <c r="G8" s="8" t="inlineStr"/>
      <c r="H8" s="8" t="inlineStr"/>
      <c r="I8" s="8" t="inlineStr"/>
    </row>
    <row r="9">
      <c r="A9" s="8" t="inlineStr"/>
      <c r="B9" s="8" t="inlineStr"/>
      <c r="C9" s="8" t="inlineStr"/>
      <c r="D9" s="8" t="inlineStr"/>
      <c r="E9" s="8" t="inlineStr"/>
      <c r="F9" s="8" t="inlineStr"/>
      <c r="G9" s="8" t="inlineStr"/>
      <c r="H9" s="8" t="inlineStr"/>
      <c r="I9" s="8" t="inlineStr"/>
    </row>
    <row r="10">
      <c r="A10" s="8" t="inlineStr">
        <is>
          <t>CHI PHÍ DỰ PHÒNG DO YẾU TỐ TRƯỢT GIÁ</t>
        </is>
      </c>
      <c r="B10" s="8" t="inlineStr"/>
      <c r="C10" s="8" t="inlineStr"/>
      <c r="D10" s="8" t="inlineStr"/>
      <c r="E10" s="8" t="inlineStr"/>
      <c r="F10" s="8" t="inlineStr"/>
      <c r="G10" s="8" t="inlineStr"/>
      <c r="H10" s="8" t="inlineStr"/>
      <c r="I10" s="8" t="inlineStr"/>
    </row>
    <row r="11">
      <c r="A11" s="8" t="inlineStr">
        <is>
          <t>STT</t>
        </is>
      </c>
      <c r="B11" s="8" t="inlineStr">
        <is>
          <t>Năm</t>
        </is>
      </c>
      <c r="C11" s="8" t="inlineStr">
        <is>
          <t>Vốn phân bổ từng năm</t>
        </is>
      </c>
      <c r="D11" s="8" t="inlineStr">
        <is>
          <t>Lãi vay</t>
        </is>
      </c>
      <c r="E11" s="8" t="inlineStr">
        <is>
          <t>Chi phí tính dự phòng</t>
        </is>
      </c>
      <c r="F11" s="8" t="inlineStr">
        <is>
          <t>Chỉ số giá XD bình quân</t>
        </is>
      </c>
      <c r="G11" s="8" t="inlineStr">
        <is>
          <t>Mức biến động chỉ số giá XD</t>
        </is>
      </c>
      <c r="H11" s="8" t="inlineStr">
        <is>
          <t>Dự phòng từng năm</t>
        </is>
      </c>
      <c r="I11" s="8" t="inlineStr">
        <is>
          <t>Dự phòng lũy kế</t>
        </is>
      </c>
    </row>
    <row r="12">
      <c r="A12" s="8" t="inlineStr"/>
      <c r="B12" s="8" t="inlineStr"/>
      <c r="C12" s="8" t="inlineStr">
        <is>
          <t>(đ)</t>
        </is>
      </c>
      <c r="D12" s="8" t="inlineStr">
        <is>
          <t>(đ)</t>
        </is>
      </c>
      <c r="E12" s="8" t="inlineStr">
        <is>
          <t>(đ)</t>
        </is>
      </c>
      <c r="F12" s="8" t="inlineStr"/>
      <c r="G12" s="8" t="inlineStr"/>
      <c r="H12" s="8" t="inlineStr">
        <is>
          <t>(đ)</t>
        </is>
      </c>
      <c r="I12" s="8" t="inlineStr">
        <is>
          <t>(đ)</t>
        </is>
      </c>
    </row>
    <row r="13">
      <c r="A13" s="8" t="n">
        <v>1</v>
      </c>
      <c r="B13" s="8" t="inlineStr">
        <is>
          <t>2019</t>
        </is>
      </c>
      <c r="C13" s="8" t="n">
        <v>370371449</v>
      </c>
      <c r="D13" s="8" t="n">
        <v>0</v>
      </c>
      <c r="E13" s="8" t="n">
        <v>370371449</v>
      </c>
      <c r="F13" s="8" t="n">
        <v>1.00952</v>
      </c>
      <c r="G13" s="8" t="n">
        <v>0.05</v>
      </c>
      <c r="H13" s="8" t="n">
        <v>22044508.64448</v>
      </c>
      <c r="I13" s="8" t="n">
        <v>22044508.64448</v>
      </c>
    </row>
    <row r="14">
      <c r="A14" s="8" t="n">
        <v>2</v>
      </c>
      <c r="B14" s="8" t="inlineStr">
        <is>
          <t>2020</t>
        </is>
      </c>
      <c r="C14" s="8" t="n">
        <v>370371449</v>
      </c>
      <c r="D14" s="8" t="n">
        <v>0</v>
      </c>
      <c r="E14" s="8" t="n">
        <v>370371449</v>
      </c>
      <c r="F14" s="8" t="n">
        <v>1.00952</v>
      </c>
      <c r="G14" s="8" t="n">
        <v>0.05</v>
      </c>
      <c r="H14" s="8" t="n">
        <v>45401106.44347943</v>
      </c>
      <c r="I14" s="8" t="n">
        <v>67445615.08795944</v>
      </c>
    </row>
    <row r="15">
      <c r="A15" s="8" t="n">
        <v>3</v>
      </c>
      <c r="B15" s="8" t="inlineStr">
        <is>
          <t>2021</t>
        </is>
      </c>
      <c r="C15" s="8" t="n">
        <v>2892503801</v>
      </c>
      <c r="D15" s="8" t="n">
        <v>0</v>
      </c>
      <c r="E15" s="8" t="n">
        <v>2892503801</v>
      </c>
      <c r="F15" s="8" t="n">
        <v>1.00952</v>
      </c>
      <c r="G15" s="8" t="n">
        <v>0.05</v>
      </c>
      <c r="H15" s="8" t="n">
        <v>547836600.1185157</v>
      </c>
      <c r="I15" s="8" t="n">
        <v>615282215.2064751</v>
      </c>
    </row>
    <row r="16">
      <c r="A16" s="8" t="inlineStr">
        <is>
          <t>TỔNG CỘNG</t>
        </is>
      </c>
      <c r="B16" s="8" t="inlineStr"/>
      <c r="C16" s="8" t="n">
        <v>3633246699</v>
      </c>
      <c r="D16" s="8" t="n">
        <v>0</v>
      </c>
      <c r="E16" s="8" t="n">
        <v>3633246699</v>
      </c>
      <c r="F16" s="8" t="inlineStr"/>
      <c r="G16" s="8" t="inlineStr"/>
      <c r="H16" s="8" t="n">
        <v>615282215.2064751</v>
      </c>
      <c r="I16" s="8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21" customWidth="1" min="3" max="3"/>
    <col width="14" customWidth="1" min="4" max="4"/>
    <col width="20" customWidth="1" min="5" max="5"/>
    <col width="12" customWidth="1" min="6" max="6"/>
    <col width="15" customWidth="1" min="7" max="7"/>
    <col width="50" customWidth="1" min="8" max="8"/>
  </cols>
  <sheetData>
    <row r="1">
      <c r="A1" s="8" t="inlineStr">
        <is>
          <t>TỔNG HỢP DỰ TOÁN GÓI THẦU</t>
        </is>
      </c>
      <c r="B1" s="8" t="inlineStr"/>
      <c r="C1" s="8" t="inlineStr"/>
      <c r="D1" s="8" t="inlineStr"/>
      <c r="E1" s="8" t="inlineStr"/>
      <c r="F1" s="8" t="inlineStr"/>
      <c r="G1" s="8" t="inlineStr"/>
      <c r="H1" s="8" t="inlineStr"/>
    </row>
    <row r="2">
      <c r="A2" s="8" t="inlineStr">
        <is>
          <t xml:space="preserve">Tên dự án: </t>
        </is>
      </c>
      <c r="B2" s="8" t="inlineStr"/>
      <c r="C2" s="8" t="inlineStr"/>
      <c r="D2" s="8" t="inlineStr"/>
      <c r="E2" s="8" t="inlineStr"/>
      <c r="F2" s="8" t="inlineStr"/>
      <c r="G2" s="8" t="inlineStr"/>
      <c r="H2" s="8" t="inlineStr"/>
    </row>
    <row r="3">
      <c r="A3" s="8" t="inlineStr">
        <is>
          <t>Tên gói thầu: DỰ ÁN: NHÀ Ở CHO LỰC LƯỢNG VŨ TRANG CÔNG AN NHÂN DÂN</t>
        </is>
      </c>
      <c r="B3" s="8" t="inlineStr"/>
      <c r="C3" s="8" t="inlineStr"/>
      <c r="D3" s="8" t="inlineStr"/>
      <c r="E3" s="8" t="inlineStr"/>
      <c r="F3" s="8" t="inlineStr"/>
      <c r="G3" s="8" t="inlineStr"/>
      <c r="H3" s="8" t="inlineStr"/>
    </row>
    <row r="4">
      <c r="A4" s="8" t="inlineStr">
        <is>
          <t xml:space="preserve">Thời điểm lập dự toán gói thầu: </t>
        </is>
      </c>
      <c r="B4" s="8" t="inlineStr"/>
      <c r="C4" s="8" t="inlineStr"/>
      <c r="D4" s="8" t="inlineStr"/>
      <c r="E4" s="8" t="inlineStr"/>
      <c r="F4" s="8" t="inlineStr"/>
      <c r="G4" s="8" t="inlineStr"/>
      <c r="H4" s="8" t="inlineStr"/>
    </row>
    <row r="5">
      <c r="A5" s="8" t="inlineStr">
        <is>
          <t xml:space="preserve">Thời gian thực hiện gói thầu: </t>
        </is>
      </c>
      <c r="B5" s="8" t="inlineStr"/>
      <c r="C5" s="8" t="inlineStr"/>
      <c r="D5" s="8" t="inlineStr"/>
      <c r="E5" s="8" t="inlineStr"/>
      <c r="F5" s="8" t="inlineStr"/>
      <c r="G5" s="8" t="inlineStr"/>
      <c r="H5" s="8" t="inlineStr"/>
    </row>
    <row r="6">
      <c r="A6" s="8" t="inlineStr">
        <is>
          <t>Đơn vị tính: (đ)</t>
        </is>
      </c>
      <c r="B6" s="8" t="inlineStr"/>
      <c r="C6" s="8" t="inlineStr"/>
      <c r="D6" s="8" t="inlineStr"/>
      <c r="E6" s="8" t="inlineStr"/>
      <c r="F6" s="8" t="inlineStr"/>
      <c r="G6" s="8" t="inlineStr"/>
      <c r="H6" s="8" t="inlineStr"/>
    </row>
    <row r="7">
      <c r="A7" s="8" t="inlineStr">
        <is>
          <t>STT</t>
        </is>
      </c>
      <c r="B7" s="8" t="inlineStr">
        <is>
          <t>KHOẢN MỤC CHI PHÍ</t>
        </is>
      </c>
      <c r="C7" s="8" t="inlineStr">
        <is>
          <t>GIÁ TRỊ TRƯỚC THUẾ</t>
        </is>
      </c>
      <c r="D7" s="8" t="inlineStr">
        <is>
          <t>THUẾ GTGT</t>
        </is>
      </c>
      <c r="E7" s="8" t="inlineStr">
        <is>
          <t>GIÁ TRỊ SAU THUẾ</t>
        </is>
      </c>
      <c r="F7" s="8" t="inlineStr">
        <is>
          <t>KÝ HIỆU</t>
        </is>
      </c>
      <c r="G7" s="8" t="inlineStr"/>
      <c r="H7" s="8" t="inlineStr">
        <is>
          <t>Ghi chú, hướng dẫn</t>
        </is>
      </c>
    </row>
    <row r="8">
      <c r="A8" s="8" t="inlineStr">
        <is>
          <t>[1]</t>
        </is>
      </c>
      <c r="B8" s="8" t="inlineStr">
        <is>
          <t>[2]</t>
        </is>
      </c>
      <c r="C8" s="8" t="inlineStr">
        <is>
          <t>[3]</t>
        </is>
      </c>
      <c r="D8" s="8" t="inlineStr">
        <is>
          <t>[4]</t>
        </is>
      </c>
      <c r="E8" s="8" t="inlineStr">
        <is>
          <t>[5]</t>
        </is>
      </c>
      <c r="F8" s="8" t="inlineStr">
        <is>
          <t>[6]</t>
        </is>
      </c>
      <c r="G8" s="8" t="inlineStr"/>
      <c r="H8" s="8" t="inlineStr"/>
    </row>
    <row r="9">
      <c r="A9" s="8" t="inlineStr">
        <is>
          <t>1</t>
        </is>
      </c>
      <c r="B9" s="8" t="inlineStr">
        <is>
          <t>Chi phí xây dựng của gói thầu</t>
        </is>
      </c>
      <c r="C9" s="8" t="n">
        <v>3302951545</v>
      </c>
      <c r="D9" s="8" t="n">
        <v>330295154</v>
      </c>
      <c r="E9" s="8" t="n">
        <v>3633246699</v>
      </c>
      <c r="F9" s="8" t="inlineStr">
        <is>
          <t>GXD</t>
        </is>
      </c>
      <c r="G9" s="8" t="inlineStr"/>
      <c r="H9" s="8" t="inlineStr"/>
    </row>
    <row r="10">
      <c r="A10" s="8" t="inlineStr">
        <is>
          <t>*</t>
        </is>
      </c>
      <c r="B10" s="8" t="inlineStr">
        <is>
          <t>Chi phí do Bên A cấp</t>
        </is>
      </c>
      <c r="C10" s="8" t="inlineStr"/>
      <c r="D10" s="8" t="inlineStr"/>
      <c r="E10" s="8" t="inlineStr"/>
      <c r="F10" s="8" t="inlineStr">
        <is>
          <t>GA</t>
        </is>
      </c>
      <c r="G10" s="8" t="inlineStr"/>
      <c r="H10" s="8" t="inlineStr"/>
    </row>
    <row r="11">
      <c r="A11" s="8" t="inlineStr">
        <is>
          <t>*</t>
        </is>
      </c>
      <c r="B11" s="8" t="inlineStr">
        <is>
          <t>Chi phí do Bên B đấu thầu</t>
        </is>
      </c>
      <c r="C11" s="8" t="n">
        <v>3302951545</v>
      </c>
      <c r="D11" s="8" t="n">
        <v>330295154</v>
      </c>
      <c r="E11" s="8" t="n">
        <v>3633246699</v>
      </c>
      <c r="F11" s="8" t="inlineStr">
        <is>
          <t>GB</t>
        </is>
      </c>
      <c r="G11" s="8" t="inlineStr"/>
      <c r="H11" s="8" t="inlineStr"/>
    </row>
    <row r="12">
      <c r="A12" s="8" t="inlineStr">
        <is>
          <t>1.1</t>
        </is>
      </c>
      <c r="B12" s="8" t="inlineStr">
        <is>
          <t>HẠNG MỤC: ĐIỀU HÒA KHÔNG KHÍ &amp; THÔNG GIÓ - LẮP ĐẶT THIẾT BỊ</t>
        </is>
      </c>
      <c r="C12" s="8" t="n">
        <v>351493200</v>
      </c>
      <c r="D12" s="8" t="n">
        <v>35149320</v>
      </c>
      <c r="E12" s="8" t="n">
        <v>386642520</v>
      </c>
      <c r="F12" s="8" t="inlineStr">
        <is>
          <t>Gthau1</t>
        </is>
      </c>
      <c r="G12" s="8" t="inlineStr"/>
      <c r="H12" s="8" t="inlineStr"/>
    </row>
    <row r="13">
      <c r="A13" s="8" t="inlineStr">
        <is>
          <t>1.2</t>
        </is>
      </c>
      <c r="B13" s="8" t="inlineStr">
        <is>
          <t>HẠNG MỤC: ĐIỀU HÒA KHÔNG KHÍ &amp; THÔNG GIÓ - VẬT TƯ XÂY LẮP</t>
        </is>
      </c>
      <c r="C13" s="8" t="n">
        <v>2951458345</v>
      </c>
      <c r="D13" s="8" t="n">
        <v>295145834</v>
      </c>
      <c r="E13" s="8" t="n">
        <v>3246604179</v>
      </c>
      <c r="F13" s="8" t="inlineStr">
        <is>
          <t>Gthau2</t>
        </is>
      </c>
      <c r="G13" s="8" t="inlineStr"/>
      <c r="H13" s="8" t="inlineStr"/>
    </row>
    <row r="14">
      <c r="A14" s="8" t="inlineStr">
        <is>
          <t>2</t>
        </is>
      </c>
      <c r="B14" s="8" t="inlineStr">
        <is>
          <t>Chi phí khác có liên quan của gói thầu</t>
        </is>
      </c>
      <c r="C14" s="8" t="inlineStr"/>
      <c r="D14" s="8" t="inlineStr"/>
      <c r="E14" s="8" t="inlineStr"/>
      <c r="F14" s="8" t="inlineStr">
        <is>
          <t>GKXD</t>
        </is>
      </c>
      <c r="G14" s="8" t="inlineStr"/>
      <c r="H14" s="8" t="inlineStr">
        <is>
          <t>Người dùng Tạo và khai báo loại hạng mục "5. Nhà tạm hoặc 6. Chi phí khác" bên sheet Công trình</t>
        </is>
      </c>
    </row>
    <row r="15">
      <c r="A15" s="8" t="inlineStr">
        <is>
          <t>3</t>
        </is>
      </c>
      <c r="B15" s="8" t="inlineStr">
        <is>
          <t>Chi phí dự phòng (GDPXD1 + GDPXD2)</t>
        </is>
      </c>
      <c r="C15" s="8" t="n">
        <v>559347468</v>
      </c>
      <c r="D15" s="8" t="n">
        <v>55934747</v>
      </c>
      <c r="E15" s="8" t="n">
        <v>615282215</v>
      </c>
      <c r="F15" s="8" t="inlineStr">
        <is>
          <t>GDPXD</t>
        </is>
      </c>
      <c r="G15" s="8" t="inlineStr"/>
      <c r="H15" s="8" t="inlineStr"/>
    </row>
    <row r="16">
      <c r="A16" s="8" t="inlineStr">
        <is>
          <t>3.1</t>
        </is>
      </c>
      <c r="B16" s="8" t="inlineStr">
        <is>
          <t>Chi phí dự phòng cho yếu tố khối lượng phát sinh [ 0% x (1+2) ]</t>
        </is>
      </c>
      <c r="C16" s="8" t="inlineStr"/>
      <c r="D16" s="8" t="inlineStr"/>
      <c r="E16" s="8" t="n">
        <v>0</v>
      </c>
      <c r="F16" s="8" t="inlineStr">
        <is>
          <t>GDPXD1</t>
        </is>
      </c>
      <c r="G16" s="8" t="inlineStr"/>
      <c r="H16" s="8" t="inlineStr">
        <is>
          <t>Người dùng khai báo tỷ lệ % cho Hệ số CP dự phòng của hạng mục xây dựng đầu tiên trong menu: "Công trình/ Hệ số chi phí xây lắp"</t>
        </is>
      </c>
    </row>
    <row r="17">
      <c r="A17" s="8" t="inlineStr">
        <is>
          <t>3.2</t>
        </is>
      </c>
      <c r="B17" s="8" t="inlineStr">
        <is>
          <t>Chi phí dự phòng cho yếu tố trượt giá</t>
        </is>
      </c>
      <c r="C17" s="8" t="inlineStr"/>
      <c r="D17" s="8" t="inlineStr"/>
      <c r="E17" s="8" t="n">
        <v>615282215.2064751</v>
      </c>
      <c r="F17" s="8" t="inlineStr">
        <is>
          <t>GDPXD2</t>
        </is>
      </c>
      <c r="G17" s="8" t="n">
        <v>3633246699</v>
      </c>
      <c r="H17" s="8" t="inlineStr">
        <is>
          <t>Được link kết quả từ sheet "Dự phòng thầu" sang</t>
        </is>
      </c>
    </row>
    <row r="18">
      <c r="A18" s="8" t="inlineStr"/>
      <c r="B18" s="8" t="inlineStr">
        <is>
          <t>TỔNG CỘNG   1 + 2 + 3</t>
        </is>
      </c>
      <c r="C18" s="8" t="n">
        <v>3862299013</v>
      </c>
      <c r="D18" s="8" t="n">
        <v>386229901</v>
      </c>
      <c r="E18" s="8" t="n">
        <v>4248528914</v>
      </c>
      <c r="F18" s="8" t="inlineStr">
        <is>
          <t>GGTXD</t>
        </is>
      </c>
      <c r="G18" s="8" t="inlineStr"/>
      <c r="H18" s="8" t="inlineStr"/>
    </row>
    <row r="19">
      <c r="A19" s="8" t="inlineStr"/>
      <c r="B19" s="8" t="inlineStr">
        <is>
          <t>LÀM TRÒN</t>
        </is>
      </c>
      <c r="C19" s="8" t="inlineStr"/>
      <c r="D19" s="8" t="inlineStr"/>
      <c r="E19" s="8" t="n">
        <v>4248529000</v>
      </c>
      <c r="F19" s="8" t="inlineStr"/>
      <c r="G19" s="8" t="inlineStr"/>
      <c r="H19" s="8" t="inlineStr"/>
    </row>
    <row r="20">
      <c r="A20" s="8" t="inlineStr">
        <is>
          <t>Bằng chữ: Bốn tỷ hai trăm bốn mươi tám triệu năm trăm hai mươi chín nghìn đồng chẵn./.</t>
        </is>
      </c>
      <c r="B20" s="8" t="inlineStr"/>
      <c r="C20" s="8" t="inlineStr"/>
      <c r="D20" s="8" t="inlineStr"/>
      <c r="E20" s="8" t="inlineStr"/>
      <c r="F20" s="8" t="inlineStr"/>
      <c r="G20" s="8" t="inlineStr"/>
      <c r="H20" s="8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S57"/>
  <sheetViews>
    <sheetView workbookViewId="0">
      <selection activeCell="A1" sqref="A1"/>
    </sheetView>
  </sheetViews>
  <sheetFormatPr baseColWidth="8" defaultRowHeight="15"/>
  <cols>
    <col width="22" customWidth="1" min="1" max="1"/>
    <col width="19" customWidth="1" min="2" max="2"/>
    <col width="12" customWidth="1" min="3" max="3"/>
    <col width="12" customWidth="1" min="4" max="4"/>
    <col width="50" customWidth="1" min="5" max="5"/>
    <col width="12" customWidth="1" min="6" max="6"/>
    <col width="12" customWidth="1" min="7" max="7"/>
    <col width="37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8" t="inlineStr"/>
      <c r="B1" s="8" t="inlineStr"/>
      <c r="C1" s="8" t="inlineStr"/>
      <c r="D1" s="8" t="inlineStr"/>
      <c r="E1" s="8" t="inlineStr"/>
      <c r="F1" s="8" t="inlineStr"/>
      <c r="G1" s="8" t="inlineStr"/>
      <c r="H1" s="8" t="inlineStr">
        <is>
          <t>Cộng hòa xã hội chủ nghĩa Việt Nam</t>
        </is>
      </c>
      <c r="I1" s="8" t="inlineStr"/>
      <c r="J1" s="8" t="inlineStr"/>
      <c r="K1" s="8" t="inlineStr"/>
      <c r="L1" s="8" t="inlineStr"/>
      <c r="M1" s="8" t="inlineStr"/>
      <c r="N1" s="8" t="inlineStr"/>
      <c r="O1" s="8" t="inlineStr"/>
      <c r="P1" s="8" t="inlineStr"/>
      <c r="Q1" s="8" t="inlineStr"/>
      <c r="R1" s="8" t="inlineStr"/>
      <c r="S1" s="8" t="inlineStr"/>
    </row>
    <row r="2">
      <c r="A2" s="8" t="inlineStr"/>
      <c r="B2" s="8" t="inlineStr"/>
      <c r="C2" s="8" t="inlineStr"/>
      <c r="D2" s="8" t="inlineStr"/>
      <c r="E2" s="8" t="inlineStr"/>
      <c r="F2" s="8" t="inlineStr"/>
      <c r="G2" s="8" t="inlineStr"/>
      <c r="H2" s="8" t="inlineStr">
        <is>
          <t>Độc lập - Tự do - Hạnh phúc</t>
        </is>
      </c>
      <c r="I2" s="8" t="inlineStr"/>
      <c r="J2" s="8" t="inlineStr"/>
      <c r="K2" s="8" t="inlineStr"/>
      <c r="L2" s="8" t="inlineStr"/>
      <c r="M2" s="8" t="inlineStr"/>
      <c r="N2" s="8" t="inlineStr"/>
      <c r="O2" s="8" t="inlineStr"/>
      <c r="P2" s="8" t="inlineStr"/>
      <c r="Q2" s="8" t="inlineStr"/>
      <c r="R2" s="8" t="inlineStr"/>
      <c r="S2" s="8" t="inlineStr"/>
    </row>
    <row r="3">
      <c r="A3" s="8" t="inlineStr"/>
      <c r="B3" s="8" t="inlineStr"/>
      <c r="C3" s="8" t="inlineStr"/>
      <c r="D3" s="8" t="inlineStr"/>
      <c r="E3" s="8" t="inlineStr"/>
      <c r="F3" s="8" t="inlineStr"/>
      <c r="G3" s="8" t="inlineStr"/>
      <c r="H3" s="8" t="inlineStr">
        <is>
          <t>*****</t>
        </is>
      </c>
      <c r="I3" s="8" t="inlineStr"/>
      <c r="J3" s="8" t="inlineStr"/>
      <c r="K3" s="8" t="inlineStr"/>
      <c r="L3" s="8" t="inlineStr"/>
      <c r="M3" s="8" t="inlineStr"/>
      <c r="N3" s="8" t="inlineStr"/>
      <c r="O3" s="8" t="inlineStr"/>
      <c r="P3" s="8" t="inlineStr"/>
      <c r="Q3" s="8" t="inlineStr"/>
      <c r="R3" s="8" t="inlineStr"/>
      <c r="S3" s="8" t="inlineStr"/>
    </row>
    <row r="4">
      <c r="A4" s="8" t="inlineStr"/>
      <c r="B4" s="8" t="inlineStr"/>
      <c r="C4" s="8" t="inlineStr"/>
      <c r="D4" s="8" t="inlineStr"/>
      <c r="E4" s="8" t="inlineStr"/>
      <c r="F4" s="8" t="inlineStr"/>
      <c r="G4" s="8" t="inlineStr"/>
      <c r="H4" s="8" t="inlineStr"/>
      <c r="I4" s="8" t="inlineStr"/>
      <c r="J4" s="8" t="inlineStr"/>
      <c r="K4" s="8" t="inlineStr"/>
      <c r="L4" s="8" t="inlineStr"/>
      <c r="M4" s="8" t="inlineStr"/>
      <c r="N4" s="8" t="inlineStr"/>
      <c r="O4" s="8" t="inlineStr"/>
      <c r="P4" s="8" t="inlineStr"/>
      <c r="Q4" s="8" t="inlineStr"/>
      <c r="R4" s="8" t="inlineStr"/>
      <c r="S4" s="8" t="inlineStr"/>
    </row>
    <row r="5">
      <c r="A5" s="8" t="inlineStr"/>
      <c r="B5" s="8" t="inlineStr"/>
      <c r="C5" s="8" t="inlineStr"/>
      <c r="D5" s="8" t="inlineStr"/>
      <c r="E5" s="8" t="inlineStr"/>
      <c r="F5" s="8" t="inlineStr"/>
      <c r="G5" s="8" t="inlineStr"/>
      <c r="H5" s="8" t="inlineStr"/>
      <c r="I5" s="8" t="inlineStr"/>
      <c r="J5" s="8" t="inlineStr"/>
      <c r="K5" s="8" t="inlineStr"/>
      <c r="L5" s="8" t="inlineStr"/>
      <c r="M5" s="8" t="inlineStr"/>
      <c r="N5" s="8" t="inlineStr"/>
      <c r="O5" s="8" t="inlineStr"/>
      <c r="P5" s="8" t="inlineStr"/>
      <c r="Q5" s="8" t="inlineStr"/>
      <c r="R5" s="8" t="inlineStr"/>
      <c r="S5" s="8" t="inlineStr"/>
    </row>
    <row r="6">
      <c r="A6" s="8" t="inlineStr"/>
      <c r="B6" s="8" t="inlineStr"/>
      <c r="C6" s="8" t="inlineStr"/>
      <c r="D6" s="8" t="inlineStr"/>
      <c r="E6" s="8" t="inlineStr"/>
      <c r="F6" s="8" t="inlineStr"/>
      <c r="G6" s="8" t="inlineStr"/>
      <c r="H6" s="8" t="inlineStr"/>
      <c r="I6" s="8" t="inlineStr"/>
      <c r="J6" s="8" t="inlineStr"/>
      <c r="K6" s="8" t="inlineStr"/>
      <c r="L6" s="8" t="inlineStr"/>
      <c r="M6" s="8" t="inlineStr"/>
      <c r="N6" s="8" t="inlineStr"/>
      <c r="O6" s="8" t="inlineStr"/>
      <c r="P6" s="8" t="inlineStr"/>
      <c r="Q6" s="8" t="inlineStr"/>
      <c r="R6" s="8" t="inlineStr"/>
      <c r="S6" s="8" t="inlineStr"/>
    </row>
    <row r="7">
      <c r="A7" s="8" t="inlineStr"/>
      <c r="B7" s="8" t="inlineStr"/>
      <c r="C7" s="8" t="inlineStr"/>
      <c r="D7" s="8" t="inlineStr"/>
      <c r="E7" s="8" t="inlineStr"/>
      <c r="F7" s="8" t="inlineStr"/>
      <c r="G7" s="8" t="inlineStr"/>
      <c r="H7" s="8" t="inlineStr"/>
      <c r="I7" s="8" t="inlineStr"/>
      <c r="J7" s="8" t="inlineStr"/>
      <c r="K7" s="8" t="inlineStr"/>
      <c r="L7" s="8" t="inlineStr"/>
      <c r="M7" s="8" t="inlineStr"/>
      <c r="N7" s="8" t="inlineStr"/>
      <c r="O7" s="8" t="inlineStr"/>
      <c r="P7" s="8" t="inlineStr"/>
      <c r="Q7" s="8" t="inlineStr"/>
      <c r="R7" s="8" t="inlineStr"/>
      <c r="S7" s="8" t="inlineStr"/>
    </row>
    <row r="8">
      <c r="A8" s="8" t="inlineStr"/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</row>
    <row r="9">
      <c r="A9" s="8" t="inlineStr"/>
      <c r="B9" s="8" t="inlineStr"/>
      <c r="C9" s="8" t="inlineStr"/>
      <c r="D9" s="8" t="inlineStr"/>
      <c r="E9" s="8" t="inlineStr"/>
      <c r="F9" s="8" t="inlineStr"/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8" t="inlineStr"/>
      <c r="P9" s="8" t="inlineStr"/>
      <c r="Q9" s="8" t="inlineStr"/>
      <c r="R9" s="8" t="inlineStr"/>
      <c r="S9" s="8" t="inlineStr"/>
    </row>
    <row r="10">
      <c r="A10" s="8" t="inlineStr"/>
      <c r="B10" s="8" t="inlineStr"/>
      <c r="C10" s="8" t="inlineStr"/>
      <c r="D10" s="8" t="inlineStr"/>
      <c r="E10" s="8" t="inlineStr"/>
      <c r="F10" s="8" t="inlineStr"/>
      <c r="G10" s="8" t="inlineStr"/>
      <c r="H10" s="8" t="inlineStr"/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8" t="inlineStr"/>
      <c r="R10" s="8" t="inlineStr"/>
      <c r="S10" s="8" t="inlineStr"/>
    </row>
    <row r="11">
      <c r="A11" s="8" t="inlineStr"/>
      <c r="B11" s="8" t="inlineStr"/>
      <c r="C11" s="8" t="inlineStr"/>
      <c r="D11" s="8" t="inlineStr"/>
      <c r="E11" s="8" t="inlineStr"/>
      <c r="F11" s="8" t="inlineStr"/>
      <c r="G11" s="8" t="inlineStr"/>
      <c r="H11" s="8" t="inlineStr"/>
      <c r="I11" s="8" t="inlineStr"/>
      <c r="J11" s="8" t="inlineStr"/>
      <c r="K11" s="8" t="inlineStr"/>
      <c r="L11" s="8" t="inlineStr"/>
      <c r="M11" s="8" t="inlineStr"/>
      <c r="N11" s="8" t="inlineStr"/>
      <c r="O11" s="8" t="inlineStr"/>
      <c r="P11" s="8" t="inlineStr"/>
      <c r="Q11" s="8" t="inlineStr"/>
      <c r="R11" s="8" t="inlineStr"/>
      <c r="S11" s="8" t="inlineStr"/>
    </row>
    <row r="12">
      <c r="A12" s="8" t="inlineStr"/>
      <c r="B12" s="8" t="inlineStr">
        <is>
          <t>HỒ SƠ DỰ TOÁN</t>
        </is>
      </c>
      <c r="C12" s="8" t="inlineStr"/>
      <c r="D12" s="8" t="inlineStr"/>
      <c r="E12" s="8" t="inlineStr"/>
      <c r="F12" s="8" t="inlineStr"/>
      <c r="G12" s="8" t="inlineStr"/>
      <c r="H12" s="8" t="inlineStr"/>
      <c r="I12" s="8" t="inlineStr"/>
      <c r="J12" s="8" t="inlineStr"/>
      <c r="K12" s="8" t="inlineStr"/>
      <c r="L12" s="8" t="inlineStr"/>
      <c r="M12" s="8" t="inlineStr"/>
      <c r="N12" s="8" t="inlineStr"/>
      <c r="O12" s="8" t="inlineStr"/>
      <c r="P12" s="8" t="inlineStr"/>
      <c r="Q12" s="8" t="inlineStr"/>
      <c r="R12" s="8" t="inlineStr"/>
      <c r="S12" s="8" t="inlineStr"/>
    </row>
    <row r="13">
      <c r="A13" s="8" t="inlineStr"/>
      <c r="B13" s="8" t="inlineStr"/>
      <c r="C13" s="8" t="inlineStr"/>
      <c r="D13" s="8" t="inlineStr"/>
      <c r="E13" s="8" t="inlineStr"/>
      <c r="F13" s="8" t="inlineStr"/>
      <c r="G13" s="8" t="inlineStr"/>
      <c r="H13" s="8" t="inlineStr"/>
      <c r="I13" s="8" t="inlineStr"/>
      <c r="J13" s="8" t="inlineStr"/>
      <c r="K13" s="8" t="inlineStr"/>
      <c r="L13" s="8" t="inlineStr"/>
      <c r="M13" s="8" t="inlineStr"/>
      <c r="N13" s="8" t="inlineStr"/>
      <c r="O13" s="8" t="inlineStr"/>
      <c r="P13" s="8" t="inlineStr"/>
      <c r="Q13" s="8" t="inlineStr"/>
      <c r="R13" s="8" t="inlineStr"/>
      <c r="S13" s="8" t="inlineStr"/>
    </row>
    <row r="14">
      <c r="A14" s="8" t="inlineStr"/>
      <c r="B14" s="8" t="inlineStr"/>
      <c r="C14" s="8" t="inlineStr"/>
      <c r="D14" s="8" t="inlineStr"/>
      <c r="E14" s="8" t="inlineStr"/>
      <c r="F14" s="8" t="inlineStr"/>
      <c r="G14" s="8" t="inlineStr"/>
      <c r="H14" s="8" t="inlineStr"/>
      <c r="I14" s="8" t="inlineStr"/>
      <c r="J14" s="8" t="inlineStr"/>
      <c r="K14" s="8" t="inlineStr"/>
      <c r="L14" s="8" t="inlineStr"/>
      <c r="M14" s="8" t="inlineStr"/>
      <c r="N14" s="8" t="inlineStr"/>
      <c r="O14" s="8" t="inlineStr"/>
      <c r="P14" s="8" t="inlineStr"/>
      <c r="Q14" s="8" t="inlineStr"/>
      <c r="R14" s="8" t="inlineStr"/>
      <c r="S14" s="8" t="inlineStr"/>
    </row>
    <row r="15">
      <c r="A15" s="8" t="inlineStr"/>
      <c r="B15" s="8" t="inlineStr"/>
      <c r="C15" s="8" t="inlineStr"/>
      <c r="D15" s="8" t="inlineStr"/>
      <c r="E15" s="8" t="inlineStr"/>
      <c r="F15" s="8" t="inlineStr"/>
      <c r="G15" s="8" t="inlineStr"/>
      <c r="H15" s="8" t="inlineStr"/>
      <c r="I15" s="8" t="inlineStr"/>
      <c r="J15" s="8" t="inlineStr"/>
      <c r="K15" s="8" t="inlineStr"/>
      <c r="L15" s="8" t="inlineStr"/>
      <c r="M15" s="8" t="inlineStr"/>
      <c r="N15" s="8" t="inlineStr"/>
      <c r="O15" s="8" t="inlineStr"/>
      <c r="P15" s="8" t="inlineStr"/>
      <c r="Q15" s="8" t="inlineStr"/>
      <c r="R15" s="8" t="inlineStr"/>
      <c r="S15" s="8" t="inlineStr"/>
    </row>
    <row r="16">
      <c r="A16" s="8" t="inlineStr"/>
      <c r="B16" s="8" t="inlineStr">
        <is>
          <t>CÔNG TRÌNH:</t>
        </is>
      </c>
      <c r="C16" s="8" t="inlineStr"/>
      <c r="D16" s="8" t="inlineStr"/>
      <c r="E16" s="8" t="inlineStr">
        <is>
          <t>DỰ ÁN: XÂY DỰNG NHÀ Ở CHO LỰC LƯỢNG VŨ TRANG CÔNG AN NHÂN DÂN TẠI Ô ĐẤT NO1 THUỘC LÔ ĐẤT D12 KHU ĐÔ THỊ MỚI CẦU GIẤY,
 PHƯỜNG CẦU GIẤY, THÀNH PHỐ HÀ NỘI</t>
        </is>
      </c>
      <c r="F16" s="8" t="inlineStr"/>
      <c r="G16" s="8" t="inlineStr"/>
      <c r="H16" s="8" t="inlineStr"/>
      <c r="I16" s="8" t="inlineStr"/>
      <c r="J16" s="8" t="inlineStr"/>
      <c r="K16" s="8" t="inlineStr"/>
      <c r="L16" s="8" t="inlineStr"/>
      <c r="M16" s="8" t="inlineStr"/>
      <c r="N16" s="8" t="inlineStr"/>
      <c r="O16" s="8" t="inlineStr"/>
      <c r="P16" s="8" t="inlineStr"/>
      <c r="Q16" s="8" t="inlineStr"/>
      <c r="R16" s="8" t="inlineStr"/>
      <c r="S16" s="8" t="inlineStr"/>
    </row>
    <row r="17">
      <c r="A17" s="8" t="inlineStr"/>
      <c r="B17" s="8" t="inlineStr">
        <is>
          <t>ĐỊA ĐIỂM XD:</t>
        </is>
      </c>
      <c r="C17" s="8" t="inlineStr"/>
      <c r="D17" s="8" t="inlineStr"/>
      <c r="E17" s="8" t="inlineStr"/>
      <c r="F17" s="8" t="inlineStr"/>
      <c r="G17" s="8" t="inlineStr"/>
      <c r="H17" s="8" t="inlineStr"/>
      <c r="I17" s="8" t="inlineStr"/>
      <c r="J17" s="8" t="inlineStr"/>
      <c r="K17" s="8" t="inlineStr"/>
      <c r="L17" s="8" t="inlineStr"/>
      <c r="M17" s="8" t="inlineStr"/>
      <c r="N17" s="8" t="inlineStr"/>
      <c r="O17" s="8" t="inlineStr"/>
      <c r="P17" s="8" t="inlineStr"/>
      <c r="Q17" s="8" t="inlineStr"/>
      <c r="R17" s="8" t="inlineStr"/>
      <c r="S17" s="8" t="inlineStr"/>
    </row>
    <row r="18">
      <c r="A18" s="8" t="inlineStr"/>
      <c r="B18" s="8" t="inlineStr">
        <is>
          <t>CHỦ ĐẦU TƯ:</t>
        </is>
      </c>
      <c r="C18" s="8" t="inlineStr"/>
      <c r="D18" s="8" t="inlineStr"/>
      <c r="E18" s="8" t="inlineStr"/>
      <c r="F18" s="8" t="inlineStr"/>
      <c r="G18" s="8" t="inlineStr"/>
      <c r="H18" s="8" t="inlineStr"/>
      <c r="I18" s="8" t="inlineStr"/>
      <c r="J18" s="8" t="inlineStr"/>
      <c r="K18" s="8" t="inlineStr"/>
      <c r="L18" s="8" t="inlineStr"/>
      <c r="M18" s="8" t="inlineStr"/>
      <c r="N18" s="8" t="inlineStr"/>
      <c r="O18" s="8" t="inlineStr"/>
      <c r="P18" s="8" t="inlineStr"/>
      <c r="Q18" s="8" t="inlineStr"/>
      <c r="R18" s="8" t="inlineStr"/>
      <c r="S18" s="8" t="inlineStr"/>
    </row>
    <row r="19">
      <c r="A19" s="8" t="inlineStr"/>
      <c r="B19" s="8" t="inlineStr">
        <is>
          <t>ĐƠN VỊ THI CÔNG:</t>
        </is>
      </c>
      <c r="C19" s="8" t="inlineStr"/>
      <c r="D19" s="8" t="inlineStr"/>
      <c r="E19" s="8" t="inlineStr"/>
      <c r="F19" s="8" t="inlineStr"/>
      <c r="G19" s="8" t="inlineStr"/>
      <c r="H19" s="8" t="inlineStr"/>
      <c r="I19" s="8" t="inlineStr"/>
      <c r="J19" s="8" t="inlineStr"/>
      <c r="K19" s="8" t="inlineStr"/>
      <c r="L19" s="8" t="inlineStr"/>
      <c r="M19" s="8" t="inlineStr"/>
      <c r="N19" s="8" t="inlineStr"/>
      <c r="O19" s="8" t="inlineStr"/>
      <c r="P19" s="8" t="inlineStr"/>
      <c r="Q19" s="8" t="inlineStr"/>
      <c r="R19" s="8" t="inlineStr"/>
      <c r="S19" s="8" t="inlineStr"/>
    </row>
    <row r="20">
      <c r="A20" s="8" t="inlineStr"/>
      <c r="B20" s="8" t="inlineStr">
        <is>
          <t>THỰC HIỆN:</t>
        </is>
      </c>
      <c r="C20" s="8" t="inlineStr"/>
      <c r="D20" s="8" t="inlineStr"/>
      <c r="E20" s="8" t="inlineStr"/>
      <c r="F20" s="8" t="inlineStr"/>
      <c r="G20" s="8" t="inlineStr"/>
      <c r="H20" s="8" t="inlineStr"/>
      <c r="I20" s="8" t="inlineStr"/>
      <c r="J20" s="8" t="inlineStr"/>
      <c r="K20" s="8" t="inlineStr"/>
      <c r="L20" s="8" t="inlineStr"/>
      <c r="M20" s="8" t="inlineStr"/>
      <c r="N20" s="8" t="inlineStr"/>
      <c r="O20" s="8" t="inlineStr"/>
      <c r="P20" s="8" t="inlineStr"/>
      <c r="Q20" s="8" t="inlineStr"/>
      <c r="R20" s="8" t="inlineStr"/>
      <c r="S20" s="8" t="inlineStr"/>
    </row>
    <row r="21">
      <c r="A21" s="8" t="inlineStr"/>
      <c r="B21" s="8" t="inlineStr"/>
      <c r="C21" s="8" t="inlineStr"/>
      <c r="D21" s="8" t="inlineStr"/>
      <c r="E21" s="8" t="inlineStr"/>
      <c r="F21" s="8" t="inlineStr"/>
      <c r="G21" s="8" t="inlineStr"/>
      <c r="H21" s="8" t="inlineStr"/>
      <c r="I21" s="8" t="inlineStr"/>
      <c r="J21" s="8" t="inlineStr"/>
      <c r="K21" s="8" t="inlineStr"/>
      <c r="L21" s="8" t="inlineStr"/>
      <c r="M21" s="8" t="inlineStr"/>
      <c r="N21" s="8" t="inlineStr"/>
      <c r="O21" s="8" t="inlineStr"/>
      <c r="P21" s="8" t="inlineStr"/>
      <c r="Q21" s="8" t="inlineStr"/>
      <c r="R21" s="8" t="inlineStr"/>
      <c r="S21" s="8" t="inlineStr"/>
    </row>
    <row r="22">
      <c r="A22" s="8" t="inlineStr"/>
      <c r="B22" s="8" t="inlineStr"/>
      <c r="C22" s="8" t="inlineStr"/>
      <c r="D22" s="8" t="inlineStr"/>
      <c r="E22" s="8" t="inlineStr"/>
      <c r="F22" s="8" t="inlineStr"/>
      <c r="G22" s="8" t="inlineStr"/>
      <c r="H22" s="8" t="inlineStr"/>
      <c r="I22" s="8" t="inlineStr"/>
      <c r="J22" s="8" t="inlineStr"/>
      <c r="K22" s="8" t="inlineStr"/>
      <c r="L22" s="8" t="inlineStr"/>
      <c r="M22" s="8" t="inlineStr"/>
      <c r="N22" s="8" t="inlineStr"/>
      <c r="O22" s="8" t="inlineStr"/>
      <c r="P22" s="8" t="inlineStr"/>
      <c r="Q22" s="8" t="inlineStr"/>
      <c r="R22" s="8" t="inlineStr"/>
      <c r="S22" s="8" t="inlineStr"/>
    </row>
    <row r="23">
      <c r="A23" s="8" t="inlineStr"/>
      <c r="B23" s="8" t="inlineStr"/>
      <c r="C23" s="8" t="inlineStr"/>
      <c r="D23" s="8" t="inlineStr"/>
      <c r="E23" s="8" t="inlineStr"/>
      <c r="F23" s="8" t="inlineStr"/>
      <c r="G23" s="8" t="inlineStr"/>
      <c r="H23" s="8" t="inlineStr"/>
      <c r="I23" s="8" t="inlineStr"/>
      <c r="J23" s="8" t="inlineStr"/>
      <c r="K23" s="8" t="inlineStr"/>
      <c r="L23" s="8" t="inlineStr"/>
      <c r="M23" s="8" t="inlineStr"/>
      <c r="N23" s="8" t="inlineStr"/>
      <c r="O23" s="8" t="inlineStr"/>
      <c r="P23" s="8" t="inlineStr"/>
      <c r="Q23" s="8" t="inlineStr"/>
      <c r="R23" s="8" t="inlineStr"/>
      <c r="S23" s="8" t="inlineStr"/>
    </row>
    <row r="24">
      <c r="A24" s="8" t="inlineStr"/>
      <c r="B24" s="8" t="inlineStr"/>
      <c r="C24" s="8" t="inlineStr"/>
      <c r="D24" s="8" t="inlineStr"/>
      <c r="E24" s="8" t="inlineStr"/>
      <c r="F24" s="8" t="inlineStr"/>
      <c r="G24" s="8" t="inlineStr"/>
      <c r="H24" s="8" t="inlineStr"/>
      <c r="I24" s="8" t="inlineStr"/>
      <c r="J24" s="8" t="inlineStr"/>
      <c r="K24" s="8" t="inlineStr"/>
      <c r="L24" s="8" t="inlineStr"/>
      <c r="M24" s="8" t="inlineStr"/>
      <c r="N24" s="8" t="inlineStr"/>
      <c r="O24" s="8" t="inlineStr"/>
      <c r="P24" s="8" t="inlineStr"/>
      <c r="Q24" s="8" t="inlineStr"/>
      <c r="R24" s="8" t="inlineStr"/>
      <c r="S24" s="8" t="inlineStr"/>
    </row>
    <row r="25">
      <c r="A25" s="8" t="inlineStr"/>
      <c r="B25" s="8" t="inlineStr"/>
      <c r="C25" s="8" t="inlineStr"/>
      <c r="D25" s="8" t="inlineStr"/>
      <c r="E25" s="8" t="inlineStr"/>
      <c r="F25" s="8" t="inlineStr"/>
      <c r="G25" s="8" t="inlineStr"/>
      <c r="H25" s="8" t="inlineStr"/>
      <c r="I25" s="8" t="inlineStr"/>
      <c r="J25" s="8" t="inlineStr"/>
      <c r="K25" s="8" t="inlineStr"/>
      <c r="L25" s="8" t="inlineStr"/>
      <c r="M25" s="8" t="inlineStr"/>
      <c r="N25" s="8" t="inlineStr"/>
      <c r="O25" s="8" t="inlineStr"/>
      <c r="P25" s="8" t="inlineStr"/>
      <c r="Q25" s="8" t="inlineStr"/>
      <c r="R25" s="8" t="inlineStr"/>
      <c r="S25" s="8" t="inlineStr"/>
    </row>
    <row r="26">
      <c r="A26" s="8" t="inlineStr"/>
      <c r="B26" s="8" t="inlineStr"/>
      <c r="C26" s="8" t="inlineStr"/>
      <c r="D26" s="8" t="inlineStr"/>
      <c r="E26" s="8" t="inlineStr"/>
      <c r="F26" s="8" t="inlineStr"/>
      <c r="G26" s="8" t="inlineStr"/>
      <c r="H26" s="8" t="inlineStr"/>
      <c r="I26" s="8" t="inlineStr"/>
      <c r="J26" s="8" t="inlineStr"/>
      <c r="K26" s="8" t="inlineStr"/>
      <c r="L26" s="8" t="inlineStr"/>
      <c r="M26" s="8" t="inlineStr"/>
      <c r="N26" s="8" t="inlineStr"/>
      <c r="O26" s="8" t="inlineStr"/>
      <c r="P26" s="8" t="inlineStr"/>
      <c r="Q26" s="8" t="inlineStr"/>
      <c r="R26" s="8" t="inlineStr"/>
      <c r="S26" s="8" t="inlineStr"/>
    </row>
    <row r="27">
      <c r="A27" s="8" t="inlineStr"/>
      <c r="B27" s="8" t="inlineStr"/>
      <c r="C27" s="8" t="inlineStr"/>
      <c r="D27" s="8" t="inlineStr"/>
      <c r="E27" s="8" t="inlineStr"/>
      <c r="F27" s="8" t="inlineStr"/>
      <c r="G27" s="8" t="inlineStr"/>
      <c r="H27" s="8" t="inlineStr"/>
      <c r="I27" s="8" t="inlineStr"/>
      <c r="J27" s="8" t="inlineStr"/>
      <c r="K27" s="8" t="inlineStr"/>
      <c r="L27" s="8" t="inlineStr"/>
      <c r="M27" s="8" t="inlineStr"/>
      <c r="N27" s="8" t="inlineStr"/>
      <c r="O27" s="8" t="inlineStr"/>
      <c r="P27" s="8" t="inlineStr"/>
      <c r="Q27" s="8" t="inlineStr"/>
      <c r="R27" s="8" t="inlineStr"/>
      <c r="S27" s="8" t="inlineStr"/>
    </row>
    <row r="28">
      <c r="A28" s="8" t="inlineStr"/>
      <c r="B28" s="8" t="inlineStr"/>
      <c r="C28" s="8" t="inlineStr"/>
      <c r="D28" s="8" t="inlineStr"/>
      <c r="E28" s="8" t="inlineStr"/>
      <c r="F28" s="8" t="inlineStr"/>
      <c r="G28" s="8" t="inlineStr"/>
      <c r="H28" s="8" t="inlineStr"/>
      <c r="I28" s="8" t="inlineStr"/>
      <c r="J28" s="8" t="inlineStr"/>
      <c r="K28" s="8" t="inlineStr"/>
      <c r="L28" s="8" t="inlineStr"/>
      <c r="M28" s="8" t="inlineStr"/>
      <c r="N28" s="8" t="inlineStr"/>
      <c r="O28" s="8" t="inlineStr"/>
      <c r="P28" s="8" t="inlineStr"/>
      <c r="Q28" s="8" t="inlineStr"/>
      <c r="R28" s="8" t="inlineStr"/>
      <c r="S28" s="8" t="inlineStr"/>
    </row>
    <row r="29">
      <c r="A29" s="8" t="inlineStr"/>
      <c r="B29" s="8" t="inlineStr"/>
      <c r="C29" s="8" t="inlineStr"/>
      <c r="D29" s="8" t="inlineStr"/>
      <c r="E29" s="8" t="inlineStr"/>
      <c r="F29" s="8" t="inlineStr"/>
      <c r="G29" s="8" t="inlineStr"/>
      <c r="H29" s="8" t="inlineStr"/>
      <c r="I29" s="8" t="inlineStr"/>
      <c r="J29" s="8" t="inlineStr"/>
      <c r="K29" s="8" t="inlineStr"/>
      <c r="L29" s="8" t="inlineStr"/>
      <c r="M29" s="8" t="inlineStr"/>
      <c r="N29" s="8" t="inlineStr"/>
      <c r="O29" s="8" t="inlineStr"/>
      <c r="P29" s="8" t="inlineStr"/>
      <c r="Q29" s="8" t="inlineStr"/>
      <c r="R29" s="8" t="inlineStr"/>
      <c r="S29" s="8" t="inlineStr"/>
    </row>
    <row r="30">
      <c r="A30" s="8" t="inlineStr"/>
      <c r="B30" s="8" t="inlineStr">
        <is>
          <t>Hà Nội 09/2026</t>
        </is>
      </c>
      <c r="C30" s="8" t="inlineStr"/>
      <c r="D30" s="8" t="inlineStr"/>
      <c r="E30" s="8" t="inlineStr"/>
      <c r="F30" s="8" t="inlineStr"/>
      <c r="G30" s="8" t="inlineStr"/>
      <c r="H30" s="8" t="inlineStr"/>
      <c r="I30" s="8" t="inlineStr"/>
      <c r="J30" s="8" t="inlineStr"/>
      <c r="K30" s="8" t="inlineStr"/>
      <c r="L30" s="8" t="inlineStr"/>
      <c r="M30" s="8" t="inlineStr"/>
      <c r="N30" s="8" t="inlineStr"/>
      <c r="O30" s="8" t="inlineStr"/>
      <c r="P30" s="8" t="inlineStr"/>
      <c r="Q30" s="8" t="inlineStr"/>
      <c r="R30" s="8" t="inlineStr"/>
      <c r="S30" s="8" t="inlineStr"/>
    </row>
    <row r="31">
      <c r="A31" s="8" t="inlineStr"/>
      <c r="B31" s="8" t="inlineStr"/>
      <c r="C31" s="8" t="inlineStr"/>
      <c r="D31" s="8" t="inlineStr"/>
      <c r="E31" s="8" t="inlineStr"/>
      <c r="F31" s="8" t="inlineStr"/>
      <c r="G31" s="8" t="inlineStr"/>
      <c r="H31" s="8" t="inlineStr"/>
      <c r="I31" s="8" t="inlineStr"/>
      <c r="J31" s="8" t="inlineStr"/>
      <c r="K31" s="8" t="inlineStr"/>
      <c r="L31" s="8" t="inlineStr"/>
      <c r="M31" s="8" t="inlineStr"/>
      <c r="N31" s="8" t="inlineStr"/>
      <c r="O31" s="8" t="inlineStr"/>
      <c r="P31" s="8" t="inlineStr"/>
      <c r="Q31" s="8" t="inlineStr"/>
      <c r="R31" s="8" t="inlineStr"/>
      <c r="S31" s="8" t="inlineStr"/>
    </row>
    <row r="32">
      <c r="A32" s="8" t="inlineStr">
        <is>
          <t>THUYẾT MINH DỰ TOÁN</t>
        </is>
      </c>
      <c r="B32" s="8" t="inlineStr"/>
      <c r="C32" s="8" t="inlineStr"/>
      <c r="D32" s="8" t="inlineStr"/>
      <c r="E32" s="8" t="inlineStr"/>
      <c r="F32" s="8" t="inlineStr"/>
      <c r="G32" s="8" t="inlineStr"/>
      <c r="H32" s="8" t="inlineStr"/>
      <c r="I32" s="8" t="inlineStr"/>
      <c r="J32" s="8" t="inlineStr"/>
      <c r="K32" s="8" t="inlineStr"/>
      <c r="L32" s="8" t="inlineStr"/>
      <c r="M32" s="8" t="inlineStr"/>
      <c r="N32" s="8" t="inlineStr"/>
      <c r="O32" s="8" t="inlineStr"/>
      <c r="P32" s="8" t="inlineStr"/>
      <c r="Q32" s="8" t="inlineStr"/>
      <c r="R32" s="8" t="inlineStr"/>
      <c r="S32" s="8" t="inlineStr"/>
    </row>
    <row r="33">
      <c r="A33" s="8" t="inlineStr"/>
      <c r="B33" s="8" t="inlineStr"/>
      <c r="C33" s="8" t="inlineStr"/>
      <c r="D33" s="8" t="inlineStr"/>
      <c r="E33" s="8" t="inlineStr"/>
      <c r="F33" s="8" t="inlineStr"/>
      <c r="G33" s="8" t="inlineStr"/>
      <c r="H33" s="8" t="inlineStr"/>
      <c r="I33" s="8" t="inlineStr"/>
      <c r="J33" s="8" t="inlineStr"/>
      <c r="K33" s="8" t="inlineStr"/>
      <c r="L33" s="8" t="inlineStr"/>
      <c r="M33" s="8" t="inlineStr"/>
      <c r="N33" s="8" t="inlineStr"/>
      <c r="O33" s="8" t="inlineStr"/>
      <c r="P33" s="8" t="inlineStr"/>
      <c r="Q33" s="8" t="inlineStr"/>
      <c r="R33" s="8" t="inlineStr"/>
      <c r="S33" s="8" t="inlineStr"/>
    </row>
    <row r="34">
      <c r="A34" s="8" t="inlineStr"/>
      <c r="B34" s="8" t="inlineStr">
        <is>
          <t>CÔNG TRÌNH:</t>
        </is>
      </c>
      <c r="C34" s="8" t="inlineStr"/>
      <c r="D34" s="8" t="inlineStr"/>
      <c r="E34" s="8" t="inlineStr">
        <is>
          <t>DỰ ÁN: XÂY DỰNG NHÀ Ở CHO LỰC LƯỢNG VŨ TRANG CÔNG AN NHÂN DÂN TẠI Ô ĐẤT NO1 THUỘC LÔ ĐẤT D12 KHU ĐÔ THỊ MỚI CẦU GIẤY,
 PHƯỜNG CẦU GIẤY, THÀNH PHỐ HÀ NỘI</t>
        </is>
      </c>
      <c r="F34" s="8" t="inlineStr"/>
      <c r="G34" s="8" t="inlineStr"/>
      <c r="H34" s="8" t="inlineStr"/>
      <c r="I34" s="8" t="inlineStr"/>
      <c r="J34" s="8" t="inlineStr"/>
      <c r="K34" s="8" t="inlineStr"/>
      <c r="L34" s="8" t="inlineStr"/>
      <c r="M34" s="8" t="inlineStr"/>
      <c r="N34" s="8" t="inlineStr"/>
      <c r="O34" s="8" t="inlineStr"/>
      <c r="P34" s="8" t="inlineStr"/>
      <c r="Q34" s="8" t="inlineStr"/>
      <c r="R34" s="8" t="inlineStr"/>
      <c r="S34" s="8" t="inlineStr"/>
    </row>
    <row r="35">
      <c r="A35" s="8" t="inlineStr"/>
      <c r="B35" s="8" t="inlineStr">
        <is>
          <t>ĐỊA ĐIỂM XD:</t>
        </is>
      </c>
      <c r="C35" s="8" t="inlineStr"/>
      <c r="D35" s="8" t="inlineStr"/>
      <c r="E35" s="8" t="inlineStr"/>
      <c r="F35" s="8" t="inlineStr"/>
      <c r="G35" s="8" t="inlineStr"/>
      <c r="H35" s="8" t="inlineStr"/>
      <c r="I35" s="8" t="inlineStr"/>
      <c r="J35" s="8" t="inlineStr"/>
      <c r="K35" s="8" t="inlineStr"/>
      <c r="L35" s="8" t="inlineStr"/>
      <c r="M35" s="8" t="inlineStr"/>
      <c r="N35" s="8" t="inlineStr"/>
      <c r="O35" s="8" t="inlineStr"/>
      <c r="P35" s="8" t="inlineStr"/>
      <c r="Q35" s="8" t="inlineStr"/>
      <c r="R35" s="8" t="inlineStr"/>
      <c r="S35" s="8" t="inlineStr"/>
    </row>
    <row r="36">
      <c r="A36" s="8" t="inlineStr"/>
      <c r="B36" s="8" t="inlineStr">
        <is>
          <t>CHỦ ĐẦU TƯ:</t>
        </is>
      </c>
      <c r="C36" s="8" t="inlineStr"/>
      <c r="D36" s="8" t="inlineStr"/>
      <c r="E36" s="8" t="inlineStr"/>
      <c r="F36" s="8" t="inlineStr"/>
      <c r="G36" s="8" t="inlineStr"/>
      <c r="H36" s="8" t="inlineStr"/>
      <c r="I36" s="8" t="inlineStr"/>
      <c r="J36" s="8" t="inlineStr"/>
      <c r="K36" s="8" t="inlineStr"/>
      <c r="L36" s="8" t="inlineStr"/>
      <c r="M36" s="8" t="inlineStr"/>
      <c r="N36" s="8" t="inlineStr"/>
      <c r="O36" s="8" t="inlineStr"/>
      <c r="P36" s="8" t="inlineStr"/>
      <c r="Q36" s="8" t="inlineStr"/>
      <c r="R36" s="8" t="inlineStr"/>
      <c r="S36" s="8" t="inlineStr"/>
    </row>
    <row r="37">
      <c r="A37" s="8" t="inlineStr"/>
      <c r="B37" s="8" t="inlineStr">
        <is>
          <t>ĐƠN VỊ THI CÔNG:</t>
        </is>
      </c>
      <c r="C37" s="8" t="inlineStr"/>
      <c r="D37" s="8" t="inlineStr"/>
      <c r="E37" s="8" t="inlineStr"/>
      <c r="F37" s="8" t="inlineStr"/>
      <c r="G37" s="8" t="inlineStr"/>
      <c r="H37" s="8" t="inlineStr"/>
      <c r="I37" s="8" t="inlineStr"/>
      <c r="J37" s="8" t="inlineStr"/>
      <c r="K37" s="8" t="inlineStr"/>
      <c r="L37" s="8" t="inlineStr"/>
      <c r="M37" s="8" t="inlineStr"/>
      <c r="N37" s="8" t="inlineStr"/>
      <c r="O37" s="8" t="inlineStr"/>
      <c r="P37" s="8" t="inlineStr"/>
      <c r="Q37" s="8" t="inlineStr"/>
      <c r="R37" s="8" t="inlineStr"/>
      <c r="S37" s="8" t="inlineStr"/>
    </row>
    <row r="38">
      <c r="A38" s="8" t="inlineStr"/>
      <c r="B38" s="8" t="inlineStr">
        <is>
          <t>THỰC HIỆN:</t>
        </is>
      </c>
      <c r="C38" s="8" t="inlineStr"/>
      <c r="D38" s="8" t="inlineStr"/>
      <c r="E38" s="8" t="inlineStr"/>
      <c r="F38" s="8" t="inlineStr"/>
      <c r="G38" s="8" t="inlineStr"/>
      <c r="H38" s="8" t="inlineStr"/>
      <c r="I38" s="8" t="inlineStr"/>
      <c r="J38" s="8" t="inlineStr"/>
      <c r="K38" s="8" t="inlineStr"/>
      <c r="L38" s="8" t="inlineStr"/>
      <c r="M38" s="8" t="inlineStr"/>
      <c r="N38" s="8" t="inlineStr"/>
      <c r="O38" s="8" t="inlineStr"/>
      <c r="P38" s="8" t="inlineStr"/>
      <c r="Q38" s="8" t="inlineStr"/>
      <c r="R38" s="8" t="inlineStr"/>
      <c r="S38" s="8" t="inlineStr"/>
    </row>
    <row r="39">
      <c r="A39" s="8" t="inlineStr"/>
      <c r="B39" s="8" t="inlineStr"/>
      <c r="C39" s="8" t="inlineStr"/>
      <c r="D39" s="8" t="inlineStr"/>
      <c r="E39" s="8" t="inlineStr"/>
      <c r="F39" s="8" t="inlineStr"/>
      <c r="G39" s="8" t="inlineStr"/>
      <c r="H39" s="8" t="inlineStr"/>
      <c r="I39" s="8" t="inlineStr"/>
      <c r="J39" s="8" t="inlineStr"/>
      <c r="K39" s="8" t="inlineStr"/>
      <c r="L39" s="8" t="inlineStr"/>
      <c r="M39" s="8" t="inlineStr"/>
      <c r="N39" s="8" t="inlineStr"/>
      <c r="O39" s="8" t="inlineStr"/>
      <c r="P39" s="8" t="inlineStr"/>
      <c r="Q39" s="8" t="inlineStr"/>
      <c r="R39" s="8" t="inlineStr"/>
      <c r="S39" s="8" t="inlineStr"/>
    </row>
    <row r="40">
      <c r="A40" s="8" t="inlineStr">
        <is>
          <t xml:space="preserve"> I. CƠ SỞ LẬP DỰ TOÁN:</t>
        </is>
      </c>
      <c r="B40" s="8" t="inlineStr"/>
      <c r="C40" s="8" t="inlineStr"/>
      <c r="D40" s="8" t="inlineStr"/>
      <c r="E40" s="8" t="inlineStr"/>
      <c r="F40" s="8" t="inlineStr"/>
      <c r="G40" s="8" t="inlineStr"/>
      <c r="H40" s="8" t="inlineStr"/>
      <c r="I40" s="8" t="inlineStr"/>
      <c r="J40" s="8" t="inlineStr"/>
      <c r="K40" s="8" t="inlineStr"/>
      <c r="L40" s="8" t="inlineStr"/>
      <c r="M40" s="8" t="inlineStr"/>
      <c r="N40" s="8" t="inlineStr"/>
      <c r="O40" s="8" t="inlineStr"/>
      <c r="P40" s="8" t="inlineStr"/>
      <c r="Q40" s="8" t="inlineStr"/>
      <c r="R40" s="8" t="inlineStr"/>
      <c r="S40" s="8" t="inlineStr"/>
    </row>
    <row r="41">
      <c r="A41" s="8" t="inlineStr"/>
      <c r="B41" s="8" t="inlineStr">
        <is>
          <t>- Căn cứ Nghị định số 206/2026/NĐ-CP do Chính Phủ ban hành ngày 15/06/2026 về: Quy định chi tiết về quản lý chi phí đầu tư xây dựng.</t>
        </is>
      </c>
      <c r="C41" s="8" t="inlineStr"/>
      <c r="D41" s="8" t="inlineStr"/>
      <c r="E41" s="8" t="inlineStr"/>
      <c r="F41" s="8" t="inlineStr"/>
      <c r="G41" s="8" t="inlineStr"/>
      <c r="H41" s="8" t="inlineStr"/>
      <c r="I41" s="8" t="inlineStr"/>
      <c r="J41" s="8" t="inlineStr"/>
      <c r="K41" s="8" t="inlineStr"/>
      <c r="L41" s="8" t="inlineStr"/>
      <c r="M41" s="8" t="inlineStr"/>
      <c r="N41" s="8" t="inlineStr"/>
      <c r="O41" s="8" t="inlineStr"/>
      <c r="P41" s="8" t="inlineStr"/>
      <c r="Q41" s="8" t="inlineStr"/>
      <c r="R41" s="8" t="inlineStr"/>
      <c r="S41" s="8" t="inlineStr"/>
    </row>
    <row r="42">
      <c r="A42" s="8" t="inlineStr"/>
      <c r="B42" s="8" t="inlineStr">
        <is>
          <t>- Căn cứ Thông tư số 36/2026/TT-BXD do Bộ Xây Dựng ban hành ngày 26/06/2026 về: Hướng dẫn một số nội dung, phương pháp xác định và quản lý chi phí đầu tư xây dựng.</t>
        </is>
      </c>
      <c r="C42" s="8" t="inlineStr"/>
      <c r="D42" s="8" t="inlineStr"/>
      <c r="E42" s="8" t="inlineStr"/>
      <c r="F42" s="8" t="inlineStr"/>
      <c r="G42" s="8" t="inlineStr"/>
      <c r="H42" s="8" t="inlineStr"/>
      <c r="I42" s="8" t="inlineStr"/>
      <c r="J42" s="8" t="inlineStr"/>
      <c r="K42" s="8" t="inlineStr"/>
      <c r="L42" s="8" t="inlineStr"/>
      <c r="M42" s="8" t="inlineStr"/>
      <c r="N42" s="8" t="inlineStr"/>
      <c r="O42" s="8" t="inlineStr"/>
      <c r="P42" s="8" t="inlineStr"/>
      <c r="Q42" s="8" t="inlineStr"/>
      <c r="R42" s="8" t="inlineStr"/>
      <c r="S42" s="8" t="inlineStr"/>
    </row>
    <row r="43">
      <c r="A43" s="8" t="inlineStr"/>
      <c r="B43" s="8" t="inlineStr">
        <is>
          <t>- Căn cứ Thông tư số 37/2026/TT-BXD do Bộ Xây Dựng ban hành ngày 26/06/2026 về: Hướng dẫn phương pháp xác định định mức dự toán và các chỉ tiêu kinh tế kỹ thuật.</t>
        </is>
      </c>
      <c r="C43" s="8" t="inlineStr"/>
      <c r="D43" s="8" t="inlineStr"/>
      <c r="E43" s="8" t="inlineStr"/>
      <c r="F43" s="8" t="inlineStr"/>
      <c r="G43" s="8" t="inlineStr"/>
      <c r="H43" s="8" t="inlineStr"/>
      <c r="I43" s="8" t="inlineStr"/>
      <c r="J43" s="8" t="inlineStr"/>
      <c r="K43" s="8" t="inlineStr"/>
      <c r="L43" s="8" t="inlineStr"/>
      <c r="M43" s="8" t="inlineStr"/>
      <c r="N43" s="8" t="inlineStr"/>
      <c r="O43" s="8" t="inlineStr"/>
      <c r="P43" s="8" t="inlineStr"/>
      <c r="Q43" s="8" t="inlineStr"/>
      <c r="R43" s="8" t="inlineStr"/>
      <c r="S43" s="8" t="inlineStr"/>
    </row>
    <row r="44">
      <c r="A44" s="8" t="inlineStr"/>
      <c r="B44" s="8" t="inlineStr">
        <is>
          <t>- Căn cứ Thông tư số 38/2026/TT-BXD do Bộ Xây Dựng ban hành ngày 26/06/2026 về: Ban hành định mức xây dựng.</t>
        </is>
      </c>
      <c r="C44" s="8" t="inlineStr"/>
      <c r="D44" s="8" t="inlineStr"/>
      <c r="E44" s="8" t="inlineStr"/>
      <c r="F44" s="8" t="inlineStr"/>
      <c r="G44" s="8" t="inlineStr"/>
      <c r="H44" s="8" t="inlineStr"/>
      <c r="I44" s="8" t="inlineStr"/>
      <c r="J44" s="8" t="inlineStr"/>
      <c r="K44" s="8" t="inlineStr"/>
      <c r="L44" s="8" t="inlineStr"/>
      <c r="M44" s="8" t="inlineStr"/>
      <c r="N44" s="8" t="inlineStr"/>
      <c r="O44" s="8" t="inlineStr"/>
      <c r="P44" s="8" t="inlineStr"/>
      <c r="Q44" s="8" t="inlineStr"/>
      <c r="R44" s="8" t="inlineStr"/>
      <c r="S44" s="8" t="inlineStr"/>
    </row>
    <row r="45">
      <c r="A45" s="8" t="inlineStr"/>
      <c r="B45" s="8" t="inlineStr">
        <is>
          <t>- HD 14502/SXD-KTXD năm 2026 của TP Hà Nội về: Bảng giá nhân công</t>
        </is>
      </c>
      <c r="C45" s="8" t="inlineStr"/>
      <c r="D45" s="8" t="inlineStr"/>
      <c r="E45" s="8" t="inlineStr"/>
      <c r="F45" s="8" t="inlineStr"/>
      <c r="G45" s="8" t="inlineStr"/>
      <c r="H45" s="8" t="inlineStr"/>
      <c r="I45" s="8" t="inlineStr"/>
      <c r="J45" s="8" t="inlineStr"/>
      <c r="K45" s="8" t="inlineStr"/>
      <c r="L45" s="8" t="inlineStr"/>
      <c r="M45" s="8" t="inlineStr"/>
      <c r="N45" s="8" t="inlineStr"/>
      <c r="O45" s="8" t="inlineStr"/>
      <c r="P45" s="8" t="inlineStr"/>
      <c r="Q45" s="8" t="inlineStr"/>
      <c r="R45" s="8" t="inlineStr"/>
      <c r="S45" s="8" t="inlineStr"/>
    </row>
    <row r="46">
      <c r="A46" s="8" t="inlineStr"/>
      <c r="B46" s="8" t="inlineStr"/>
      <c r="C46" s="8" t="inlineStr"/>
      <c r="D46" s="8" t="inlineStr"/>
      <c r="E46" s="8" t="inlineStr"/>
      <c r="F46" s="8" t="inlineStr"/>
      <c r="G46" s="8" t="inlineStr"/>
      <c r="H46" s="8" t="inlineStr"/>
      <c r="I46" s="8" t="inlineStr"/>
      <c r="J46" s="8" t="inlineStr"/>
      <c r="K46" s="8" t="inlineStr"/>
      <c r="L46" s="8" t="inlineStr"/>
      <c r="M46" s="8" t="inlineStr"/>
      <c r="N46" s="8" t="inlineStr"/>
      <c r="O46" s="8" t="inlineStr"/>
      <c r="P46" s="8" t="inlineStr"/>
      <c r="Q46" s="8" t="inlineStr"/>
      <c r="R46" s="8" t="inlineStr"/>
      <c r="S46" s="8" t="inlineStr"/>
    </row>
    <row r="47">
      <c r="A47" s="8" t="inlineStr"/>
      <c r="B47" s="8" t="inlineStr"/>
      <c r="C47" s="8" t="inlineStr"/>
      <c r="D47" s="8" t="inlineStr"/>
      <c r="E47" s="8" t="inlineStr"/>
      <c r="F47" s="8" t="inlineStr"/>
      <c r="G47" s="8" t="inlineStr"/>
      <c r="H47" s="8" t="inlineStr"/>
      <c r="I47" s="8" t="inlineStr"/>
      <c r="J47" s="8" t="inlineStr"/>
      <c r="K47" s="8" t="inlineStr"/>
      <c r="L47" s="8" t="inlineStr"/>
      <c r="M47" s="8" t="inlineStr"/>
      <c r="N47" s="8" t="inlineStr"/>
      <c r="O47" s="8" t="inlineStr"/>
      <c r="P47" s="8" t="inlineStr"/>
      <c r="Q47" s="8" t="inlineStr"/>
      <c r="R47" s="8" t="inlineStr"/>
      <c r="S47" s="8" t="inlineStr"/>
    </row>
    <row r="48">
      <c r="A48" s="8" t="inlineStr"/>
      <c r="B48" s="8" t="inlineStr"/>
      <c r="C48" s="8" t="inlineStr"/>
      <c r="D48" s="8" t="inlineStr"/>
      <c r="E48" s="8" t="inlineStr"/>
      <c r="F48" s="8" t="inlineStr"/>
      <c r="G48" s="8" t="inlineStr"/>
      <c r="H48" s="8" t="inlineStr"/>
      <c r="I48" s="8" t="inlineStr"/>
      <c r="J48" s="8" t="inlineStr"/>
      <c r="K48" s="8" t="inlineStr"/>
      <c r="L48" s="8" t="inlineStr"/>
      <c r="M48" s="8" t="inlineStr"/>
      <c r="N48" s="8" t="inlineStr"/>
      <c r="O48" s="8" t="inlineStr"/>
      <c r="P48" s="8" t="inlineStr"/>
      <c r="Q48" s="8" t="inlineStr"/>
      <c r="R48" s="8" t="inlineStr"/>
      <c r="S48" s="8" t="inlineStr"/>
    </row>
    <row r="49">
      <c r="A49" s="8" t="inlineStr"/>
      <c r="B49" s="8" t="inlineStr"/>
      <c r="C49" s="8" t="inlineStr"/>
      <c r="D49" s="8" t="inlineStr"/>
      <c r="E49" s="8" t="inlineStr"/>
      <c r="F49" s="8" t="inlineStr"/>
      <c r="G49" s="8" t="inlineStr"/>
      <c r="H49" s="8" t="inlineStr"/>
      <c r="I49" s="8" t="inlineStr"/>
      <c r="J49" s="8" t="inlineStr"/>
      <c r="K49" s="8" t="inlineStr"/>
      <c r="L49" s="8" t="inlineStr"/>
      <c r="M49" s="8" t="inlineStr"/>
      <c r="N49" s="8" t="inlineStr"/>
      <c r="O49" s="8" t="inlineStr"/>
      <c r="P49" s="8" t="inlineStr"/>
      <c r="Q49" s="8" t="inlineStr"/>
      <c r="R49" s="8" t="inlineStr"/>
      <c r="S49" s="8" t="inlineStr"/>
    </row>
    <row r="50">
      <c r="A50" s="8" t="inlineStr"/>
      <c r="B50" s="8" t="inlineStr"/>
      <c r="C50" s="8" t="inlineStr"/>
      <c r="D50" s="8" t="inlineStr"/>
      <c r="E50" s="8" t="inlineStr"/>
      <c r="F50" s="8" t="inlineStr"/>
      <c r="G50" s="8" t="inlineStr"/>
      <c r="H50" s="8" t="inlineStr"/>
      <c r="I50" s="8" t="inlineStr"/>
      <c r="J50" s="8" t="inlineStr"/>
      <c r="K50" s="8" t="inlineStr"/>
      <c r="L50" s="8" t="inlineStr"/>
      <c r="M50" s="8" t="inlineStr"/>
      <c r="N50" s="8" t="inlineStr"/>
      <c r="O50" s="8" t="inlineStr"/>
      <c r="P50" s="8" t="inlineStr"/>
      <c r="Q50" s="8" t="inlineStr"/>
      <c r="R50" s="8" t="inlineStr"/>
      <c r="S50" s="8" t="inlineStr"/>
    </row>
    <row r="51">
      <c r="A51" s="8" t="inlineStr"/>
      <c r="B51" s="8" t="inlineStr"/>
      <c r="C51" s="8" t="inlineStr"/>
      <c r="D51" s="8" t="inlineStr"/>
      <c r="E51" s="8" t="inlineStr"/>
      <c r="F51" s="8" t="inlineStr"/>
      <c r="G51" s="8" t="inlineStr"/>
      <c r="H51" s="8" t="inlineStr"/>
      <c r="I51" s="8" t="inlineStr"/>
      <c r="J51" s="8" t="inlineStr"/>
      <c r="K51" s="8" t="inlineStr"/>
      <c r="L51" s="8" t="inlineStr"/>
      <c r="M51" s="8" t="inlineStr"/>
      <c r="N51" s="8" t="inlineStr"/>
      <c r="O51" s="8" t="inlineStr"/>
      <c r="P51" s="8" t="inlineStr"/>
      <c r="Q51" s="8" t="inlineStr"/>
      <c r="R51" s="8" t="inlineStr"/>
      <c r="S51" s="8" t="inlineStr"/>
    </row>
    <row r="52">
      <c r="A52" s="8" t="inlineStr"/>
      <c r="B52" s="8" t="inlineStr"/>
      <c r="C52" s="8" t="inlineStr"/>
      <c r="D52" s="8" t="inlineStr"/>
      <c r="E52" s="8" t="inlineStr"/>
      <c r="F52" s="8" t="inlineStr"/>
      <c r="G52" s="8" t="inlineStr"/>
      <c r="H52" s="8" t="inlineStr"/>
      <c r="I52" s="8" t="inlineStr"/>
      <c r="J52" s="8" t="inlineStr"/>
      <c r="K52" s="8" t="inlineStr"/>
      <c r="L52" s="8" t="inlineStr"/>
      <c r="M52" s="8" t="inlineStr"/>
      <c r="N52" s="8" t="inlineStr"/>
      <c r="O52" s="8" t="inlineStr"/>
      <c r="P52" s="8" t="inlineStr"/>
      <c r="Q52" s="8" t="inlineStr"/>
      <c r="R52" s="8" t="inlineStr"/>
      <c r="S52" s="8" t="inlineStr"/>
    </row>
    <row r="53">
      <c r="A53" s="8" t="inlineStr"/>
      <c r="B53" s="8" t="inlineStr"/>
      <c r="C53" s="8" t="inlineStr"/>
      <c r="D53" s="8" t="inlineStr"/>
      <c r="E53" s="8" t="inlineStr"/>
      <c r="F53" s="8" t="inlineStr"/>
      <c r="G53" s="8" t="inlineStr"/>
      <c r="H53" s="8" t="inlineStr"/>
      <c r="I53" s="8" t="inlineStr"/>
      <c r="J53" s="8" t="inlineStr"/>
      <c r="K53" s="8" t="inlineStr"/>
      <c r="L53" s="8" t="inlineStr"/>
      <c r="M53" s="8" t="inlineStr"/>
      <c r="N53" s="8" t="inlineStr"/>
      <c r="O53" s="8" t="inlineStr"/>
      <c r="P53" s="8" t="inlineStr"/>
      <c r="Q53" s="8" t="inlineStr"/>
      <c r="R53" s="8" t="inlineStr"/>
      <c r="S53" s="8" t="inlineStr"/>
    </row>
    <row r="54">
      <c r="A54" s="8" t="inlineStr"/>
      <c r="B54" s="8" t="inlineStr"/>
      <c r="C54" s="8" t="inlineStr"/>
      <c r="D54" s="8" t="inlineStr"/>
      <c r="E54" s="8" t="inlineStr"/>
      <c r="F54" s="8" t="inlineStr"/>
      <c r="G54" s="8" t="inlineStr"/>
      <c r="H54" s="8" t="inlineStr"/>
      <c r="I54" s="8" t="inlineStr"/>
      <c r="J54" s="8" t="inlineStr"/>
      <c r="K54" s="8" t="inlineStr"/>
      <c r="L54" s="8" t="inlineStr"/>
      <c r="M54" s="8" t="inlineStr"/>
      <c r="N54" s="8" t="inlineStr"/>
      <c r="O54" s="8" t="inlineStr"/>
      <c r="P54" s="8" t="inlineStr"/>
      <c r="Q54" s="8" t="inlineStr"/>
      <c r="R54" s="8" t="inlineStr"/>
      <c r="S54" s="8" t="inlineStr"/>
    </row>
    <row r="55">
      <c r="A55" s="8" t="inlineStr"/>
      <c r="B55" s="8" t="inlineStr"/>
      <c r="C55" s="8" t="inlineStr"/>
      <c r="D55" s="8" t="inlineStr"/>
      <c r="E55" s="8" t="inlineStr"/>
      <c r="F55" s="8" t="inlineStr"/>
      <c r="G55" s="8" t="inlineStr"/>
      <c r="H55" s="8" t="inlineStr"/>
      <c r="I55" s="8" t="inlineStr"/>
      <c r="J55" s="8" t="inlineStr"/>
      <c r="K55" s="8" t="inlineStr"/>
      <c r="L55" s="8" t="inlineStr"/>
      <c r="M55" s="8" t="inlineStr"/>
      <c r="N55" s="8" t="inlineStr"/>
      <c r="O55" s="8" t="inlineStr"/>
      <c r="P55" s="8" t="inlineStr"/>
      <c r="Q55" s="8" t="inlineStr"/>
      <c r="R55" s="8" t="inlineStr"/>
      <c r="S55" s="8" t="inlineStr"/>
    </row>
    <row r="56">
      <c r="A56" s="8" t="inlineStr">
        <is>
          <t xml:space="preserve"> II. GIÁ TRỊ DỰ TOÁN:</t>
        </is>
      </c>
      <c r="B56" s="8" t="inlineStr"/>
      <c r="C56" s="8" t="inlineStr"/>
      <c r="D56" s="8" t="inlineStr"/>
      <c r="E56" s="8" t="inlineStr"/>
      <c r="F56" s="8" t="n">
        <v>26298453000</v>
      </c>
      <c r="G56" s="8" t="inlineStr"/>
      <c r="H56" s="8" t="inlineStr"/>
      <c r="I56" s="8" t="inlineStr"/>
      <c r="J56" s="8" t="inlineStr"/>
      <c r="K56" s="8" t="inlineStr"/>
      <c r="L56" s="8" t="inlineStr"/>
      <c r="M56" s="8" t="inlineStr"/>
      <c r="N56" s="8" t="inlineStr"/>
      <c r="O56" s="8" t="inlineStr"/>
      <c r="P56" s="8" t="inlineStr"/>
      <c r="Q56" s="8" t="inlineStr"/>
      <c r="R56" s="8" t="inlineStr"/>
      <c r="S56" s="8" t="inlineStr"/>
    </row>
    <row r="57">
      <c r="A57" s="8" t="inlineStr"/>
      <c r="B57" s="8" t="inlineStr"/>
      <c r="C57" s="8" t="inlineStr"/>
      <c r="D57" s="8" t="inlineStr"/>
      <c r="E57" s="8" t="inlineStr"/>
      <c r="F57" s="8" t="inlineStr">
        <is>
          <t>(Bằng chữ : Hai mươi lăm tỷ tám trăm hai mươi ba triệu chín trăm mười tám nghìn đồng chẵn./. )</t>
        </is>
      </c>
      <c r="G57" s="8" t="inlineStr"/>
      <c r="H57" s="8" t="inlineStr"/>
      <c r="I57" s="8" t="inlineStr"/>
      <c r="J57" s="8" t="inlineStr"/>
      <c r="K57" s="8" t="inlineStr"/>
      <c r="L57" s="8" t="inlineStr"/>
      <c r="M57" s="8" t="inlineStr"/>
      <c r="N57" s="8" t="inlineStr"/>
      <c r="O57" s="8" t="inlineStr"/>
      <c r="P57" s="8" t="inlineStr"/>
      <c r="Q57" s="8" t="inlineStr"/>
      <c r="R57" s="8" t="inlineStr"/>
      <c r="S57" s="8" t="inlineStr">
        <is>
          <t>.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cols>
    <col width="50" customWidth="1" min="1" max="1"/>
    <col width="42" customWidth="1" min="2" max="2"/>
    <col width="18" customWidth="1" min="3" max="3"/>
    <col width="12" customWidth="1" min="4" max="4"/>
  </cols>
  <sheetData>
    <row r="1">
      <c r="A1" s="8" t="inlineStr">
        <is>
          <t>BẢNG HỆ SỐ CHI PHÍ XÂY LẮP</t>
        </is>
      </c>
      <c r="B1" s="8" t="inlineStr"/>
      <c r="C1" s="8" t="inlineStr"/>
      <c r="D1" s="8" t="inlineStr"/>
    </row>
    <row r="2">
      <c r="A2" s="8" t="inlineStr">
        <is>
          <t>DỰ ÁN: XÂY DỰNG NHÀ Ở CHO LỰC LƯỢNG VŨ TRANG CÔNG AN NHÂN DÂN TẠI Ô ĐẤT NO1 THUỘC LÔ ĐẤT D12 KHU ĐÔ THỊ MỚI CẦU GIẤY,
 PHƯỜNG CẦU GIẤY, THÀNH PHỐ HÀ NỘI</t>
        </is>
      </c>
      <c r="B2" s="8" t="inlineStr"/>
      <c r="C2" s="8" t="inlineStr"/>
      <c r="D2" s="8" t="inlineStr"/>
    </row>
    <row r="3">
      <c r="A3" s="8" t="inlineStr">
        <is>
          <t>HẠNG MỤC: ĐIỀU HÒA KHÔNG KHÍ &amp; THÔNG GIÓ - LẮP ĐẶT THIẾT BỊ</t>
        </is>
      </c>
      <c r="B3" s="8" t="inlineStr"/>
      <c r="C3" s="8" t="inlineStr"/>
      <c r="D3" s="8" t="inlineStr"/>
    </row>
    <row r="4">
      <c r="A4" s="8" t="inlineStr">
        <is>
          <t>STT</t>
        </is>
      </c>
      <c r="B4" s="8" t="inlineStr">
        <is>
          <t>Hệ số chi phí xây lắp</t>
        </is>
      </c>
      <c r="C4" s="8" t="inlineStr">
        <is>
          <t>Diễn giải hệ số</t>
        </is>
      </c>
      <c r="D4" s="8" t="inlineStr">
        <is>
          <t>Hệ số</t>
        </is>
      </c>
    </row>
    <row r="5">
      <c r="A5" s="8" t="n">
        <v>1</v>
      </c>
      <c r="B5" s="8" t="inlineStr">
        <is>
          <t>Hệ số riêng Vật liệu</t>
        </is>
      </c>
      <c r="C5" s="8" t="inlineStr">
        <is>
          <t>1</t>
        </is>
      </c>
      <c r="D5" s="8" t="n">
        <v>1</v>
      </c>
    </row>
    <row r="6">
      <c r="A6" s="8" t="n">
        <v>2</v>
      </c>
      <c r="B6" s="8" t="inlineStr">
        <is>
          <t>Hệ số Vật liệu phụ</t>
        </is>
      </c>
      <c r="C6" s="8" t="inlineStr">
        <is>
          <t>0</t>
        </is>
      </c>
      <c r="D6" s="8" t="n">
        <v>0</v>
      </c>
    </row>
    <row r="7">
      <c r="A7" s="8" t="n">
        <v>3</v>
      </c>
      <c r="B7" s="8" t="inlineStr">
        <is>
          <t>Hệ số riêng Nhân công</t>
        </is>
      </c>
      <c r="C7" s="8" t="inlineStr">
        <is>
          <t>1</t>
        </is>
      </c>
      <c r="D7" s="8" t="n">
        <v>1</v>
      </c>
    </row>
    <row r="8">
      <c r="A8" s="8" t="n">
        <v>4</v>
      </c>
      <c r="B8" s="8" t="inlineStr">
        <is>
          <t>Hệ số Bù Nhân công</t>
        </is>
      </c>
      <c r="C8" s="8" t="inlineStr">
        <is>
          <t>0</t>
        </is>
      </c>
      <c r="D8" s="8" t="n">
        <v>0</v>
      </c>
    </row>
    <row r="9">
      <c r="A9" s="8" t="n">
        <v>5</v>
      </c>
      <c r="B9" s="8" t="inlineStr">
        <is>
          <t>Hệ số riêng Nhân công đất</t>
        </is>
      </c>
      <c r="C9" s="8" t="inlineStr">
        <is>
          <t>1</t>
        </is>
      </c>
      <c r="D9" s="8" t="n">
        <v>1</v>
      </c>
    </row>
    <row r="10">
      <c r="A10" s="8" t="n">
        <v>6</v>
      </c>
      <c r="B10" s="8" t="inlineStr">
        <is>
          <t>Hệ số Bù Nhân công đất</t>
        </is>
      </c>
      <c r="C10" s="8" t="inlineStr">
        <is>
          <t>0</t>
        </is>
      </c>
      <c r="D10" s="8" t="n">
        <v>0</v>
      </c>
    </row>
    <row r="11">
      <c r="A11" s="8" t="n">
        <v>7</v>
      </c>
      <c r="B11" s="8" t="inlineStr">
        <is>
          <t>Hệ số riêng Máy</t>
        </is>
      </c>
      <c r="C11" s="8" t="inlineStr">
        <is>
          <t>1</t>
        </is>
      </c>
      <c r="D11" s="8" t="n">
        <v>1</v>
      </c>
    </row>
    <row r="12">
      <c r="A12" s="8" t="n">
        <v>8</v>
      </c>
      <c r="B12" s="8" t="inlineStr">
        <is>
          <t>Hệ số Bù Máy</t>
        </is>
      </c>
      <c r="C12" s="8" t="inlineStr">
        <is>
          <t>0</t>
        </is>
      </c>
      <c r="D12" s="8" t="n">
        <v>0</v>
      </c>
    </row>
    <row r="13">
      <c r="A13" s="8" t="n">
        <v>9</v>
      </c>
      <c r="B13" s="8" t="inlineStr">
        <is>
          <t>Trực tiếp phí khác</t>
        </is>
      </c>
      <c r="C13" s="8" t="inlineStr">
        <is>
          <t>2,5%</t>
        </is>
      </c>
      <c r="D13" s="8" t="n">
        <v>0.025</v>
      </c>
    </row>
    <row r="14">
      <c r="A14" s="8" t="n">
        <v>10</v>
      </c>
      <c r="B14" s="8" t="inlineStr">
        <is>
          <t>Chi phí chung</t>
        </is>
      </c>
      <c r="C14" s="8" t="inlineStr">
        <is>
          <t>7,3%</t>
        </is>
      </c>
      <c r="D14" s="8" t="n">
        <v>0.073</v>
      </c>
    </row>
    <row r="15">
      <c r="A15" s="8" t="n">
        <v>11</v>
      </c>
      <c r="B15" s="8" t="inlineStr">
        <is>
          <t>Chi phí chung cho công tác đất thủ công</t>
        </is>
      </c>
      <c r="C15" s="8" t="inlineStr">
        <is>
          <t>7,3%</t>
        </is>
      </c>
      <c r="D15" s="8" t="n">
        <v>0.073</v>
      </c>
    </row>
    <row r="16">
      <c r="A16" s="8" t="n">
        <v>12</v>
      </c>
      <c r="B16" s="8" t="inlineStr">
        <is>
          <t>Thu nhập chịu thuế tính trước</t>
        </is>
      </c>
      <c r="C16" s="8" t="inlineStr">
        <is>
          <t>5,5%</t>
        </is>
      </c>
      <c r="D16" s="8" t="n">
        <v>0.055</v>
      </c>
    </row>
    <row r="17">
      <c r="A17" s="8" t="n">
        <v>13</v>
      </c>
      <c r="B17" s="8" t="inlineStr">
        <is>
          <t>Thuế VAT</t>
        </is>
      </c>
      <c r="C17" s="8" t="inlineStr">
        <is>
          <t>10%</t>
        </is>
      </c>
      <c r="D17" s="8" t="n">
        <v>0.1</v>
      </c>
    </row>
    <row r="18">
      <c r="A18" s="8" t="n">
        <v>14</v>
      </c>
      <c r="B18" s="8" t="inlineStr">
        <is>
          <t>Lán trại nhà tạm</t>
        </is>
      </c>
      <c r="C18" s="8" t="inlineStr">
        <is>
          <t>0,9%</t>
        </is>
      </c>
      <c r="D18" s="8" t="n">
        <v>0.008999999999999999</v>
      </c>
    </row>
    <row r="19">
      <c r="A19" s="8" t="n">
        <v>15</v>
      </c>
      <c r="B19" s="8" t="inlineStr">
        <is>
          <t>Gián tiếp khác</t>
        </is>
      </c>
      <c r="C19" s="8" t="inlineStr">
        <is>
          <t>0%</t>
        </is>
      </c>
      <c r="D19" s="8" t="n">
        <v>0</v>
      </c>
    </row>
    <row r="20">
      <c r="A20" s="8" t="inlineStr">
        <is>
          <t>BẢNG HỆ SỐ CHI PHÍ XÂY LẮP</t>
        </is>
      </c>
      <c r="B20" s="8" t="inlineStr"/>
      <c r="C20" s="8" t="inlineStr"/>
      <c r="D20" s="8" t="inlineStr"/>
    </row>
    <row r="21">
      <c r="A21" s="8" t="inlineStr">
        <is>
          <t>DỰ ÁN: XÂY DỰNG NHÀ Ở CHO LỰC LƯỢNG VŨ TRANG CÔNG AN NHÂN DÂN TẠI Ô ĐẤT NO1 THUỘC LÔ ĐẤT D12 KHU ĐÔ THỊ MỚI CẦU GIẤY,
 PHƯỜNG CẦU GIẤY, THÀNH PHỐ HÀ NỘI</t>
        </is>
      </c>
      <c r="B21" s="8" t="inlineStr"/>
      <c r="C21" s="8" t="inlineStr"/>
      <c r="D21" s="8" t="inlineStr"/>
    </row>
    <row r="22">
      <c r="A22" s="8" t="inlineStr">
        <is>
          <t>HẠNG MỤC: ĐIỀU HÒA KHÔNG KHÍ &amp; THÔNG GIÓ - VẬT TƯ XÂY LẮP</t>
        </is>
      </c>
      <c r="B22" s="8" t="inlineStr"/>
      <c r="C22" s="8" t="inlineStr"/>
      <c r="D22" s="8" t="inlineStr"/>
    </row>
    <row r="23">
      <c r="A23" s="8" t="inlineStr">
        <is>
          <t>STT</t>
        </is>
      </c>
      <c r="B23" s="8" t="inlineStr">
        <is>
          <t>Hệ số chi phí xây lắp</t>
        </is>
      </c>
      <c r="C23" s="8" t="inlineStr">
        <is>
          <t>Diễn giải hệ số</t>
        </is>
      </c>
      <c r="D23" s="8" t="inlineStr">
        <is>
          <t>Hệ số</t>
        </is>
      </c>
    </row>
    <row r="24">
      <c r="A24" s="8" t="n">
        <v>1</v>
      </c>
      <c r="B24" s="8" t="inlineStr">
        <is>
          <t>Hệ số riêng Vật liệu</t>
        </is>
      </c>
      <c r="C24" s="8" t="inlineStr">
        <is>
          <t>1</t>
        </is>
      </c>
      <c r="D24" s="8" t="n">
        <v>1</v>
      </c>
    </row>
    <row r="25">
      <c r="A25" s="8" t="n">
        <v>2</v>
      </c>
      <c r="B25" s="8" t="inlineStr">
        <is>
          <t>Hệ số Vật liệu phụ</t>
        </is>
      </c>
      <c r="C25" s="8" t="inlineStr">
        <is>
          <t>0</t>
        </is>
      </c>
      <c r="D25" s="8" t="n">
        <v>0</v>
      </c>
    </row>
    <row r="26">
      <c r="A26" s="8" t="n">
        <v>3</v>
      </c>
      <c r="B26" s="8" t="inlineStr">
        <is>
          <t>Hệ số riêng Nhân công</t>
        </is>
      </c>
      <c r="C26" s="8" t="inlineStr">
        <is>
          <t>1</t>
        </is>
      </c>
      <c r="D26" s="8" t="n">
        <v>1</v>
      </c>
    </row>
    <row r="27">
      <c r="A27" s="8" t="n">
        <v>4</v>
      </c>
      <c r="B27" s="8" t="inlineStr">
        <is>
          <t>Hệ số Bù Nhân công</t>
        </is>
      </c>
      <c r="C27" s="8" t="inlineStr">
        <is>
          <t>0</t>
        </is>
      </c>
      <c r="D27" s="8" t="n">
        <v>0</v>
      </c>
    </row>
    <row r="28">
      <c r="A28" s="8" t="n">
        <v>5</v>
      </c>
      <c r="B28" s="8" t="inlineStr">
        <is>
          <t>Hệ số riêng Nhân công đất</t>
        </is>
      </c>
      <c r="C28" s="8" t="inlineStr">
        <is>
          <t>1</t>
        </is>
      </c>
      <c r="D28" s="8" t="n">
        <v>1</v>
      </c>
    </row>
    <row r="29">
      <c r="A29" s="8" t="n">
        <v>6</v>
      </c>
      <c r="B29" s="8" t="inlineStr">
        <is>
          <t>Hệ số Bù Nhân công đất</t>
        </is>
      </c>
      <c r="C29" s="8" t="inlineStr">
        <is>
          <t>0</t>
        </is>
      </c>
      <c r="D29" s="8" t="n">
        <v>0</v>
      </c>
    </row>
    <row r="30">
      <c r="A30" s="8" t="n">
        <v>7</v>
      </c>
      <c r="B30" s="8" t="inlineStr">
        <is>
          <t>Hệ số riêng Máy</t>
        </is>
      </c>
      <c r="C30" s="8" t="inlineStr">
        <is>
          <t>1</t>
        </is>
      </c>
      <c r="D30" s="8" t="n">
        <v>1</v>
      </c>
    </row>
    <row r="31">
      <c r="A31" s="8" t="n">
        <v>8</v>
      </c>
      <c r="B31" s="8" t="inlineStr">
        <is>
          <t>Hệ số Bù Máy</t>
        </is>
      </c>
      <c r="C31" s="8" t="inlineStr">
        <is>
          <t>0</t>
        </is>
      </c>
      <c r="D31" s="8" t="n">
        <v>0</v>
      </c>
    </row>
    <row r="32">
      <c r="A32" s="8" t="n">
        <v>9</v>
      </c>
      <c r="B32" s="8" t="inlineStr">
        <is>
          <t>Trực tiếp phí khác</t>
        </is>
      </c>
      <c r="C32" s="8" t="inlineStr">
        <is>
          <t>2,5%</t>
        </is>
      </c>
      <c r="D32" s="8" t="n">
        <v>0.025</v>
      </c>
    </row>
    <row r="33">
      <c r="A33" s="8" t="n">
        <v>10</v>
      </c>
      <c r="B33" s="8" t="inlineStr">
        <is>
          <t>Chi phí chung</t>
        </is>
      </c>
      <c r="C33" s="8" t="inlineStr">
        <is>
          <t>7,3%</t>
        </is>
      </c>
      <c r="D33" s="8" t="n">
        <v>0.073</v>
      </c>
    </row>
    <row r="34">
      <c r="A34" s="8" t="n">
        <v>11</v>
      </c>
      <c r="B34" s="8" t="inlineStr">
        <is>
          <t>Chi phí chung cho công tác đất thủ công</t>
        </is>
      </c>
      <c r="C34" s="8" t="inlineStr">
        <is>
          <t>7,3%</t>
        </is>
      </c>
      <c r="D34" s="8" t="n">
        <v>0.073</v>
      </c>
    </row>
    <row r="35">
      <c r="A35" s="8" t="n">
        <v>12</v>
      </c>
      <c r="B35" s="8" t="inlineStr">
        <is>
          <t>Thu nhập chịu thuế tính trước</t>
        </is>
      </c>
      <c r="C35" s="8" t="inlineStr">
        <is>
          <t>5,5%</t>
        </is>
      </c>
      <c r="D35" s="8" t="n">
        <v>0.055</v>
      </c>
    </row>
    <row r="36">
      <c r="A36" s="8" t="n">
        <v>13</v>
      </c>
      <c r="B36" s="8" t="inlineStr">
        <is>
          <t>Thuế VAT</t>
        </is>
      </c>
      <c r="C36" s="8" t="inlineStr">
        <is>
          <t>10%</t>
        </is>
      </c>
      <c r="D36" s="8" t="n">
        <v>0.1</v>
      </c>
    </row>
    <row r="37">
      <c r="A37" s="8" t="n">
        <v>14</v>
      </c>
      <c r="B37" s="8" t="inlineStr">
        <is>
          <t>Lán trại nhà tạm</t>
        </is>
      </c>
      <c r="C37" s="8" t="inlineStr">
        <is>
          <t>0,9%</t>
        </is>
      </c>
      <c r="D37" s="8" t="n">
        <v>0.008999999999999999</v>
      </c>
    </row>
    <row r="38">
      <c r="A38" s="8" t="n">
        <v>15</v>
      </c>
      <c r="B38" s="8" t="inlineStr">
        <is>
          <t>Gián tiếp khác</t>
        </is>
      </c>
      <c r="C38" s="8" t="inlineStr">
        <is>
          <t>0%</t>
        </is>
      </c>
      <c r="D38" s="8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  <col width="46" customWidth="1" min="3" max="3"/>
    <col width="20" customWidth="1" min="4" max="4"/>
    <col width="24" customWidth="1" min="5" max="5"/>
    <col width="23" customWidth="1" min="6" max="6"/>
    <col width="45" customWidth="1" min="7" max="7"/>
  </cols>
  <sheetData>
    <row r="1">
      <c r="A1" s="8" t="inlineStr">
        <is>
          <t>ĐỊNH MỨC QUẢN LÝ DỰ ÁN VÀ TƯ VẤN</t>
        </is>
      </c>
      <c r="B1" s="8" t="inlineStr"/>
      <c r="C1" s="8" t="inlineStr"/>
      <c r="D1" s="8" t="inlineStr"/>
      <c r="E1" s="8" t="inlineStr"/>
      <c r="F1" s="8" t="inlineStr"/>
      <c r="G1" s="8" t="inlineStr"/>
    </row>
    <row r="2">
      <c r="A2" s="8" t="inlineStr">
        <is>
          <t>STT</t>
        </is>
      </c>
      <c r="B2" s="8" t="inlineStr">
        <is>
          <t>Tên chi phí</t>
        </is>
      </c>
      <c r="C2" s="8" t="inlineStr">
        <is>
          <t>Loại, cấp công trình</t>
        </is>
      </c>
      <c r="D2" s="8" t="inlineStr">
        <is>
          <t>Chi phí (tỷ đồng)</t>
        </is>
      </c>
      <c r="E2" s="8" t="inlineStr">
        <is>
          <t>Định mức</t>
        </is>
      </c>
      <c r="F2" s="8" t="inlineStr">
        <is>
          <t>Nội suy</t>
        </is>
      </c>
      <c r="G2" s="8" t="inlineStr">
        <is>
          <t>Ghi chú</t>
        </is>
      </c>
    </row>
    <row r="3">
      <c r="A3" s="8" t="inlineStr">
        <is>
          <t>3</t>
        </is>
      </c>
      <c r="B3" s="8" t="inlineStr">
        <is>
          <t>Chi phí quản lý dự án</t>
        </is>
      </c>
      <c r="C3" s="8" t="inlineStr">
        <is>
          <t>Công trình dân dụng</t>
        </is>
      </c>
      <c r="D3" s="8" t="n">
        <v>10</v>
      </c>
      <c r="E3" s="8" t="n">
        <v>0.03282</v>
      </c>
      <c r="F3" s="8" t="n">
        <v>0.0288474</v>
      </c>
      <c r="G3" s="8" t="inlineStr">
        <is>
          <t>Quyết định 79/QĐ-BXD. Ngày 15/02/2017</t>
        </is>
      </c>
    </row>
    <row r="4">
      <c r="A4" s="8" t="inlineStr"/>
      <c r="B4" s="8" t="inlineStr"/>
      <c r="C4" s="8" t="inlineStr"/>
      <c r="D4" s="8" t="n">
        <v>20</v>
      </c>
      <c r="E4" s="8" t="n">
        <v>0.02784</v>
      </c>
      <c r="F4" s="8" t="inlineStr"/>
      <c r="G4" s="8" t="inlineStr"/>
    </row>
    <row r="5">
      <c r="A5" s="8" t="inlineStr">
        <is>
          <t>4.5</t>
        </is>
      </c>
      <c r="B5" s="8" t="inlineStr">
        <is>
          <t>Chi phí lập báo cáo nghiên cứu tiền khả thi</t>
        </is>
      </c>
      <c r="C5" s="8" t="inlineStr">
        <is>
          <t>Công trình dân dụng</t>
        </is>
      </c>
      <c r="D5" s="8" t="n">
        <v>15</v>
      </c>
      <c r="E5" s="8" t="n">
        <v>0.00668</v>
      </c>
      <c r="F5" s="8" t="n">
        <v>0.0056975</v>
      </c>
      <c r="G5" s="8" t="inlineStr">
        <is>
          <t>Quyết định 79/QĐ-BXD. Ngày 15/02/2017</t>
        </is>
      </c>
    </row>
    <row r="6">
      <c r="A6" s="8" t="inlineStr"/>
      <c r="B6" s="8" t="inlineStr"/>
      <c r="C6" s="8" t="inlineStr"/>
      <c r="D6" s="8" t="n">
        <v>20</v>
      </c>
      <c r="E6" s="8" t="n">
        <v>0.00503</v>
      </c>
      <c r="F6" s="8" t="inlineStr"/>
      <c r="G6" s="8" t="inlineStr"/>
    </row>
    <row r="7">
      <c r="A7" s="8" t="inlineStr">
        <is>
          <t>4.6</t>
        </is>
      </c>
      <c r="B7" s="8" t="inlineStr">
        <is>
          <t>Chi phí lập báo cáo nghiên cứu khả thi</t>
        </is>
      </c>
      <c r="C7" s="8" t="inlineStr">
        <is>
          <t>Công trình dân dụng</t>
        </is>
      </c>
      <c r="D7" s="8" t="n">
        <v>15</v>
      </c>
      <c r="E7" s="8" t="n">
        <v>0.01114</v>
      </c>
      <c r="F7" s="8" t="n">
        <v>0.009949100000000001</v>
      </c>
      <c r="G7" s="8" t="inlineStr">
        <is>
          <t>Quyết định 79/QĐ-BXD. Ngày 15/02/2017</t>
        </is>
      </c>
    </row>
    <row r="8">
      <c r="A8" s="8" t="inlineStr"/>
      <c r="B8" s="8" t="inlineStr"/>
      <c r="C8" s="8" t="inlineStr"/>
      <c r="D8" s="8" t="n">
        <v>20</v>
      </c>
      <c r="E8" s="8" t="n">
        <v>0.009140000000000001</v>
      </c>
      <c r="F8" s="8" t="inlineStr"/>
      <c r="G8" s="8" t="inlineStr"/>
    </row>
    <row r="9">
      <c r="A9" s="8" t="inlineStr">
        <is>
          <t>4.8</t>
        </is>
      </c>
      <c r="B9" s="8" t="inlineStr">
        <is>
          <t>Chi phí thẩm tra báo cáo nghiên cứu tiền khả thi</t>
        </is>
      </c>
      <c r="C9" s="8" t="inlineStr">
        <is>
          <t>Công trình dân dụng</t>
        </is>
      </c>
      <c r="D9" s="8" t="n">
        <v>15</v>
      </c>
      <c r="E9" s="8" t="n">
        <v>0.0007099999999999999</v>
      </c>
      <c r="F9" s="8" t="n">
        <v>0.0006385</v>
      </c>
      <c r="G9" s="8" t="inlineStr">
        <is>
          <t>Quyết định 79/QĐ-BXD. Ngày 15/02/2017</t>
        </is>
      </c>
    </row>
    <row r="10">
      <c r="A10" s="8" t="inlineStr"/>
      <c r="B10" s="8" t="inlineStr"/>
      <c r="C10" s="8" t="inlineStr"/>
      <c r="D10" s="8" t="n">
        <v>20</v>
      </c>
      <c r="E10" s="8" t="n">
        <v>0.00059</v>
      </c>
      <c r="F10" s="8" t="inlineStr"/>
      <c r="G10" s="8" t="inlineStr"/>
    </row>
    <row r="11">
      <c r="A11" s="8" t="inlineStr">
        <is>
          <t>4.9</t>
        </is>
      </c>
      <c r="B11" s="8" t="inlineStr">
        <is>
          <t>Chi phí thẩm tra báo cáo nghiên cứu khả thi</t>
        </is>
      </c>
      <c r="C11" s="8" t="inlineStr">
        <is>
          <t>Công trình dân dụng</t>
        </is>
      </c>
      <c r="D11" s="8" t="n">
        <v>15</v>
      </c>
      <c r="E11" s="8" t="n">
        <v>0.00204</v>
      </c>
      <c r="F11" s="8" t="n">
        <v>0.0018256</v>
      </c>
      <c r="G11" s="8" t="inlineStr">
        <is>
          <t>Quyết định 79/QĐ-BXD. Ngày 15/02/2017</t>
        </is>
      </c>
    </row>
    <row r="12">
      <c r="A12" s="8" t="inlineStr"/>
      <c r="B12" s="8" t="inlineStr"/>
      <c r="C12" s="8" t="inlineStr"/>
      <c r="D12" s="8" t="n">
        <v>20</v>
      </c>
      <c r="E12" s="8" t="n">
        <v>0.00168</v>
      </c>
      <c r="F12" s="8" t="inlineStr"/>
      <c r="G12" s="8" t="inlineStr"/>
    </row>
    <row r="13">
      <c r="A13" s="8" t="inlineStr">
        <is>
          <t>4.7</t>
        </is>
      </c>
      <c r="B13" s="8" t="inlineStr">
        <is>
          <t>Chi phí lập báo cáo kinh tế - kỹ thuật</t>
        </is>
      </c>
      <c r="C13" s="8" t="inlineStr">
        <is>
          <t>Công trình dân dụng</t>
        </is>
      </c>
      <c r="D13" s="8" t="n">
        <v>15</v>
      </c>
      <c r="E13" s="8" t="n">
        <v>0.036</v>
      </c>
      <c r="F13" s="8" t="n">
        <v>0.031832</v>
      </c>
      <c r="G13" s="8" t="inlineStr">
        <is>
          <t>Quyết định 79/QĐ-BXD. Ngày 15/02/2017</t>
        </is>
      </c>
    </row>
    <row r="14">
      <c r="A14" s="8" t="inlineStr"/>
      <c r="B14" s="8" t="inlineStr"/>
      <c r="C14" s="8" t="inlineStr"/>
      <c r="D14" s="8" t="n">
        <v>20</v>
      </c>
      <c r="E14" s="8" t="n">
        <v>0.029</v>
      </c>
      <c r="F14" s="8" t="inlineStr"/>
      <c r="G14" s="8" t="inlineStr"/>
    </row>
    <row r="15">
      <c r="A15" s="8" t="inlineStr">
        <is>
          <t>4.11</t>
        </is>
      </c>
      <c r="B15" s="8" t="inlineStr">
        <is>
          <t>Chi phí thẩm tra Báo cáo kinh tế - kỹ thuật, phần thiết kế</t>
        </is>
      </c>
      <c r="C15" s="8" t="inlineStr">
        <is>
          <t>Công trình dân dụng</t>
        </is>
      </c>
      <c r="D15" s="8" t="n">
        <v>10</v>
      </c>
      <c r="E15" s="8" t="n">
        <v>0.00258</v>
      </c>
      <c r="F15" s="8" t="n">
        <v>0.00258</v>
      </c>
      <c r="G15" s="8" t="inlineStr">
        <is>
          <t>Quyết định 79/QĐ-BXD. Ngày 15/02/2017</t>
        </is>
      </c>
    </row>
    <row r="16">
      <c r="A16" s="8" t="inlineStr">
        <is>
          <t>4.12</t>
        </is>
      </c>
      <c r="B16" s="8" t="inlineStr">
        <is>
          <t>Chi phí thẩm tra Báo cáo kinh tế - kỹ thuật, phần dự toán</t>
        </is>
      </c>
      <c r="C16" s="8" t="inlineStr">
        <is>
          <t>Công trình dân dụng</t>
        </is>
      </c>
      <c r="D16" s="8" t="n">
        <v>10</v>
      </c>
      <c r="E16" s="8" t="n">
        <v>0.0025</v>
      </c>
      <c r="F16" s="8" t="n">
        <v>0.0025</v>
      </c>
      <c r="G16" s="8" t="inlineStr">
        <is>
          <t>Quyết định 79/QĐ-BXD. Ngày 15/02/2017</t>
        </is>
      </c>
    </row>
    <row r="17">
      <c r="A17" s="8" t="inlineStr">
        <is>
          <t>4.14</t>
        </is>
      </c>
      <c r="B17" s="8" t="inlineStr">
        <is>
          <t>Chi phí thiết kế kỹ thuật</t>
        </is>
      </c>
      <c r="C17" s="8" t="inlineStr">
        <is>
          <t>Công trình dân dụng. Cấp 2. Thiết kế 3 bước</t>
        </is>
      </c>
      <c r="D17" s="8" t="n">
        <v>10</v>
      </c>
      <c r="E17" s="8" t="n">
        <v>0.0267</v>
      </c>
      <c r="F17" s="8" t="n">
        <v>0.0267</v>
      </c>
      <c r="G17" s="8" t="inlineStr">
        <is>
          <t>Quyết định 79/QĐ-BXD. Ngày 15/02/2017</t>
        </is>
      </c>
    </row>
    <row r="18">
      <c r="A18" s="8" t="inlineStr">
        <is>
          <t>4.15</t>
        </is>
      </c>
      <c r="B18" s="8" t="inlineStr">
        <is>
          <t>Chi phí thiết kế bản vẽ thi công</t>
        </is>
      </c>
      <c r="C18" s="8" t="inlineStr">
        <is>
          <t>Công trình dân dụng. Cấp 2. Thiết kế 3 bước</t>
        </is>
      </c>
      <c r="D18" s="8" t="n">
        <v>10</v>
      </c>
      <c r="E18" s="8" t="n">
        <v>0.0267</v>
      </c>
      <c r="F18" s="8" t="n">
        <v>0.0267</v>
      </c>
      <c r="G18" s="8" t="inlineStr">
        <is>
          <t>Quyết định 79/QĐ-BXD. Ngày 15/02/2017</t>
        </is>
      </c>
    </row>
    <row r="19">
      <c r="A19" s="8" t="inlineStr">
        <is>
          <t>4.16</t>
        </is>
      </c>
      <c r="B19" s="8" t="inlineStr">
        <is>
          <t>Chi phí thẩm tra thiết kế kỹ thuật</t>
        </is>
      </c>
      <c r="C19" s="8" t="inlineStr">
        <is>
          <t>Công trình dân dụng</t>
        </is>
      </c>
      <c r="D19" s="8" t="n">
        <v>10</v>
      </c>
      <c r="E19" s="8" t="n">
        <v>0.00258</v>
      </c>
      <c r="F19" s="8" t="n">
        <v>0.00258</v>
      </c>
      <c r="G19" s="8" t="inlineStr">
        <is>
          <t>Quyết định 79/QĐ-BXD. Ngày 15/02/2017</t>
        </is>
      </c>
    </row>
    <row r="20">
      <c r="A20" s="8" t="inlineStr">
        <is>
          <t>4.17</t>
        </is>
      </c>
      <c r="B20" s="8" t="inlineStr">
        <is>
          <t>Chi phí thẩm tra thiết kế bản vẽ thi công</t>
        </is>
      </c>
      <c r="C20" s="8" t="inlineStr">
        <is>
          <t>Công trình dân dụng</t>
        </is>
      </c>
      <c r="D20" s="8" t="n">
        <v>10</v>
      </c>
      <c r="E20" s="8" t="n">
        <v>0.00258</v>
      </c>
      <c r="F20" s="8" t="n">
        <v>0.00258</v>
      </c>
      <c r="G20" s="8" t="inlineStr">
        <is>
          <t>Quyết định 79/QĐ-BXD. Ngày 15/02/2017</t>
        </is>
      </c>
    </row>
    <row r="21">
      <c r="A21" s="8" t="inlineStr">
        <is>
          <t>4.18</t>
        </is>
      </c>
      <c r="B21" s="8" t="inlineStr">
        <is>
          <t>Chi phí thẩm tra dự toán công trình</t>
        </is>
      </c>
      <c r="C21" s="8" t="inlineStr">
        <is>
          <t>Công trình dân dụng</t>
        </is>
      </c>
      <c r="D21" s="8" t="n">
        <v>10</v>
      </c>
      <c r="E21" s="8" t="n">
        <v>0.0025</v>
      </c>
      <c r="F21" s="8" t="n">
        <v>0.0025</v>
      </c>
      <c r="G21" s="8" t="inlineStr">
        <is>
          <t>Quyết định 79/QĐ-BXD. Ngày 15/02/2017</t>
        </is>
      </c>
    </row>
    <row r="22">
      <c r="A22" s="8" t="inlineStr">
        <is>
          <t>4.19</t>
        </is>
      </c>
      <c r="B22" s="8" t="inlineStr">
        <is>
          <t>Chi phí Lập hồ sơ mời thầu, đánh giá hồ sơ dự thầu thi công xây dựng</t>
        </is>
      </c>
      <c r="C22" s="8" t="inlineStr">
        <is>
          <t>Công trình dân dụng</t>
        </is>
      </c>
      <c r="D22" s="8" t="n">
        <v>10</v>
      </c>
      <c r="E22" s="8" t="n">
        <v>0.00432</v>
      </c>
      <c r="F22" s="8" t="n">
        <v>0.00432</v>
      </c>
      <c r="G22" s="8" t="inlineStr">
        <is>
          <t>Quyết định 79/QĐ-BXD. Ngày 15/02/2017</t>
        </is>
      </c>
    </row>
    <row r="23">
      <c r="A23" s="8" t="inlineStr">
        <is>
          <t>4.29</t>
        </is>
      </c>
      <c r="B23" s="8" t="inlineStr">
        <is>
          <t>Chi phí lập hồ sơ mời thầu, đánh giá hồ sơ dự thầu mua sắm thiết bị</t>
        </is>
      </c>
      <c r="C23" s="8" t="inlineStr">
        <is>
          <t>Công trình dân dụng</t>
        </is>
      </c>
      <c r="D23" s="8" t="n">
        <v>10</v>
      </c>
      <c r="E23" s="8" t="n">
        <v>0.00367</v>
      </c>
      <c r="F23" s="8" t="n">
        <v>0.0035639</v>
      </c>
      <c r="G23" s="8" t="inlineStr">
        <is>
          <t>Quyết định 79/QĐ-BXD. Ngày 15/02/2017</t>
        </is>
      </c>
    </row>
    <row r="24">
      <c r="A24" s="8" t="inlineStr"/>
      <c r="B24" s="8" t="inlineStr"/>
      <c r="C24" s="8" t="inlineStr"/>
      <c r="D24" s="8" t="n">
        <v>20</v>
      </c>
      <c r="E24" s="8" t="n">
        <v>0.00346</v>
      </c>
      <c r="F24" s="8" t="inlineStr"/>
      <c r="G24" s="8" t="inlineStr"/>
    </row>
    <row r="25">
      <c r="A25" s="8" t="inlineStr">
        <is>
          <t>4.28</t>
        </is>
      </c>
      <c r="B25" s="8" t="inlineStr">
        <is>
          <t>Chi phí giám sát thi công xây dựng</t>
        </is>
      </c>
      <c r="C25" s="8" t="inlineStr">
        <is>
          <t>Công trình dân dụng</t>
        </is>
      </c>
      <c r="D25" s="8" t="n">
        <v>10</v>
      </c>
      <c r="E25" s="8" t="n">
        <v>0.03285</v>
      </c>
      <c r="F25" s="8" t="n">
        <v>0.03285</v>
      </c>
      <c r="G25" s="8" t="inlineStr">
        <is>
          <t>Quyết định 79/QĐ-BXD. Ngày 15/02/2017</t>
        </is>
      </c>
    </row>
    <row r="26">
      <c r="A26" s="8" t="inlineStr">
        <is>
          <t>4.32</t>
        </is>
      </c>
      <c r="B26" s="8" t="inlineStr">
        <is>
          <t>Chi phí giám sát lắp đặt thiết bị</t>
        </is>
      </c>
      <c r="C26" s="8" t="inlineStr">
        <is>
          <t>Công trình dân dụng</t>
        </is>
      </c>
      <c r="D26" s="8" t="n">
        <v>10</v>
      </c>
      <c r="E26" s="8" t="n">
        <v>0.00844</v>
      </c>
      <c r="F26" s="8" t="n">
        <v>0.0077883</v>
      </c>
      <c r="G26" s="8" t="inlineStr">
        <is>
          <t>Quyết định 79/QĐ-BXD. Ngày 15/02/2017</t>
        </is>
      </c>
    </row>
    <row r="27">
      <c r="A27" s="8" t="inlineStr"/>
      <c r="B27" s="8" t="inlineStr"/>
      <c r="C27" s="8" t="inlineStr"/>
      <c r="D27" s="8" t="n">
        <v>20</v>
      </c>
      <c r="E27" s="8" t="n">
        <v>0.00715</v>
      </c>
      <c r="F27" s="8" t="inlineStr"/>
      <c r="G27" s="8" t="inlineStr"/>
    </row>
    <row r="28">
      <c r="A28" s="8" t="inlineStr">
        <is>
          <t>5.3</t>
        </is>
      </c>
      <c r="B28" s="8" t="inlineStr">
        <is>
          <t>Phí thẩm định thiết kế (Thông tư 210/2016/TT-BTC)</t>
        </is>
      </c>
      <c r="C28" s="8" t="inlineStr">
        <is>
          <t>Công trình dân dụng</t>
        </is>
      </c>
      <c r="D28" s="8" t="n">
        <v>15</v>
      </c>
      <c r="E28" s="8" t="n">
        <v>0.00165</v>
      </c>
      <c r="F28" s="8" t="n">
        <v>0.00165</v>
      </c>
      <c r="G28" s="8" t="inlineStr">
        <is>
          <t>Thông tư 210/2016/TT-BTC</t>
        </is>
      </c>
    </row>
    <row r="29">
      <c r="A29" s="8" t="inlineStr">
        <is>
          <t>5.4</t>
        </is>
      </c>
      <c r="B29" s="8" t="inlineStr">
        <is>
          <t>Phí thẩm định dự toán (Thông tư 210/2016/TT-BTC)</t>
        </is>
      </c>
      <c r="C29" s="8" t="inlineStr">
        <is>
          <t>Công trình dân dụng</t>
        </is>
      </c>
      <c r="D29" s="8" t="n">
        <v>15</v>
      </c>
      <c r="E29" s="8" t="n">
        <v>0.0016</v>
      </c>
      <c r="F29" s="8" t="n">
        <v>0.0016</v>
      </c>
      <c r="G29" s="8" t="inlineStr">
        <is>
          <t>Thông tư 210/2016/TT-BTC</t>
        </is>
      </c>
    </row>
    <row r="30">
      <c r="A30" s="8" t="inlineStr">
        <is>
          <t>4.4</t>
        </is>
      </c>
      <c r="B30" s="8" t="inlineStr">
        <is>
          <t>Chi phí Thẩm định báo cáo đánh giá tác động môi trường (Thông tư 195/2016/TT-BTC)</t>
        </is>
      </c>
      <c r="C30" s="8" t="inlineStr"/>
      <c r="D30" s="8" t="n">
        <v>10000000001</v>
      </c>
      <c r="E30" s="8" t="n">
        <v>12500000</v>
      </c>
      <c r="F30" s="8" t="n">
        <v>12500000</v>
      </c>
      <c r="G30" s="8" t="inlineStr">
        <is>
          <t>Thông tư 195/2016/TT-BTC
Đơn vị tính: đồng</t>
        </is>
      </c>
    </row>
    <row r="31">
      <c r="A31" s="8" t="inlineStr"/>
      <c r="B31" s="8" t="inlineStr"/>
      <c r="C31" s="8" t="inlineStr"/>
      <c r="D31" s="8" t="n">
        <v>20000000000</v>
      </c>
      <c r="E31" s="8" t="n">
        <v>12500000</v>
      </c>
      <c r="F31" s="8" t="inlineStr"/>
      <c r="G31" s="8" t="inlineStr">
        <is>
          <t>Thông tư 195/2016/TT-BTC
Đơn vị tính: đồng</t>
        </is>
      </c>
    </row>
    <row r="32">
      <c r="A32" s="8" t="inlineStr">
        <is>
          <t>4.3</t>
        </is>
      </c>
      <c r="B32" s="8" t="inlineStr">
        <is>
          <t>Chi phí giám sát công tác khảo sát xây dựng</t>
        </is>
      </c>
      <c r="C32" s="8" t="inlineStr"/>
      <c r="D32" s="8" t="n">
        <v>1</v>
      </c>
      <c r="E32" s="8" t="n">
        <v>0.04072</v>
      </c>
      <c r="F32" s="8" t="n">
        <v>0.04072</v>
      </c>
      <c r="G32" s="8" t="inlineStr">
        <is>
          <t>Quyết định 79/QĐ-BXD. Ngày 15/02/2017</t>
        </is>
      </c>
    </row>
    <row r="33">
      <c r="A33" s="8" t="inlineStr">
        <is>
          <t>4.33</t>
        </is>
      </c>
      <c r="B33" s="8" t="inlineStr">
        <is>
          <t>Chi phí Lập hồ sơ mời thầu, đánh giá hồ sơ dự thầu tư vấn</t>
        </is>
      </c>
      <c r="C33" s="8" t="inlineStr"/>
      <c r="D33" s="8" t="n">
        <v>1</v>
      </c>
      <c r="E33" s="8" t="n">
        <v>0.008159999999999999</v>
      </c>
      <c r="F33" s="8" t="n">
        <v>0.008160000000000001</v>
      </c>
      <c r="G33" s="8" t="inlineStr">
        <is>
          <t>Quyết định 79/QĐ-BXD. Ngày 15/02/2017</t>
        </is>
      </c>
    </row>
    <row r="34">
      <c r="A34" s="8" t="inlineStr">
        <is>
          <t>5.8</t>
        </is>
      </c>
      <c r="B34" s="8" t="inlineStr">
        <is>
          <t>Chi phí kiểm toán độc lập</t>
        </is>
      </c>
      <c r="C34" s="8" t="inlineStr"/>
      <c r="D34" s="8" t="n">
        <v>10</v>
      </c>
      <c r="E34" s="8" t="n">
        <v>0.01075</v>
      </c>
      <c r="F34" s="8" t="n">
        <v>0.009464306663737094</v>
      </c>
      <c r="G34" s="8" t="inlineStr">
        <is>
          <t>Thông tư 09/2016/TT-BTC</t>
        </is>
      </c>
    </row>
    <row r="35">
      <c r="A35" s="8" t="inlineStr"/>
      <c r="B35" s="8" t="inlineStr"/>
      <c r="C35" s="8" t="inlineStr"/>
      <c r="D35" s="8" t="n">
        <v>50</v>
      </c>
      <c r="E35" s="8" t="n">
        <v>0.0075</v>
      </c>
      <c r="F35" s="8" t="inlineStr"/>
      <c r="G35" s="8" t="inlineStr"/>
    </row>
    <row r="36">
      <c r="A36" s="8" t="inlineStr">
        <is>
          <t>5.7</t>
        </is>
      </c>
      <c r="B36" s="8" t="inlineStr">
        <is>
          <t>Chi phí thẩm tra, phê duyệt quyết toán</t>
        </is>
      </c>
      <c r="C36" s="8" t="inlineStr"/>
      <c r="D36" s="8" t="n">
        <v>10</v>
      </c>
      <c r="E36" s="8" t="n">
        <v>0.006500000000000001</v>
      </c>
      <c r="F36" s="8" t="n">
        <v>0.005807703588166128</v>
      </c>
      <c r="G36" s="8" t="inlineStr">
        <is>
          <t>Thông tư 09/2016/TT-BTC</t>
        </is>
      </c>
    </row>
    <row r="37">
      <c r="A37" s="8" t="inlineStr"/>
      <c r="B37" s="8" t="inlineStr"/>
      <c r="C37" s="8" t="inlineStr"/>
      <c r="D37" s="8" t="n">
        <v>50</v>
      </c>
      <c r="E37" s="8" t="n">
        <v>0.00475</v>
      </c>
      <c r="F37" s="8" t="inlineStr"/>
      <c r="G37" s="8" t="inlineStr"/>
    </row>
    <row r="38">
      <c r="A38" s="8" t="inlineStr">
        <is>
          <t>5.5</t>
        </is>
      </c>
      <c r="B38" s="8" t="inlineStr">
        <is>
          <t>Phí thẩm định dự án đầu tư xây dựng (Thông tư 209/2016/TT-BTC)</t>
        </is>
      </c>
      <c r="C38" s="8" t="inlineStr"/>
      <c r="D38" s="8" t="n">
        <v>25</v>
      </c>
      <c r="E38" s="8" t="n">
        <v>0.00017</v>
      </c>
      <c r="F38" s="8" t="n">
        <v>-0.0004111368185940877</v>
      </c>
      <c r="G38" s="8" t="inlineStr">
        <is>
          <t>Thông tư 209/2016/TT-BTC</t>
        </is>
      </c>
    </row>
    <row r="39">
      <c r="A39" s="8" t="inlineStr">
        <is>
          <t>5.8</t>
        </is>
      </c>
      <c r="B39" s="8" t="inlineStr">
        <is>
          <t>Chi phí kiểm toán độc lập</t>
        </is>
      </c>
      <c r="C39" s="8" t="inlineStr"/>
      <c r="D39" s="8" t="n">
        <v>10</v>
      </c>
      <c r="E39" s="8" t="n">
        <v>0.01075</v>
      </c>
      <c r="F39" s="8" t="n">
        <v>0.009464306663737094</v>
      </c>
      <c r="G39" s="8" t="inlineStr">
        <is>
          <t>Thông tư 09/2016/TT-BTC</t>
        </is>
      </c>
    </row>
    <row r="40">
      <c r="A40" s="8" t="inlineStr"/>
      <c r="B40" s="8" t="inlineStr"/>
      <c r="C40" s="8" t="inlineStr"/>
      <c r="D40" s="8" t="n">
        <v>50</v>
      </c>
      <c r="E40" s="8" t="n">
        <v>0.0075</v>
      </c>
      <c r="F40" s="8" t="inlineStr"/>
      <c r="G40" s="8" t="inlineStr"/>
    </row>
    <row r="41">
      <c r="A41" s="8" t="inlineStr">
        <is>
          <t>5.7</t>
        </is>
      </c>
      <c r="B41" s="8" t="inlineStr">
        <is>
          <t>Chi phí thẩm tra, phê duyệt quyết toán</t>
        </is>
      </c>
      <c r="C41" s="8" t="inlineStr"/>
      <c r="D41" s="8" t="n">
        <v>10</v>
      </c>
      <c r="E41" s="8" t="n">
        <v>0.006500000000000001</v>
      </c>
      <c r="F41" s="8" t="n">
        <v>0.005807703588166128</v>
      </c>
      <c r="G41" s="8" t="inlineStr">
        <is>
          <t>Thông tư 09/2016/TT-BTC</t>
        </is>
      </c>
    </row>
    <row r="42">
      <c r="A42" s="8" t="inlineStr"/>
      <c r="B42" s="8" t="inlineStr"/>
      <c r="C42" s="8" t="inlineStr"/>
      <c r="D42" s="8" t="n">
        <v>50</v>
      </c>
      <c r="E42" s="8" t="n">
        <v>0.00475</v>
      </c>
      <c r="F42" s="8" t="inlineStr"/>
      <c r="G42" s="8" t="inlineStr"/>
    </row>
    <row r="43">
      <c r="A43" s="8" t="inlineStr">
        <is>
          <t>5.5</t>
        </is>
      </c>
      <c r="B43" s="8" t="inlineStr">
        <is>
          <t>Phí thẩm định dự án đầu tư xây dựng (Thông tư 209/2016/TT-BTC)</t>
        </is>
      </c>
      <c r="C43" s="8" t="inlineStr"/>
      <c r="D43" s="8" t="n">
        <v>25</v>
      </c>
      <c r="E43" s="8" t="n">
        <v>0.00017</v>
      </c>
      <c r="F43" s="8" t="n">
        <v>0.0001693408656121806</v>
      </c>
      <c r="G43" s="8" t="inlineStr">
        <is>
          <t>Thông tư 209/2016/TT-BTC</t>
        </is>
      </c>
    </row>
    <row r="44">
      <c r="A44" s="8" t="inlineStr"/>
      <c r="B44" s="8" t="inlineStr"/>
      <c r="C44" s="8" t="inlineStr"/>
      <c r="D44" s="8" t="n">
        <v>50</v>
      </c>
      <c r="E44" s="8" t="n">
        <v>0.00015</v>
      </c>
      <c r="F44" s="8" t="inlineStr"/>
      <c r="G44" s="8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X80"/>
  <sheetViews>
    <sheetView workbookViewId="0">
      <selection activeCell="A1" sqref="A1"/>
    </sheetView>
  </sheetViews>
  <sheetFormatPr baseColWidth="8" defaultRowHeight="15"/>
  <cols>
    <col width="50" customWidth="1" min="1" max="1"/>
    <col width="46" customWidth="1" min="2" max="2"/>
    <col width="31" customWidth="1" min="3" max="3"/>
    <col width="25" customWidth="1" min="4" max="4"/>
    <col width="25" customWidth="1" min="5" max="5"/>
    <col width="29" customWidth="1" min="6" max="6"/>
    <col width="27" customWidth="1" min="7" max="7"/>
    <col width="26" customWidth="1" min="8" max="8"/>
    <col width="50" customWidth="1" min="9" max="9"/>
    <col width="18" customWidth="1" min="10" max="10"/>
    <col width="23" customWidth="1" min="11" max="11"/>
    <col width="16" customWidth="1" min="12" max="12"/>
    <col width="15" customWidth="1" min="13" max="13"/>
    <col width="20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</cols>
  <sheetData>
    <row r="1">
      <c r="A1" s="8" t="inlineStr">
        <is>
          <t>Bảng định vị</t>
        </is>
      </c>
      <c r="B1" s="8" t="inlineStr"/>
      <c r="C1" s="8" t="inlineStr"/>
      <c r="D1" s="8" t="inlineStr"/>
      <c r="E1" s="8" t="inlineStr"/>
      <c r="F1" s="8" t="inlineStr"/>
      <c r="G1" s="8" t="inlineStr"/>
      <c r="H1" s="8" t="inlineStr"/>
      <c r="I1" s="8" t="inlineStr"/>
      <c r="J1" s="8" t="inlineStr"/>
      <c r="K1" s="8" t="inlineStr"/>
      <c r="L1" s="8" t="inlineStr"/>
      <c r="M1" s="8" t="inlineStr"/>
      <c r="N1" s="8" t="inlineStr"/>
      <c r="O1" s="8" t="inlineStr"/>
      <c r="P1" s="8" t="inlineStr"/>
      <c r="Q1" s="8" t="inlineStr"/>
      <c r="R1" s="8" t="inlineStr"/>
      <c r="S1" s="8" t="inlineStr"/>
      <c r="T1" s="8" t="inlineStr"/>
      <c r="U1" s="8" t="inlineStr"/>
      <c r="V1" s="8" t="inlineStr"/>
      <c r="W1" s="8" t="inlineStr"/>
      <c r="X1" s="8" t="inlineStr"/>
    </row>
    <row r="2">
      <c r="A2" s="8" t="inlineStr">
        <is>
          <t>0</t>
        </is>
      </c>
      <c r="B2" s="8" t="inlineStr">
        <is>
          <t>1</t>
        </is>
      </c>
      <c r="C2" s="8" t="inlineStr">
        <is>
          <t>2</t>
        </is>
      </c>
      <c r="D2" s="8" t="inlineStr">
        <is>
          <t>3</t>
        </is>
      </c>
      <c r="E2" s="8" t="inlineStr">
        <is>
          <t>4</t>
        </is>
      </c>
      <c r="F2" s="8" t="inlineStr">
        <is>
          <t>5</t>
        </is>
      </c>
      <c r="G2" s="8" t="inlineStr">
        <is>
          <t>6</t>
        </is>
      </c>
      <c r="H2" s="8" t="inlineStr">
        <is>
          <t>7</t>
        </is>
      </c>
      <c r="I2" s="8" t="inlineStr">
        <is>
          <t>8</t>
        </is>
      </c>
      <c r="J2" s="8" t="inlineStr">
        <is>
          <t>9</t>
        </is>
      </c>
      <c r="K2" s="8" t="inlineStr">
        <is>
          <t>10</t>
        </is>
      </c>
      <c r="L2" s="8" t="inlineStr">
        <is>
          <t>11</t>
        </is>
      </c>
      <c r="M2" s="8" t="inlineStr">
        <is>
          <t>12</t>
        </is>
      </c>
      <c r="N2" s="8" t="inlineStr">
        <is>
          <t>13</t>
        </is>
      </c>
      <c r="O2" s="8" t="inlineStr">
        <is>
          <t>14</t>
        </is>
      </c>
      <c r="P2" s="8" t="inlineStr">
        <is>
          <t>15</t>
        </is>
      </c>
      <c r="Q2" s="8" t="inlineStr">
        <is>
          <t>16</t>
        </is>
      </c>
      <c r="R2" s="8" t="inlineStr">
        <is>
          <t>17</t>
        </is>
      </c>
      <c r="S2" s="8" t="inlineStr">
        <is>
          <t>18</t>
        </is>
      </c>
      <c r="T2" s="8" t="inlineStr">
        <is>
          <t>19</t>
        </is>
      </c>
      <c r="U2" s="8" t="inlineStr">
        <is>
          <t>20</t>
        </is>
      </c>
      <c r="V2" s="8" t="inlineStr">
        <is>
          <t>21</t>
        </is>
      </c>
      <c r="W2" s="8" t="inlineStr">
        <is>
          <t>22</t>
        </is>
      </c>
      <c r="X2" s="8" t="inlineStr"/>
    </row>
    <row r="3">
      <c r="A3" s="8" t="inlineStr">
        <is>
          <t>Công trình</t>
        </is>
      </c>
      <c r="B3" s="8" t="inlineStr">
        <is>
          <t>Đơn giá, CSDL</t>
        </is>
      </c>
      <c r="C3" s="8" t="inlineStr">
        <is>
          <t>Mẫu tính toán</t>
        </is>
      </c>
      <c r="D3" s="8" t="inlineStr">
        <is>
          <t>Hệ số chung công trình</t>
        </is>
      </c>
      <c r="E3" s="8" t="inlineStr">
        <is>
          <t>Tiêu đề bảng</t>
        </is>
      </c>
      <c r="F3" s="8" t="inlineStr">
        <is>
          <t>Phông chữ sheet Tiên lượng</t>
        </is>
      </c>
      <c r="G3" s="8" t="inlineStr">
        <is>
          <t>Màu sắc sheet Tiên lượng</t>
        </is>
      </c>
      <c r="H3" s="8" t="inlineStr">
        <is>
          <t>Phông chữ các bảng khác</t>
        </is>
      </c>
      <c r="I3" s="8" t="inlineStr">
        <is>
          <t>Chữ ký</t>
        </is>
      </c>
      <c r="J3" s="8" t="inlineStr">
        <is>
          <t>Làm tròn số học</t>
        </is>
      </c>
      <c r="K3" s="8" t="inlineStr">
        <is>
          <t>Hạng mục</t>
        </is>
      </c>
      <c r="L3" s="8" t="inlineStr">
        <is>
          <t>Tổng hạng mục</t>
        </is>
      </c>
      <c r="M3" s="8" t="inlineStr">
        <is>
          <t>Giai đoạn QT</t>
        </is>
      </c>
      <c r="N3" s="8" t="inlineStr">
        <is>
          <t>Tổng giai đoạn QT</t>
        </is>
      </c>
      <c r="O3" s="8" t="inlineStr"/>
      <c r="P3" s="8" t="inlineStr"/>
      <c r="Q3" s="8" t="inlineStr"/>
      <c r="R3" s="8" t="inlineStr"/>
      <c r="S3" s="8" t="inlineStr"/>
      <c r="T3" s="8" t="inlineStr"/>
      <c r="U3" s="8" t="inlineStr"/>
      <c r="V3" s="8" t="inlineStr"/>
      <c r="W3" s="8" t="inlineStr"/>
      <c r="X3" s="8" t="inlineStr"/>
    </row>
    <row r="4">
      <c r="A4" s="8" t="inlineStr">
        <is>
          <t>6</t>
        </is>
      </c>
      <c r="B4" s="8" t="inlineStr">
        <is>
          <t>9</t>
        </is>
      </c>
      <c r="C4" s="8" t="inlineStr">
        <is>
          <t>12</t>
        </is>
      </c>
      <c r="D4" s="8" t="inlineStr">
        <is>
          <t>15</t>
        </is>
      </c>
      <c r="E4" s="8" t="inlineStr">
        <is>
          <t>18</t>
        </is>
      </c>
      <c r="F4" s="8" t="inlineStr">
        <is>
          <t>34</t>
        </is>
      </c>
      <c r="G4" s="8" t="inlineStr">
        <is>
          <t>44</t>
        </is>
      </c>
      <c r="H4" s="8" t="inlineStr">
        <is>
          <t>53</t>
        </is>
      </c>
      <c r="I4" s="8" t="inlineStr">
        <is>
          <t>68</t>
        </is>
      </c>
      <c r="J4" s="8" t="inlineStr">
        <is>
          <t>71</t>
        </is>
      </c>
      <c r="K4" s="8" t="inlineStr">
        <is>
          <t>78</t>
        </is>
      </c>
      <c r="L4" s="8" t="inlineStr">
        <is>
          <t>74</t>
        </is>
      </c>
      <c r="M4" s="8" t="inlineStr"/>
      <c r="N4" s="8" t="inlineStr"/>
      <c r="O4" s="8" t="inlineStr"/>
      <c r="P4" s="8" t="inlineStr"/>
      <c r="Q4" s="8" t="inlineStr"/>
      <c r="R4" s="8" t="inlineStr"/>
      <c r="S4" s="8" t="inlineStr"/>
      <c r="T4" s="8" t="inlineStr"/>
      <c r="U4" s="8" t="inlineStr"/>
      <c r="V4" s="8" t="inlineStr"/>
      <c r="W4" s="8" t="inlineStr"/>
      <c r="X4" s="8" t="inlineStr"/>
    </row>
    <row r="5">
      <c r="A5" s="8" t="inlineStr">
        <is>
          <t>Thông tin chung về Công trình</t>
        </is>
      </c>
      <c r="B5" s="8" t="inlineStr"/>
      <c r="C5" s="8" t="inlineStr"/>
      <c r="D5" s="8" t="inlineStr"/>
      <c r="E5" s="8" t="inlineStr"/>
      <c r="F5" s="8" t="inlineStr"/>
      <c r="G5" s="8" t="inlineStr"/>
      <c r="H5" s="8" t="inlineStr"/>
      <c r="I5" s="8" t="inlineStr"/>
      <c r="J5" s="8" t="inlineStr"/>
      <c r="K5" s="8" t="inlineStr"/>
      <c r="L5" s="8" t="inlineStr"/>
      <c r="M5" s="8" t="inlineStr"/>
      <c r="N5" s="8" t="inlineStr"/>
      <c r="O5" s="8" t="inlineStr"/>
      <c r="P5" s="8" t="inlineStr"/>
      <c r="Q5" s="8" t="inlineStr"/>
      <c r="R5" s="8" t="inlineStr"/>
      <c r="S5" s="8" t="inlineStr"/>
      <c r="T5" s="8" t="inlineStr"/>
      <c r="U5" s="8" t="inlineStr"/>
      <c r="V5" s="8" t="inlineStr"/>
      <c r="W5" s="8" t="inlineStr"/>
      <c r="X5" s="8" t="inlineStr"/>
    </row>
    <row r="6">
      <c r="A6" s="8" t="inlineStr">
        <is>
          <t>Tên công trình</t>
        </is>
      </c>
      <c r="B6" s="8" t="inlineStr">
        <is>
          <t>Địa điểm XD</t>
        </is>
      </c>
      <c r="C6" s="8" t="inlineStr">
        <is>
          <t>Chủ đầu tư</t>
        </is>
      </c>
      <c r="D6" s="8" t="inlineStr">
        <is>
          <t>Đơn vị thi công</t>
        </is>
      </c>
      <c r="E6" s="8" t="inlineStr">
        <is>
          <t>Loại (Dự, quyết toán )</t>
        </is>
      </c>
      <c r="F6" s="8" t="inlineStr">
        <is>
          <t>Loại công trình</t>
        </is>
      </c>
      <c r="G6" s="8" t="inlineStr">
        <is>
          <t>Loại thiết kế</t>
        </is>
      </c>
      <c r="H6" s="8" t="inlineStr">
        <is>
          <t>Cấp công trình</t>
        </is>
      </c>
      <c r="I6" s="8" t="inlineStr">
        <is>
          <t>Hệ số K, điều chỉnh TKế</t>
        </is>
      </c>
      <c r="J6" s="8" t="inlineStr">
        <is>
          <t>Công văn</t>
        </is>
      </c>
      <c r="K6" s="8" t="inlineStr">
        <is>
          <t>H.s chi phí Dự phòng</t>
        </is>
      </c>
      <c r="L6" s="8" t="inlineStr"/>
      <c r="M6" s="8" t="inlineStr"/>
      <c r="N6" s="8" t="inlineStr"/>
      <c r="O6" s="8" t="inlineStr"/>
      <c r="P6" s="8" t="inlineStr"/>
      <c r="Q6" s="8" t="inlineStr"/>
      <c r="R6" s="8" t="inlineStr"/>
      <c r="S6" s="8" t="inlineStr"/>
      <c r="T6" s="8" t="inlineStr"/>
      <c r="U6" s="8" t="inlineStr"/>
      <c r="V6" s="8" t="inlineStr"/>
      <c r="W6" s="8" t="inlineStr"/>
      <c r="X6" s="8" t="inlineStr"/>
    </row>
    <row r="7">
      <c r="A7" s="8" t="inlineStr">
        <is>
          <t>DỰ ÁN: NHÀ Ở CHO LỰC LƯỢNG VŨ TRANG CÔNG AN NHÂN DÂN</t>
        </is>
      </c>
      <c r="B7" s="8" t="inlineStr"/>
      <c r="C7" s="8" t="inlineStr"/>
      <c r="D7" s="8" t="inlineStr"/>
      <c r="E7" s="8" t="inlineStr">
        <is>
          <t>1</t>
        </is>
      </c>
      <c r="F7" s="8" t="inlineStr">
        <is>
          <t>1</t>
        </is>
      </c>
      <c r="G7" s="8" t="inlineStr">
        <is>
          <t>3</t>
        </is>
      </c>
      <c r="H7" s="8" t="inlineStr">
        <is>
          <t>2</t>
        </is>
      </c>
      <c r="I7" s="8" t="inlineStr">
        <is>
          <t>Gxd~0~FG6+G8~FH6+H8~FI6+I8~0|Gxdcpt~0~FSUM(G7:G7)~FSUM(H7:H7)~FG6+H6~0|Gqlda~0~FROUND(D15*(G6+G9),0)~F10%*G15~FG15+H15~F'Định mức tư vấn'!F3|Gtv~0~FSUMIF(K17:K51,1,G17:G51)~FSUMIF(K17:K51,1,H17:H51)~FSUMIF(K17:K51,1,I17:I51)~0|Glnvks~0~FD18*G17~F10%*G18~FG18+H18~0.03|Ggsks~0~FD19*G17~F10%*G19~FG19+H19~F'Định mức tư vấn'!F40|Gdgtdmt~0~F'Định mức tư vấn'!F38~F10%*G22~FG22+H22~0|Gbcnctkt~0~FROUND(D23*(L6+L9),0)~F10%*G23~FG23+H23~F'Định mức tư vấn'!F5|Gbcnckt~0~FROUND(D24*(M6+M9),0)~F10%*G24~FG24+H24~F'Định mức tư vấn'!F7|Gttbcnctkt~0~FROUND(D26*(L6+L9),0)~F10%*G26~FG26+H26~F'Định mức tư vấn'!F9|Gttbcnckt~0~FROUND(D27*(M6+M9),0)~F10%*G27~FG27+H27~F'Định mức tư vấn'!F11|Gtttkcn~0~FD28*G27~F10%*G28~FG28+H28~0.2|Gtk~0~FROUND(D32*G6,0)~F10%*G32~FG32+H32~F'Định mức tư vấn'!F18|Gtkbv~0~FROUND(D33*G32,0)~F10%*G33~FG33+H33~0.55|Gtttkkt~0~FROUND(D34*G6,0)~F10%*G34~FG34+H34~F'Định mức tư vấn'!F22|Gttdt~0~FROUND(D36*G6,0)~F10%*G36~FG36+H36~F'Định mức tư vấn'!F26|Glcnt~0~FROUND(D37*'Dự toán gói thầu'!C9,0)~F10%*G37~FG37+H37~F'Định mức tư vấn'!F28|Glhsmqt~0~FROUND(IF('Dự toán gói thầu'!E17*0.05%&lt;1000000,1000000,IF('Dự toán gói thầu'!E17*0.05%&gt;30000000,30000000,'Dự toán gói thầu'!E17*0.05%)),0)~FG38*10%~FG38+H38~0|Gtdhsmqt~0~FROUND(IF('Dự toán gói thầu'!E17*0.03%&lt;1000000,1000000,IF('Dự toán gói thầu'!E17*0.03%&gt;30000000,30000000,'Dự toán gói thầu'!E17*0.03%)),0)~FG39*10%~FG39+H39~0|Glhsmt~0~FROUND(IF('Dự toán gói thầu'!E17*0.1%&lt;1000000,1000000,IF('Dự toán gói thầu'!E17*0.1%&gt;50000000,50000000,'Dự toán gói thầu'!E17*0.1%)),0)~FG40*10%~FG40+H40~0|Gtdhsmt~0~FROUND(IF('Dự toán gói thầu'!E17*0.05%&lt;1000000,1000000,IF('Dự toán gói thầu'!E17*0.05%&gt;50000000,50000000,'Dự toán gói thầu'!E17*0.05%)),0)~FG41*10%~FG41+H41~0|Gdghsqt~0~FROUND(IF('Dự toán gói thầu'!E17*0.05%&lt;1000000,1000000,IF('Dự toán gói thầu'!E17*0.05%&gt;30000000,30000000,'Dự toán gói thầu'!E17*0.05%)),0)~FG42*10%~FG42+H42~0|Gdghsdt~0~FROUND(IF('Dự toán gói thầu'!E17*0.1%&lt;1000000,1000000,IF('Dự toán gói thầu'!E17*0.1%&gt;50000000,50000000,'Dự toán gói thầu'!E17*0.1%)),0)~FG43*10%~FG43+H43~0|Gtdkqnt~0~FROUND(IF('Dự toán gói thầu'!E17*0.05%&lt;1000000,1000000,IF('Dự toán gói thầu'!E17*0.05%&gt;50000000,50000000,'Dự toán gói thầu'!E17*0.05%)),0)~FG44*10%~FG44+H44~0|Ghdtvgqkn~0~FROUND(IF('Dự toán gói thầu'!E17*0.02%&lt;1000000,1000000,IF('Dự toán gói thầu'!E17*0.02%&gt;50000000,50000000,'Dự toán gói thầu'!E17*0.02%)),0)~FG45*10%~FG45+H45~0|Ggstcxd~0~FROUND(D46*G6,0)~F10%*G46~FG46+H46~F'Định mức tư vấn'!F31|Glcldtb~0~FROUND(D47*G9,0)~F10%*G47~FG47+H47~F'Định mức tư vấn'!F30|Glhsmqt79~0~FD48*(G37+G47)~F10%*G48~FG48+H48~0.3|Glhsyc79~0~FD49*(G37+G47)~F10%*G49~FG49+H49~0.6|Ggsldtb~0~FROUND(D50*G9,0)~F10%*G50~FG50+H50~F'Định mức tư vấn'!F33|Gthautv~0~FROUND(D51*SUMIF(K17:K50,1,G17:G50),0)~F10%*G51~FG51+H51~F'Định mức tư vấn'!F41|Gk~0~FSUMIF(K53:K62,1,G53:G62)~FSUMIF(K53:K62,1,H53:H62)~FSUMIF(K53:K62,1,I53:I62)~0|Gtttk_BTC~0~FROUND(D55*G6,0)~F10%*G55~FG55+H55~F'Định mức tư vấn'!F34|Gttdt_BTC~0~FROUND(D56*G6,0)~F10%*G56~FG56+H56~F'Định mức tư vấn'!F36|Gthamdinh~0~FD57*K66~F10%*G57~FG57+H57~F'Định mức tư vấn'!F52|GthamdinhTKCSTruoc~0~FD58*G57~F10%*G58~FG58+H58~0.5|Gthamtra~0~FD59*K66~0~FG59+H59~F'Định mức tư vấn'!F50|Gkiemtoan~0~FD60*K66~F10%*G60~FG60+H60~F'Định mức tư vấn'!F48|Gbaohiemtuvan~0~FROUND(IF(E62=0,D62*G16,D62*E62*G16),0)~F10%*G62~FG62+H62~0.012|Gdp~0~FSUM(G64:G65)~FSUM(H64:H65)~FSUM(I64:I65)~0|Gdp2~0~FI65/1.1~FI65-G65~F'Dự phòng'!H16~FROUND(I65/I66,5)|Gtmdt~0~FG5+G9+G15+G16+G52+G63~FH5+H9+H15+H16+H52+H63~FI5+I9+I15+I16+I52+I63~0|GtmdtSau~0~0~FH66+H67~FI66+I67~0|Glamtron~0~0~0~FROUND(I72,-3)~0</t>
        </is>
      </c>
      <c r="J7" s="8" t="inlineStr">
        <is>
          <t>16</t>
        </is>
      </c>
      <c r="K7" s="8" t="inlineStr">
        <is>
          <t>0%</t>
        </is>
      </c>
      <c r="L7" s="8" t="inlineStr">
        <is>
          <t>1</t>
        </is>
      </c>
      <c r="M7" s="8" t="inlineStr">
        <is>
          <t>1</t>
        </is>
      </c>
      <c r="N7" s="8" t="inlineStr">
        <is>
          <t>1</t>
        </is>
      </c>
      <c r="O7" s="8" t="inlineStr">
        <is>
          <t>#~##~##~#</t>
        </is>
      </c>
      <c r="P7" s="8" t="inlineStr"/>
      <c r="Q7" s="8" t="inlineStr"/>
      <c r="R7" s="8" t="inlineStr"/>
      <c r="S7" s="8" t="inlineStr"/>
      <c r="T7" s="8" t="inlineStr"/>
      <c r="U7" s="8" t="inlineStr"/>
      <c r="V7" s="8" t="inlineStr"/>
      <c r="W7" s="8" t="inlineStr"/>
      <c r="X7" s="8" t="inlineStr"/>
    </row>
    <row r="8">
      <c r="A8" s="8" t="inlineStr">
        <is>
          <t>Đơn giá , Cơ sở dữ liệu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</row>
    <row r="9">
      <c r="A9" s="8" t="inlineStr">
        <is>
          <t>Tỉnh - TP</t>
        </is>
      </c>
      <c r="B9" s="8" t="inlineStr">
        <is>
          <t>Đơn giá</t>
        </is>
      </c>
      <c r="C9" s="8" t="inlineStr">
        <is>
          <t>Giá tháng</t>
        </is>
      </c>
      <c r="D9" s="8" t="inlineStr">
        <is>
          <t>Cước cơ giới</t>
        </is>
      </c>
      <c r="E9" s="8" t="inlineStr">
        <is>
          <t>Cước thủ công</t>
        </is>
      </c>
      <c r="F9" s="8" t="inlineStr"/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8" t="inlineStr"/>
      <c r="P9" s="8" t="inlineStr"/>
      <c r="Q9" s="8" t="inlineStr"/>
      <c r="R9" s="8" t="inlineStr"/>
      <c r="S9" s="8" t="inlineStr"/>
      <c r="T9" s="8" t="inlineStr"/>
      <c r="U9" s="8" t="inlineStr"/>
      <c r="V9" s="8" t="inlineStr"/>
      <c r="W9" s="8" t="inlineStr"/>
      <c r="X9" s="8" t="inlineStr"/>
    </row>
    <row r="10">
      <c r="A10" s="8" t="inlineStr">
        <is>
          <t>DinhMucBoXD</t>
        </is>
      </c>
      <c r="B10" s="8" t="inlineStr">
        <is>
          <t>Định mức 38/2026/TT-BXD - Phần XD</t>
        </is>
      </c>
      <c r="C10" s="8" t="inlineStr">
        <is>
          <t>GVL38_2026XD</t>
        </is>
      </c>
      <c r="D10" s="8" t="inlineStr">
        <is>
          <t>#~#Hà Nội#~#HaNoi</t>
        </is>
      </c>
      <c r="E10" s="8" t="inlineStr"/>
      <c r="F10" s="8" t="inlineStr"/>
      <c r="G10" s="8" t="inlineStr"/>
      <c r="H10" s="8" t="inlineStr"/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8" t="inlineStr"/>
      <c r="R10" s="8" t="inlineStr"/>
      <c r="S10" s="8" t="inlineStr"/>
      <c r="T10" s="8" t="inlineStr"/>
      <c r="U10" s="8" t="inlineStr"/>
      <c r="V10" s="8" t="inlineStr"/>
      <c r="W10" s="8" t="inlineStr"/>
      <c r="X10" s="8" t="inlineStr"/>
    </row>
    <row r="11">
      <c r="A11" s="8" t="inlineStr">
        <is>
          <t>Mẫu tính toán</t>
        </is>
      </c>
      <c r="B11" s="8" t="inlineStr"/>
      <c r="C11" s="8" t="inlineStr"/>
      <c r="D11" s="8" t="inlineStr"/>
      <c r="E11" s="8" t="inlineStr"/>
      <c r="F11" s="8" t="inlineStr"/>
      <c r="G11" s="8" t="inlineStr"/>
      <c r="H11" s="8" t="inlineStr"/>
      <c r="I11" s="8" t="inlineStr"/>
      <c r="J11" s="8" t="inlineStr"/>
      <c r="K11" s="8" t="inlineStr"/>
      <c r="L11" s="8" t="inlineStr"/>
      <c r="M11" s="8" t="inlineStr"/>
      <c r="N11" s="8" t="inlineStr"/>
      <c r="O11" s="8" t="inlineStr"/>
      <c r="P11" s="8" t="inlineStr"/>
      <c r="Q11" s="8" t="inlineStr"/>
      <c r="R11" s="8" t="inlineStr"/>
      <c r="S11" s="8" t="inlineStr"/>
      <c r="T11" s="8" t="inlineStr"/>
      <c r="U11" s="8" t="inlineStr"/>
      <c r="V11" s="8" t="inlineStr"/>
      <c r="W11" s="8" t="inlineStr"/>
      <c r="X11" s="8" t="inlineStr"/>
    </row>
    <row r="12">
      <c r="A12" s="8" t="inlineStr">
        <is>
          <t>Chiết tính</t>
        </is>
      </c>
      <c r="B12" s="8" t="inlineStr">
        <is>
          <t>Tổng hợp kinh phí HM</t>
        </is>
      </c>
      <c r="C12" s="8" t="inlineStr">
        <is>
          <t>Tổng hợp kinh phí công trình</t>
        </is>
      </c>
      <c r="D12" s="8" t="inlineStr"/>
      <c r="E12" s="8" t="inlineStr"/>
      <c r="F12" s="8" t="inlineStr"/>
      <c r="G12" s="8" t="inlineStr"/>
      <c r="H12" s="8" t="inlineStr"/>
      <c r="I12" s="8" t="inlineStr"/>
      <c r="J12" s="8" t="inlineStr"/>
      <c r="K12" s="8" t="inlineStr"/>
      <c r="L12" s="8" t="inlineStr"/>
      <c r="M12" s="8" t="inlineStr"/>
      <c r="N12" s="8" t="inlineStr"/>
      <c r="O12" s="8" t="inlineStr"/>
      <c r="P12" s="8" t="inlineStr"/>
      <c r="Q12" s="8" t="inlineStr"/>
      <c r="R12" s="8" t="inlineStr"/>
      <c r="S12" s="8" t="inlineStr"/>
      <c r="T12" s="8" t="inlineStr"/>
      <c r="U12" s="8" t="inlineStr"/>
      <c r="V12" s="8" t="inlineStr"/>
      <c r="W12" s="8" t="inlineStr"/>
      <c r="X12" s="8" t="inlineStr"/>
    </row>
    <row r="13">
      <c r="A13" s="8" t="inlineStr"/>
      <c r="B13" s="8" t="inlineStr"/>
      <c r="C13" s="8" t="inlineStr"/>
      <c r="D13" s="8" t="inlineStr"/>
      <c r="E13" s="8" t="inlineStr"/>
      <c r="F13" s="8" t="inlineStr"/>
      <c r="G13" s="8" t="inlineStr"/>
      <c r="H13" s="8" t="inlineStr"/>
      <c r="I13" s="8" t="inlineStr"/>
      <c r="J13" s="8" t="inlineStr"/>
      <c r="K13" s="8" t="inlineStr"/>
      <c r="L13" s="8" t="inlineStr"/>
      <c r="M13" s="8" t="inlineStr"/>
      <c r="N13" s="8" t="inlineStr"/>
      <c r="O13" s="8" t="inlineStr"/>
      <c r="P13" s="8" t="inlineStr"/>
      <c r="Q13" s="8" t="inlineStr"/>
      <c r="R13" s="8" t="inlineStr"/>
      <c r="S13" s="8" t="inlineStr"/>
      <c r="T13" s="8" t="inlineStr"/>
      <c r="U13" s="8" t="inlineStr"/>
      <c r="V13" s="8" t="inlineStr"/>
      <c r="W13" s="8" t="inlineStr"/>
      <c r="X13" s="8" t="inlineStr"/>
    </row>
    <row r="14">
      <c r="A14" s="8" t="inlineStr">
        <is>
          <t>Hệ số chung công trình</t>
        </is>
      </c>
      <c r="B14" s="8" t="inlineStr"/>
      <c r="C14" s="8" t="inlineStr"/>
      <c r="D14" s="8" t="inlineStr"/>
      <c r="E14" s="8" t="inlineStr"/>
      <c r="F14" s="8" t="inlineStr"/>
      <c r="G14" s="8" t="inlineStr"/>
      <c r="H14" s="8" t="inlineStr"/>
      <c r="I14" s="8" t="inlineStr"/>
      <c r="J14" s="8" t="inlineStr"/>
      <c r="K14" s="8" t="inlineStr"/>
      <c r="L14" s="8" t="inlineStr"/>
      <c r="M14" s="8" t="inlineStr"/>
      <c r="N14" s="8" t="inlineStr"/>
      <c r="O14" s="8" t="inlineStr"/>
      <c r="P14" s="8" t="inlineStr"/>
      <c r="Q14" s="8" t="inlineStr"/>
      <c r="R14" s="8" t="inlineStr"/>
      <c r="S14" s="8" t="inlineStr"/>
      <c r="T14" s="8" t="inlineStr"/>
      <c r="U14" s="8" t="inlineStr"/>
      <c r="V14" s="8" t="inlineStr"/>
      <c r="W14" s="8" t="inlineStr"/>
      <c r="X14" s="8" t="inlineStr"/>
    </row>
    <row r="15">
      <c r="A15" s="8" t="inlineStr">
        <is>
          <t>Loại công trình</t>
        </is>
      </c>
      <c r="B15" s="8" t="inlineStr">
        <is>
          <t>Nhóm công trình</t>
        </is>
      </c>
      <c r="C15" s="8" t="inlineStr">
        <is>
          <t>Hệ số ...</t>
        </is>
      </c>
      <c r="D15" s="8" t="inlineStr"/>
      <c r="E15" s="8" t="inlineStr"/>
      <c r="F15" s="8" t="inlineStr"/>
      <c r="G15" s="8" t="inlineStr"/>
      <c r="H15" s="8" t="inlineStr"/>
      <c r="I15" s="8" t="inlineStr"/>
      <c r="J15" s="8" t="inlineStr"/>
      <c r="K15" s="8" t="inlineStr"/>
      <c r="L15" s="8" t="inlineStr"/>
      <c r="M15" s="8" t="inlineStr"/>
      <c r="N15" s="8" t="inlineStr"/>
      <c r="O15" s="8" t="inlineStr"/>
      <c r="P15" s="8" t="inlineStr"/>
      <c r="Q15" s="8" t="inlineStr"/>
      <c r="R15" s="8" t="inlineStr"/>
      <c r="S15" s="8" t="inlineStr"/>
      <c r="T15" s="8" t="inlineStr"/>
      <c r="U15" s="8" t="inlineStr"/>
      <c r="V15" s="8" t="inlineStr"/>
      <c r="W15" s="8" t="inlineStr"/>
      <c r="X15" s="8" t="inlineStr"/>
    </row>
    <row r="16">
      <c r="A16" s="8" t="inlineStr"/>
      <c r="B16" s="8" t="inlineStr"/>
      <c r="C16" s="8" t="inlineStr"/>
      <c r="D16" s="8" t="inlineStr"/>
      <c r="E16" s="8" t="inlineStr"/>
      <c r="F16" s="8" t="inlineStr"/>
      <c r="G16" s="8" t="inlineStr"/>
      <c r="H16" s="8" t="inlineStr"/>
      <c r="I16" s="8" t="inlineStr"/>
      <c r="J16" s="8" t="inlineStr"/>
      <c r="K16" s="8" t="inlineStr"/>
      <c r="L16" s="8" t="inlineStr"/>
      <c r="M16" s="8" t="inlineStr"/>
      <c r="N16" s="8" t="inlineStr"/>
      <c r="O16" s="8" t="inlineStr"/>
      <c r="P16" s="8" t="inlineStr"/>
      <c r="Q16" s="8" t="inlineStr"/>
      <c r="R16" s="8" t="inlineStr"/>
      <c r="S16" s="8" t="inlineStr"/>
      <c r="T16" s="8" t="inlineStr"/>
      <c r="U16" s="8" t="inlineStr"/>
      <c r="V16" s="8" t="inlineStr"/>
      <c r="W16" s="8" t="inlineStr"/>
      <c r="X16" s="8" t="inlineStr"/>
    </row>
    <row r="17">
      <c r="A17" s="8" t="inlineStr">
        <is>
          <t>Tiêu đề bảng</t>
        </is>
      </c>
      <c r="B17" s="8" t="inlineStr"/>
      <c r="C17" s="8" t="inlineStr"/>
      <c r="D17" s="8" t="inlineStr"/>
      <c r="E17" s="8" t="inlineStr"/>
      <c r="F17" s="8" t="inlineStr"/>
      <c r="G17" s="8" t="inlineStr"/>
      <c r="H17" s="8" t="inlineStr"/>
      <c r="I17" s="8" t="inlineStr"/>
      <c r="J17" s="8" t="inlineStr"/>
      <c r="K17" s="8" t="inlineStr"/>
      <c r="L17" s="8" t="inlineStr"/>
      <c r="M17" s="8" t="inlineStr"/>
      <c r="N17" s="8" t="inlineStr"/>
      <c r="O17" s="8" t="inlineStr"/>
      <c r="P17" s="8" t="inlineStr"/>
      <c r="Q17" s="8" t="inlineStr"/>
      <c r="R17" s="8" t="inlineStr"/>
      <c r="S17" s="8" t="inlineStr"/>
      <c r="T17" s="8" t="inlineStr"/>
      <c r="U17" s="8" t="inlineStr"/>
      <c r="V17" s="8" t="inlineStr"/>
      <c r="W17" s="8" t="inlineStr"/>
      <c r="X17" s="8" t="inlineStr"/>
    </row>
    <row r="18">
      <c r="A18" s="8" t="inlineStr">
        <is>
          <t>Tên Bảng</t>
        </is>
      </c>
      <c r="B18" s="8" t="inlineStr">
        <is>
          <t>Tiêu đề</t>
        </is>
      </c>
      <c r="C18" s="8" t="inlineStr"/>
      <c r="D18" s="8" t="inlineStr"/>
      <c r="E18" s="8" t="inlineStr"/>
      <c r="F18" s="8" t="inlineStr"/>
      <c r="G18" s="8" t="inlineStr"/>
      <c r="H18" s="8" t="inlineStr"/>
      <c r="I18" s="8" t="inlineStr"/>
      <c r="J18" s="8" t="inlineStr"/>
      <c r="K18" s="8" t="inlineStr"/>
      <c r="L18" s="8" t="inlineStr"/>
      <c r="M18" s="8" t="inlineStr"/>
      <c r="N18" s="8" t="inlineStr"/>
      <c r="O18" s="8" t="inlineStr"/>
      <c r="P18" s="8" t="inlineStr"/>
      <c r="Q18" s="8" t="inlineStr"/>
      <c r="R18" s="8" t="inlineStr"/>
      <c r="S18" s="8" t="inlineStr"/>
      <c r="T18" s="8" t="inlineStr"/>
      <c r="U18" s="8" t="inlineStr"/>
      <c r="V18" s="8" t="inlineStr"/>
      <c r="W18" s="8" t="inlineStr"/>
      <c r="X18" s="8" t="inlineStr"/>
    </row>
    <row r="19">
      <c r="A19" s="8" t="inlineStr">
        <is>
          <t>Tiên lượng</t>
        </is>
      </c>
      <c r="B19" s="8" t="inlineStr">
        <is>
          <t>BẢNG DỰ TOÁN HẠNG MỤC CÔNG TRÌNH</t>
        </is>
      </c>
      <c r="C19" s="8" t="inlineStr"/>
      <c r="D19" s="8" t="inlineStr"/>
      <c r="E19" s="8" t="inlineStr"/>
      <c r="F19" s="8" t="inlineStr"/>
      <c r="G19" s="8" t="inlineStr"/>
      <c r="H19" s="8" t="inlineStr"/>
      <c r="I19" s="8" t="inlineStr"/>
      <c r="J19" s="8" t="inlineStr"/>
      <c r="K19" s="8" t="inlineStr"/>
      <c r="L19" s="8" t="inlineStr"/>
      <c r="M19" s="8" t="inlineStr"/>
      <c r="N19" s="8" t="inlineStr"/>
      <c r="O19" s="8" t="inlineStr"/>
      <c r="P19" s="8" t="inlineStr"/>
      <c r="Q19" s="8" t="inlineStr"/>
      <c r="R19" s="8" t="inlineStr"/>
      <c r="S19" s="8" t="inlineStr"/>
      <c r="T19" s="8" t="inlineStr"/>
      <c r="U19" s="8" t="inlineStr"/>
      <c r="V19" s="8" t="inlineStr"/>
      <c r="W19" s="8" t="inlineStr"/>
      <c r="X19" s="8" t="inlineStr"/>
    </row>
    <row r="20">
      <c r="A20" s="8" t="inlineStr">
        <is>
          <t>Giá Tháng</t>
        </is>
      </c>
      <c r="B20" s="8" t="inlineStr">
        <is>
          <t>BẢNG GIÁ THÔNG BÁO CÔNG TRÌNH</t>
        </is>
      </c>
      <c r="C20" s="8" t="inlineStr"/>
      <c r="D20" s="8" t="inlineStr"/>
      <c r="E20" s="8" t="inlineStr"/>
      <c r="F20" s="8" t="inlineStr"/>
      <c r="G20" s="8" t="inlineStr"/>
      <c r="H20" s="8" t="inlineStr"/>
      <c r="I20" s="8" t="inlineStr"/>
      <c r="J20" s="8" t="inlineStr"/>
      <c r="K20" s="8" t="inlineStr"/>
      <c r="L20" s="8" t="inlineStr"/>
      <c r="M20" s="8" t="inlineStr"/>
      <c r="N20" s="8" t="inlineStr"/>
      <c r="O20" s="8" t="inlineStr"/>
      <c r="P20" s="8" t="inlineStr"/>
      <c r="Q20" s="8" t="inlineStr"/>
      <c r="R20" s="8" t="inlineStr"/>
      <c r="S20" s="8" t="inlineStr"/>
      <c r="T20" s="8" t="inlineStr"/>
      <c r="U20" s="8" t="inlineStr"/>
      <c r="V20" s="8" t="inlineStr"/>
      <c r="W20" s="8" t="inlineStr"/>
      <c r="X20" s="8" t="inlineStr"/>
    </row>
    <row r="21">
      <c r="A21" s="8" t="inlineStr">
        <is>
          <t>Phân tích vật tư</t>
        </is>
      </c>
      <c r="B21" s="8" t="inlineStr">
        <is>
          <t>BẢNG PHÂN TÍCH VẬT TƯ HẠNG MỤC CÔNG TRÌNH</t>
        </is>
      </c>
      <c r="C21" s="8" t="inlineStr"/>
      <c r="D21" s="8" t="inlineStr"/>
      <c r="E21" s="8" t="inlineStr"/>
      <c r="F21" s="8" t="inlineStr"/>
      <c r="G21" s="8" t="inlineStr"/>
      <c r="H21" s="8" t="inlineStr"/>
      <c r="I21" s="8" t="inlineStr"/>
      <c r="J21" s="8" t="inlineStr"/>
      <c r="K21" s="8" t="inlineStr"/>
      <c r="L21" s="8" t="inlineStr"/>
      <c r="M21" s="8" t="inlineStr"/>
      <c r="N21" s="8" t="inlineStr"/>
      <c r="O21" s="8" t="inlineStr"/>
      <c r="P21" s="8" t="inlineStr"/>
      <c r="Q21" s="8" t="inlineStr"/>
      <c r="R21" s="8" t="inlineStr"/>
      <c r="S21" s="8" t="inlineStr"/>
      <c r="T21" s="8" t="inlineStr"/>
      <c r="U21" s="8" t="inlineStr"/>
      <c r="V21" s="8" t="inlineStr"/>
      <c r="W21" s="8" t="inlineStr"/>
      <c r="X21" s="8" t="inlineStr"/>
    </row>
    <row r="22">
      <c r="A22" s="8" t="inlineStr">
        <is>
          <t>Tổng hợp vật tư</t>
        </is>
      </c>
      <c r="B22" s="8" t="inlineStr">
        <is>
          <t>BẢNG TỔNG HỢP VẬT TƯ VÀ CHÊNH LỆCH GIÁ</t>
        </is>
      </c>
      <c r="C22" s="8" t="inlineStr"/>
      <c r="D22" s="8" t="inlineStr"/>
      <c r="E22" s="8" t="inlineStr"/>
      <c r="F22" s="8" t="inlineStr"/>
      <c r="G22" s="8" t="inlineStr"/>
      <c r="H22" s="8" t="inlineStr"/>
      <c r="I22" s="8" t="inlineStr"/>
      <c r="J22" s="8" t="inlineStr"/>
      <c r="K22" s="8" t="inlineStr"/>
      <c r="L22" s="8" t="inlineStr"/>
      <c r="M22" s="8" t="inlineStr"/>
      <c r="N22" s="8" t="inlineStr"/>
      <c r="O22" s="8" t="inlineStr"/>
      <c r="P22" s="8" t="inlineStr"/>
      <c r="Q22" s="8" t="inlineStr"/>
      <c r="R22" s="8" t="inlineStr"/>
      <c r="S22" s="8" t="inlineStr"/>
      <c r="T22" s="8" t="inlineStr"/>
      <c r="U22" s="8" t="inlineStr"/>
      <c r="V22" s="8" t="inlineStr"/>
      <c r="W22" s="8" t="inlineStr"/>
      <c r="X22" s="8" t="inlineStr"/>
    </row>
    <row r="23">
      <c r="A23" s="8" t="inlineStr">
        <is>
          <t>Cước vận chuyển</t>
        </is>
      </c>
      <c r="B23" s="8" t="inlineStr">
        <is>
          <t>BẢNG CƯỚC VẬN CHUYỂN</t>
        </is>
      </c>
      <c r="C23" s="8" t="inlineStr"/>
      <c r="D23" s="8" t="inlineStr"/>
      <c r="E23" s="8" t="inlineStr"/>
      <c r="F23" s="8" t="inlineStr"/>
      <c r="G23" s="8" t="inlineStr"/>
      <c r="H23" s="8" t="inlineStr"/>
      <c r="I23" s="8" t="inlineStr"/>
      <c r="J23" s="8" t="inlineStr"/>
      <c r="K23" s="8" t="inlineStr"/>
      <c r="L23" s="8" t="inlineStr"/>
      <c r="M23" s="8" t="inlineStr"/>
      <c r="N23" s="8" t="inlineStr"/>
      <c r="O23" s="8" t="inlineStr"/>
      <c r="P23" s="8" t="inlineStr"/>
      <c r="Q23" s="8" t="inlineStr"/>
      <c r="R23" s="8" t="inlineStr"/>
      <c r="S23" s="8" t="inlineStr"/>
      <c r="T23" s="8" t="inlineStr"/>
      <c r="U23" s="8" t="inlineStr"/>
      <c r="V23" s="8" t="inlineStr"/>
      <c r="W23" s="8" t="inlineStr"/>
      <c r="X23" s="8" t="inlineStr"/>
    </row>
    <row r="24">
      <c r="A24" s="8" t="inlineStr">
        <is>
          <t>Cước vận chuyển bình quân</t>
        </is>
      </c>
      <c r="B24" s="8" t="inlineStr">
        <is>
          <t>BẢNG CƯỚC VẬN CHUYỂN BÌNH QUÂN</t>
        </is>
      </c>
      <c r="C24" s="8" t="inlineStr"/>
      <c r="D24" s="8" t="inlineStr"/>
      <c r="E24" s="8" t="inlineStr"/>
      <c r="F24" s="8" t="inlineStr"/>
      <c r="G24" s="8" t="inlineStr"/>
      <c r="H24" s="8" t="inlineStr"/>
      <c r="I24" s="8" t="inlineStr"/>
      <c r="J24" s="8" t="inlineStr"/>
      <c r="K24" s="8" t="inlineStr"/>
      <c r="L24" s="8" t="inlineStr"/>
      <c r="M24" s="8" t="inlineStr"/>
      <c r="N24" s="8" t="inlineStr"/>
      <c r="O24" s="8" t="inlineStr"/>
      <c r="P24" s="8" t="inlineStr"/>
      <c r="Q24" s="8" t="inlineStr"/>
      <c r="R24" s="8" t="inlineStr"/>
      <c r="S24" s="8" t="inlineStr"/>
      <c r="T24" s="8" t="inlineStr"/>
      <c r="U24" s="8" t="inlineStr"/>
      <c r="V24" s="8" t="inlineStr"/>
      <c r="W24" s="8" t="inlineStr"/>
      <c r="X24" s="8" t="inlineStr"/>
    </row>
    <row r="25">
      <c r="A25" s="8" t="inlineStr">
        <is>
          <t>Tổng hợp kinh phí hạng mục</t>
        </is>
      </c>
      <c r="B25" s="8" t="inlineStr">
        <is>
          <t>BẢNG TỔNG HỢP DỰ TOÁN CHI PHÍ XÂY DỰNG</t>
        </is>
      </c>
      <c r="C25" s="8" t="inlineStr"/>
      <c r="D25" s="8" t="inlineStr"/>
      <c r="E25" s="8" t="inlineStr"/>
      <c r="F25" s="8" t="inlineStr"/>
      <c r="G25" s="8" t="inlineStr"/>
      <c r="H25" s="8" t="inlineStr"/>
      <c r="I25" s="8" t="inlineStr"/>
      <c r="J25" s="8" t="inlineStr"/>
      <c r="K25" s="8" t="inlineStr"/>
      <c r="L25" s="8" t="inlineStr"/>
      <c r="M25" s="8" t="inlineStr"/>
      <c r="N25" s="8" t="inlineStr"/>
      <c r="O25" s="8" t="inlineStr"/>
      <c r="P25" s="8" t="inlineStr"/>
      <c r="Q25" s="8" t="inlineStr"/>
      <c r="R25" s="8" t="inlineStr"/>
      <c r="S25" s="8" t="inlineStr"/>
      <c r="T25" s="8" t="inlineStr"/>
      <c r="U25" s="8" t="inlineStr"/>
      <c r="V25" s="8" t="inlineStr"/>
      <c r="W25" s="8" t="inlineStr"/>
      <c r="X25" s="8" t="inlineStr"/>
    </row>
    <row r="26">
      <c r="A26" s="8" t="inlineStr">
        <is>
          <t>Tổng hợp chi phí thiết bị</t>
        </is>
      </c>
      <c r="B26" s="8" t="inlineStr">
        <is>
          <t>BẢNG TỔNG HỢP CHI PHÍ THIẾT BỊ CÔNG TRÌNH</t>
        </is>
      </c>
      <c r="C26" s="8" t="inlineStr"/>
      <c r="D26" s="8" t="inlineStr"/>
      <c r="E26" s="8" t="inlineStr"/>
      <c r="F26" s="8" t="inlineStr"/>
      <c r="G26" s="8" t="inlineStr"/>
      <c r="H26" s="8" t="inlineStr"/>
      <c r="I26" s="8" t="inlineStr"/>
      <c r="J26" s="8" t="inlineStr"/>
      <c r="K26" s="8" t="inlineStr"/>
      <c r="L26" s="8" t="inlineStr"/>
      <c r="M26" s="8" t="inlineStr"/>
      <c r="N26" s="8" t="inlineStr"/>
      <c r="O26" s="8" t="inlineStr"/>
      <c r="P26" s="8" t="inlineStr"/>
      <c r="Q26" s="8" t="inlineStr"/>
      <c r="R26" s="8" t="inlineStr"/>
      <c r="S26" s="8" t="inlineStr"/>
      <c r="T26" s="8" t="inlineStr"/>
      <c r="U26" s="8" t="inlineStr"/>
      <c r="V26" s="8" t="inlineStr"/>
      <c r="W26" s="8" t="inlineStr"/>
      <c r="X26" s="8" t="inlineStr"/>
    </row>
    <row r="27">
      <c r="A27" s="8" t="inlineStr">
        <is>
          <t>Tổng hợp chi phí XD</t>
        </is>
      </c>
      <c r="B27" s="8" t="inlineStr">
        <is>
          <t>BẢNG TỔNG HỢP CHI PHÍ XÂY DỰNG CÔNG TRÌNH</t>
        </is>
      </c>
      <c r="C27" s="8" t="inlineStr"/>
      <c r="D27" s="8" t="inlineStr"/>
      <c r="E27" s="8" t="inlineStr"/>
      <c r="F27" s="8" t="inlineStr"/>
      <c r="G27" s="8" t="inlineStr"/>
      <c r="H27" s="8" t="inlineStr"/>
      <c r="I27" s="8" t="inlineStr"/>
      <c r="J27" s="8" t="inlineStr"/>
      <c r="K27" s="8" t="inlineStr"/>
      <c r="L27" s="8" t="inlineStr"/>
      <c r="M27" s="8" t="inlineStr"/>
      <c r="N27" s="8" t="inlineStr"/>
      <c r="O27" s="8" t="inlineStr"/>
      <c r="P27" s="8" t="inlineStr"/>
      <c r="Q27" s="8" t="inlineStr"/>
      <c r="R27" s="8" t="inlineStr"/>
      <c r="S27" s="8" t="inlineStr"/>
      <c r="T27" s="8" t="inlineStr"/>
      <c r="U27" s="8" t="inlineStr"/>
      <c r="V27" s="8" t="inlineStr"/>
      <c r="W27" s="8" t="inlineStr"/>
      <c r="X27" s="8" t="inlineStr"/>
    </row>
    <row r="28">
      <c r="A28" s="8" t="inlineStr">
        <is>
          <t>Tổng hợp kinh phí</t>
        </is>
      </c>
      <c r="B28" s="8" t="inlineStr">
        <is>
          <t>BẢNG TỔNG HỢP DỰ TOÁN CÔNG TRÌNH</t>
        </is>
      </c>
      <c r="C28" s="8" t="inlineStr"/>
      <c r="D28" s="8" t="inlineStr"/>
      <c r="E28" s="8" t="inlineStr"/>
      <c r="F28" s="8" t="inlineStr"/>
      <c r="G28" s="8" t="inlineStr"/>
      <c r="H28" s="8" t="inlineStr"/>
      <c r="I28" s="8" t="inlineStr"/>
      <c r="J28" s="8" t="inlineStr"/>
      <c r="K28" s="8" t="inlineStr"/>
      <c r="L28" s="8" t="inlineStr"/>
      <c r="M28" s="8" t="inlineStr"/>
      <c r="N28" s="8" t="inlineStr"/>
      <c r="O28" s="8" t="inlineStr"/>
      <c r="P28" s="8" t="inlineStr"/>
      <c r="Q28" s="8" t="inlineStr"/>
      <c r="R28" s="8" t="inlineStr"/>
      <c r="S28" s="8" t="inlineStr"/>
      <c r="T28" s="8" t="inlineStr"/>
      <c r="U28" s="8" t="inlineStr"/>
      <c r="V28" s="8" t="inlineStr"/>
      <c r="W28" s="8" t="inlineStr"/>
      <c r="X28" s="8" t="inlineStr"/>
    </row>
    <row r="29">
      <c r="A29" s="8" t="inlineStr">
        <is>
          <t>Chiết tính</t>
        </is>
      </c>
      <c r="B29" s="8" t="inlineStr">
        <is>
          <t>BẢNG CHIẾT TÍNH DỰ THẦU HẠNG MỤC CÔNG TRÌNH</t>
        </is>
      </c>
      <c r="C29" s="8" t="inlineStr"/>
      <c r="D29" s="8" t="inlineStr"/>
      <c r="E29" s="8" t="inlineStr"/>
      <c r="F29" s="8" t="inlineStr"/>
      <c r="G29" s="8" t="inlineStr"/>
      <c r="H29" s="8" t="inlineStr"/>
      <c r="I29" s="8" t="inlineStr"/>
      <c r="J29" s="8" t="inlineStr"/>
      <c r="K29" s="8" t="inlineStr"/>
      <c r="L29" s="8" t="inlineStr"/>
      <c r="M29" s="8" t="inlineStr"/>
      <c r="N29" s="8" t="inlineStr"/>
      <c r="O29" s="8" t="inlineStr"/>
      <c r="P29" s="8" t="inlineStr"/>
      <c r="Q29" s="8" t="inlineStr"/>
      <c r="R29" s="8" t="inlineStr"/>
      <c r="S29" s="8" t="inlineStr"/>
      <c r="T29" s="8" t="inlineStr"/>
      <c r="U29" s="8" t="inlineStr"/>
      <c r="V29" s="8" t="inlineStr"/>
      <c r="W29" s="8" t="inlineStr"/>
      <c r="X29" s="8" t="inlineStr"/>
    </row>
    <row r="30">
      <c r="A30" s="8" t="inlineStr">
        <is>
          <t>Dự thầu</t>
        </is>
      </c>
      <c r="B30" s="8" t="inlineStr">
        <is>
          <t>BẢNG ĐƠN GIÁ DỰ THẦU HẠNG MỤC CÔNG TRÌNH</t>
        </is>
      </c>
      <c r="C30" s="8" t="inlineStr"/>
      <c r="D30" s="8" t="inlineStr"/>
      <c r="E30" s="8" t="inlineStr"/>
      <c r="F30" s="8" t="inlineStr"/>
      <c r="G30" s="8" t="inlineStr"/>
      <c r="H30" s="8" t="inlineStr"/>
      <c r="I30" s="8" t="inlineStr"/>
      <c r="J30" s="8" t="inlineStr"/>
      <c r="K30" s="8" t="inlineStr"/>
      <c r="L30" s="8" t="inlineStr"/>
      <c r="M30" s="8" t="inlineStr"/>
      <c r="N30" s="8" t="inlineStr"/>
      <c r="O30" s="8" t="inlineStr"/>
      <c r="P30" s="8" t="inlineStr"/>
      <c r="Q30" s="8" t="inlineStr"/>
      <c r="R30" s="8" t="inlineStr"/>
      <c r="S30" s="8" t="inlineStr"/>
      <c r="T30" s="8" t="inlineStr"/>
      <c r="U30" s="8" t="inlineStr"/>
      <c r="V30" s="8" t="inlineStr"/>
      <c r="W30" s="8" t="inlineStr"/>
      <c r="X30" s="8" t="inlineStr"/>
    </row>
    <row r="31">
      <c r="A31" s="8" t="inlineStr">
        <is>
          <t>Bìa</t>
        </is>
      </c>
      <c r="B31" s="8" t="inlineStr">
        <is>
          <t>HỒ SƠ DỰ TOÁN</t>
        </is>
      </c>
      <c r="C31" s="8" t="inlineStr"/>
      <c r="D31" s="8" t="inlineStr"/>
      <c r="E31" s="8" t="inlineStr"/>
      <c r="F31" s="8" t="inlineStr"/>
      <c r="G31" s="8" t="inlineStr"/>
      <c r="H31" s="8" t="inlineStr"/>
      <c r="I31" s="8" t="inlineStr"/>
      <c r="J31" s="8" t="inlineStr"/>
      <c r="K31" s="8" t="inlineStr"/>
      <c r="L31" s="8" t="inlineStr"/>
      <c r="M31" s="8" t="inlineStr"/>
      <c r="N31" s="8" t="inlineStr"/>
      <c r="O31" s="8" t="inlineStr"/>
      <c r="P31" s="8" t="inlineStr"/>
      <c r="Q31" s="8" t="inlineStr"/>
      <c r="R31" s="8" t="inlineStr"/>
      <c r="S31" s="8" t="inlineStr"/>
      <c r="T31" s="8" t="inlineStr"/>
      <c r="U31" s="8" t="inlineStr"/>
      <c r="V31" s="8" t="inlineStr"/>
      <c r="W31" s="8" t="inlineStr"/>
      <c r="X31" s="8" t="inlineStr"/>
    </row>
    <row r="32">
      <c r="A32" s="8" t="inlineStr">
        <is>
          <t>Đơn giá Tổng hợp</t>
        </is>
      </c>
      <c r="B32" s="8" t="inlineStr">
        <is>
          <t>BẢNG ĐƠN GIÁ TỔNG HỢP HẠNG MỤC CÔNG TRÌNH</t>
        </is>
      </c>
      <c r="C32" s="8" t="inlineStr"/>
      <c r="D32" s="8" t="inlineStr"/>
      <c r="E32" s="8" t="inlineStr"/>
      <c r="F32" s="8" t="inlineStr"/>
      <c r="G32" s="8" t="inlineStr"/>
      <c r="H32" s="8" t="inlineStr"/>
      <c r="I32" s="8" t="inlineStr"/>
      <c r="J32" s="8" t="inlineStr"/>
      <c r="K32" s="8" t="inlineStr"/>
      <c r="L32" s="8" t="inlineStr"/>
      <c r="M32" s="8" t="inlineStr"/>
      <c r="N32" s="8" t="inlineStr"/>
      <c r="O32" s="8" t="inlineStr"/>
      <c r="P32" s="8" t="inlineStr"/>
      <c r="Q32" s="8" t="inlineStr"/>
      <c r="R32" s="8" t="inlineStr"/>
      <c r="S32" s="8" t="inlineStr"/>
      <c r="T32" s="8" t="inlineStr"/>
      <c r="U32" s="8" t="inlineStr"/>
      <c r="V32" s="8" t="inlineStr"/>
      <c r="W32" s="8" t="inlineStr"/>
      <c r="X32" s="8" t="inlineStr"/>
    </row>
    <row r="33">
      <c r="A33" s="8" t="inlineStr">
        <is>
          <t>Phông chữ sheet Tiên lượng</t>
        </is>
      </c>
      <c r="B33" s="8" t="inlineStr"/>
      <c r="C33" s="8" t="inlineStr"/>
      <c r="D33" s="8" t="inlineStr"/>
      <c r="E33" s="8" t="inlineStr"/>
      <c r="F33" s="8" t="inlineStr"/>
      <c r="G33" s="8" t="inlineStr"/>
      <c r="H33" s="8" t="inlineStr"/>
      <c r="I33" s="8" t="inlineStr"/>
      <c r="J33" s="8" t="inlineStr"/>
      <c r="K33" s="8" t="inlineStr"/>
      <c r="L33" s="8" t="inlineStr"/>
      <c r="M33" s="8" t="inlineStr"/>
      <c r="N33" s="8" t="inlineStr"/>
      <c r="O33" s="8" t="inlineStr"/>
      <c r="P33" s="8" t="inlineStr"/>
      <c r="Q33" s="8" t="inlineStr"/>
      <c r="R33" s="8" t="inlineStr"/>
      <c r="S33" s="8" t="inlineStr"/>
      <c r="T33" s="8" t="inlineStr"/>
      <c r="U33" s="8" t="inlineStr"/>
      <c r="V33" s="8" t="inlineStr"/>
      <c r="W33" s="8" t="inlineStr"/>
      <c r="X33" s="8" t="inlineStr"/>
    </row>
    <row r="34">
      <c r="A34" s="8" t="inlineStr">
        <is>
          <t>Thành phần</t>
        </is>
      </c>
      <c r="B34" s="8" t="inlineStr">
        <is>
          <t>Tên phông chữ</t>
        </is>
      </c>
      <c r="C34" s="8" t="inlineStr">
        <is>
          <t>Cỡ chữ</t>
        </is>
      </c>
      <c r="D34" s="8" t="inlineStr">
        <is>
          <t>Bold</t>
        </is>
      </c>
      <c r="E34" s="8" t="inlineStr">
        <is>
          <t>Italic</t>
        </is>
      </c>
      <c r="F34" s="8" t="inlineStr">
        <is>
          <t>Underline</t>
        </is>
      </c>
      <c r="G34" s="8" t="inlineStr">
        <is>
          <t>Strikeout</t>
        </is>
      </c>
      <c r="H34" s="8" t="inlineStr"/>
      <c r="I34" s="8" t="inlineStr"/>
      <c r="J34" s="8" t="inlineStr"/>
      <c r="K34" s="8" t="inlineStr"/>
      <c r="L34" s="8" t="inlineStr"/>
      <c r="M34" s="8" t="inlineStr"/>
      <c r="N34" s="8" t="inlineStr"/>
      <c r="O34" s="8" t="inlineStr"/>
      <c r="P34" s="8" t="inlineStr"/>
      <c r="Q34" s="8" t="inlineStr"/>
      <c r="R34" s="8" t="inlineStr"/>
      <c r="S34" s="8" t="inlineStr"/>
      <c r="T34" s="8" t="inlineStr"/>
      <c r="U34" s="8" t="inlineStr"/>
      <c r="V34" s="8" t="inlineStr"/>
      <c r="W34" s="8" t="inlineStr"/>
      <c r="X34" s="8" t="inlineStr"/>
    </row>
    <row r="35">
      <c r="A35" s="8" t="inlineStr">
        <is>
          <t>Công tác</t>
        </is>
      </c>
      <c r="B35" s="8" t="inlineStr">
        <is>
          <t>Arial</t>
        </is>
      </c>
      <c r="C35" s="8" t="inlineStr">
        <is>
          <t>10</t>
        </is>
      </c>
      <c r="D35" s="8" t="inlineStr">
        <is>
          <t>0</t>
        </is>
      </c>
      <c r="E35" s="8" t="inlineStr">
        <is>
          <t>0</t>
        </is>
      </c>
      <c r="F35" s="8" t="inlineStr">
        <is>
          <t>0</t>
        </is>
      </c>
      <c r="G35" s="8" t="inlineStr">
        <is>
          <t>0</t>
        </is>
      </c>
      <c r="H35" s="8" t="inlineStr"/>
      <c r="I35" s="8" t="inlineStr"/>
      <c r="J35" s="8" t="inlineStr"/>
      <c r="K35" s="8" t="inlineStr"/>
      <c r="L35" s="8" t="inlineStr"/>
      <c r="M35" s="8" t="inlineStr"/>
      <c r="N35" s="8" t="inlineStr"/>
      <c r="O35" s="8" t="inlineStr"/>
      <c r="P35" s="8" t="inlineStr"/>
      <c r="Q35" s="8" t="inlineStr"/>
      <c r="R35" s="8" t="inlineStr"/>
      <c r="S35" s="8" t="inlineStr"/>
      <c r="T35" s="8" t="inlineStr"/>
      <c r="U35" s="8" t="inlineStr"/>
      <c r="V35" s="8" t="inlineStr"/>
      <c r="W35" s="8" t="inlineStr"/>
      <c r="X35" s="8" t="inlineStr"/>
    </row>
    <row r="36">
      <c r="A36" s="8" t="inlineStr">
        <is>
          <t>Diễn giải</t>
        </is>
      </c>
      <c r="B36" s="8" t="inlineStr">
        <is>
          <t>Arial</t>
        </is>
      </c>
      <c r="C36" s="8" t="inlineStr">
        <is>
          <t>10</t>
        </is>
      </c>
      <c r="D36" s="8" t="inlineStr">
        <is>
          <t>0</t>
        </is>
      </c>
      <c r="E36" s="8" t="inlineStr">
        <is>
          <t>1</t>
        </is>
      </c>
      <c r="F36" s="8" t="inlineStr">
        <is>
          <t>0</t>
        </is>
      </c>
      <c r="G36" s="8" t="inlineStr">
        <is>
          <t>0</t>
        </is>
      </c>
      <c r="H36" s="8" t="inlineStr"/>
      <c r="I36" s="8" t="inlineStr"/>
      <c r="J36" s="8" t="inlineStr"/>
      <c r="K36" s="8" t="inlineStr"/>
      <c r="L36" s="8" t="inlineStr"/>
      <c r="M36" s="8" t="inlineStr"/>
      <c r="N36" s="8" t="inlineStr"/>
      <c r="O36" s="8" t="inlineStr"/>
      <c r="P36" s="8" t="inlineStr"/>
      <c r="Q36" s="8" t="inlineStr"/>
      <c r="R36" s="8" t="inlineStr"/>
      <c r="S36" s="8" t="inlineStr"/>
      <c r="T36" s="8" t="inlineStr"/>
      <c r="U36" s="8" t="inlineStr"/>
      <c r="V36" s="8" t="inlineStr"/>
      <c r="W36" s="8" t="inlineStr"/>
      <c r="X36" s="8" t="inlineStr"/>
    </row>
    <row r="37">
      <c r="A37" s="8" t="inlineStr">
        <is>
          <t>Nhóm</t>
        </is>
      </c>
      <c r="B37" s="8" t="inlineStr">
        <is>
          <t>Arial</t>
        </is>
      </c>
      <c r="C37" s="8" t="inlineStr">
        <is>
          <t>10</t>
        </is>
      </c>
      <c r="D37" s="8" t="inlineStr">
        <is>
          <t>1</t>
        </is>
      </c>
      <c r="E37" s="8" t="inlineStr">
        <is>
          <t>0</t>
        </is>
      </c>
      <c r="F37" s="8" t="inlineStr">
        <is>
          <t>0</t>
        </is>
      </c>
      <c r="G37" s="8" t="inlineStr">
        <is>
          <t>0</t>
        </is>
      </c>
      <c r="H37" s="8" t="inlineStr"/>
      <c r="I37" s="8" t="inlineStr"/>
      <c r="J37" s="8" t="inlineStr"/>
      <c r="K37" s="8" t="inlineStr"/>
      <c r="L37" s="8" t="inlineStr"/>
      <c r="M37" s="8" t="inlineStr"/>
      <c r="N37" s="8" t="inlineStr"/>
      <c r="O37" s="8" t="inlineStr"/>
      <c r="P37" s="8" t="inlineStr"/>
      <c r="Q37" s="8" t="inlineStr"/>
      <c r="R37" s="8" t="inlineStr"/>
      <c r="S37" s="8" t="inlineStr"/>
      <c r="T37" s="8" t="inlineStr"/>
      <c r="U37" s="8" t="inlineStr"/>
      <c r="V37" s="8" t="inlineStr"/>
      <c r="W37" s="8" t="inlineStr"/>
      <c r="X37" s="8" t="inlineStr"/>
    </row>
    <row r="38">
      <c r="A38" s="8" t="inlineStr">
        <is>
          <t>Hạng mục</t>
        </is>
      </c>
      <c r="B38" s="8" t="inlineStr">
        <is>
          <t>Times New Roman</t>
        </is>
      </c>
      <c r="C38" s="8" t="inlineStr">
        <is>
          <t>10</t>
        </is>
      </c>
      <c r="D38" s="8" t="inlineStr">
        <is>
          <t>1</t>
        </is>
      </c>
      <c r="E38" s="8" t="inlineStr">
        <is>
          <t>0</t>
        </is>
      </c>
      <c r="F38" s="8" t="inlineStr">
        <is>
          <t>0</t>
        </is>
      </c>
      <c r="G38" s="8" t="inlineStr">
        <is>
          <t>0</t>
        </is>
      </c>
      <c r="H38" s="8" t="inlineStr"/>
      <c r="I38" s="8" t="inlineStr"/>
      <c r="J38" s="8" t="inlineStr"/>
      <c r="K38" s="8" t="inlineStr"/>
      <c r="L38" s="8" t="inlineStr"/>
      <c r="M38" s="8" t="inlineStr"/>
      <c r="N38" s="8" t="inlineStr"/>
      <c r="O38" s="8" t="inlineStr"/>
      <c r="P38" s="8" t="inlineStr"/>
      <c r="Q38" s="8" t="inlineStr"/>
      <c r="R38" s="8" t="inlineStr"/>
      <c r="S38" s="8" t="inlineStr"/>
      <c r="T38" s="8" t="inlineStr"/>
      <c r="U38" s="8" t="inlineStr"/>
      <c r="V38" s="8" t="inlineStr"/>
      <c r="W38" s="8" t="inlineStr"/>
      <c r="X38" s="8" t="inlineStr"/>
    </row>
    <row r="39">
      <c r="A39" s="8" t="inlineStr">
        <is>
          <t>Tiêu đề bảng TL</t>
        </is>
      </c>
      <c r="B39" s="8" t="inlineStr">
        <is>
          <t>Times New Roman</t>
        </is>
      </c>
      <c r="C39" s="8" t="inlineStr">
        <is>
          <t>11</t>
        </is>
      </c>
      <c r="D39" s="8" t="inlineStr">
        <is>
          <t>1</t>
        </is>
      </c>
      <c r="E39" s="8" t="inlineStr">
        <is>
          <t>0</t>
        </is>
      </c>
      <c r="F39" s="8" t="inlineStr">
        <is>
          <t>0</t>
        </is>
      </c>
      <c r="G39" s="8" t="inlineStr">
        <is>
          <t>0</t>
        </is>
      </c>
      <c r="H39" s="8" t="inlineStr"/>
      <c r="I39" s="8" t="inlineStr"/>
      <c r="J39" s="8" t="inlineStr"/>
      <c r="K39" s="8" t="inlineStr"/>
      <c r="L39" s="8" t="inlineStr"/>
      <c r="M39" s="8" t="inlineStr"/>
      <c r="N39" s="8" t="inlineStr"/>
      <c r="O39" s="8" t="inlineStr"/>
      <c r="P39" s="8" t="inlineStr"/>
      <c r="Q39" s="8" t="inlineStr"/>
      <c r="R39" s="8" t="inlineStr"/>
      <c r="S39" s="8" t="inlineStr"/>
      <c r="T39" s="8" t="inlineStr"/>
      <c r="U39" s="8" t="inlineStr"/>
      <c r="V39" s="8" t="inlineStr"/>
      <c r="W39" s="8" t="inlineStr"/>
      <c r="X39" s="8" t="inlineStr"/>
    </row>
    <row r="40">
      <c r="A40" s="8" t="inlineStr">
        <is>
          <t>Tên hạng mục</t>
        </is>
      </c>
      <c r="B40" s="8" t="inlineStr">
        <is>
          <t>Times New Roman</t>
        </is>
      </c>
      <c r="C40" s="8" t="inlineStr">
        <is>
          <t>11</t>
        </is>
      </c>
      <c r="D40" s="8" t="inlineStr">
        <is>
          <t>1</t>
        </is>
      </c>
      <c r="E40" s="8" t="inlineStr">
        <is>
          <t>0</t>
        </is>
      </c>
      <c r="F40" s="8" t="inlineStr">
        <is>
          <t>0</t>
        </is>
      </c>
      <c r="G40" s="8" t="inlineStr">
        <is>
          <t>0</t>
        </is>
      </c>
      <c r="H40" s="8" t="inlineStr"/>
      <c r="I40" s="8" t="inlineStr"/>
      <c r="J40" s="8" t="inlineStr"/>
      <c r="K40" s="8" t="inlineStr"/>
      <c r="L40" s="8" t="inlineStr"/>
      <c r="M40" s="8" t="inlineStr"/>
      <c r="N40" s="8" t="inlineStr"/>
      <c r="O40" s="8" t="inlineStr"/>
      <c r="P40" s="8" t="inlineStr"/>
      <c r="Q40" s="8" t="inlineStr"/>
      <c r="R40" s="8" t="inlineStr"/>
      <c r="S40" s="8" t="inlineStr"/>
      <c r="T40" s="8" t="inlineStr"/>
      <c r="U40" s="8" t="inlineStr"/>
      <c r="V40" s="8" t="inlineStr"/>
      <c r="W40" s="8" t="inlineStr"/>
      <c r="X40" s="8" t="inlineStr"/>
    </row>
    <row r="41">
      <c r="A41" s="8" t="inlineStr">
        <is>
          <t>Tên công trình</t>
        </is>
      </c>
      <c r="B41" s="8" t="inlineStr">
        <is>
          <t>Times New Roman</t>
        </is>
      </c>
      <c r="C41" s="8" t="inlineStr">
        <is>
          <t>12</t>
        </is>
      </c>
      <c r="D41" s="8" t="inlineStr">
        <is>
          <t>1</t>
        </is>
      </c>
      <c r="E41" s="8" t="inlineStr">
        <is>
          <t>0</t>
        </is>
      </c>
      <c r="F41" s="8" t="inlineStr">
        <is>
          <t>0</t>
        </is>
      </c>
      <c r="G41" s="8" t="inlineStr">
        <is>
          <t>0</t>
        </is>
      </c>
      <c r="H41" s="8" t="inlineStr"/>
      <c r="I41" s="8" t="inlineStr"/>
      <c r="J41" s="8" t="inlineStr"/>
      <c r="K41" s="8" t="inlineStr"/>
      <c r="L41" s="8" t="inlineStr"/>
      <c r="M41" s="8" t="inlineStr"/>
      <c r="N41" s="8" t="inlineStr"/>
      <c r="O41" s="8" t="inlineStr"/>
      <c r="P41" s="8" t="inlineStr"/>
      <c r="Q41" s="8" t="inlineStr"/>
      <c r="R41" s="8" t="inlineStr"/>
      <c r="S41" s="8" t="inlineStr"/>
      <c r="T41" s="8" t="inlineStr"/>
      <c r="U41" s="8" t="inlineStr"/>
      <c r="V41" s="8" t="inlineStr"/>
      <c r="W41" s="8" t="inlineStr"/>
      <c r="X41" s="8" t="inlineStr"/>
    </row>
    <row r="42">
      <c r="A42" s="8" t="inlineStr">
        <is>
          <t>Tên bảng</t>
        </is>
      </c>
      <c r="B42" s="8" t="inlineStr">
        <is>
          <t>Times New Roman</t>
        </is>
      </c>
      <c r="C42" s="8" t="inlineStr">
        <is>
          <t>15</t>
        </is>
      </c>
      <c r="D42" s="8" t="inlineStr">
        <is>
          <t>1</t>
        </is>
      </c>
      <c r="E42" s="8" t="inlineStr">
        <is>
          <t>0</t>
        </is>
      </c>
      <c r="F42" s="8" t="inlineStr">
        <is>
          <t>0</t>
        </is>
      </c>
      <c r="G42" s="8" t="inlineStr">
        <is>
          <t>0</t>
        </is>
      </c>
      <c r="H42" s="8" t="inlineStr"/>
      <c r="I42" s="8" t="inlineStr"/>
      <c r="J42" s="8" t="inlineStr"/>
      <c r="K42" s="8" t="inlineStr"/>
      <c r="L42" s="8" t="inlineStr"/>
      <c r="M42" s="8" t="inlineStr"/>
      <c r="N42" s="8" t="inlineStr"/>
      <c r="O42" s="8" t="inlineStr"/>
      <c r="P42" s="8" t="inlineStr"/>
      <c r="Q42" s="8" t="inlineStr"/>
      <c r="R42" s="8" t="inlineStr"/>
      <c r="S42" s="8" t="inlineStr"/>
      <c r="T42" s="8" t="inlineStr"/>
      <c r="U42" s="8" t="inlineStr"/>
      <c r="V42" s="8" t="inlineStr"/>
      <c r="W42" s="8" t="inlineStr"/>
      <c r="X42" s="8" t="inlineStr"/>
    </row>
    <row r="43">
      <c r="A43" s="8" t="inlineStr">
        <is>
          <t>Màu sắc sheet Tiên lượng</t>
        </is>
      </c>
      <c r="B43" s="8" t="inlineStr"/>
      <c r="C43" s="8" t="inlineStr"/>
      <c r="D43" s="8" t="inlineStr"/>
      <c r="E43" s="8" t="inlineStr"/>
      <c r="F43" s="8" t="inlineStr"/>
      <c r="G43" s="8" t="inlineStr"/>
      <c r="H43" s="8" t="inlineStr"/>
      <c r="I43" s="8" t="inlineStr"/>
      <c r="J43" s="8" t="inlineStr"/>
      <c r="K43" s="8" t="inlineStr"/>
      <c r="L43" s="8" t="inlineStr"/>
      <c r="M43" s="8" t="inlineStr"/>
      <c r="N43" s="8" t="inlineStr"/>
      <c r="O43" s="8" t="inlineStr"/>
      <c r="P43" s="8" t="inlineStr"/>
      <c r="Q43" s="8" t="inlineStr"/>
      <c r="R43" s="8" t="inlineStr"/>
      <c r="S43" s="8" t="inlineStr"/>
      <c r="T43" s="8" t="inlineStr"/>
      <c r="U43" s="8" t="inlineStr"/>
      <c r="V43" s="8" t="inlineStr"/>
      <c r="W43" s="8" t="inlineStr"/>
      <c r="X43" s="8" t="inlineStr"/>
    </row>
    <row r="44">
      <c r="A44" s="8" t="inlineStr">
        <is>
          <t>Thành phần</t>
        </is>
      </c>
      <c r="B44" s="8" t="inlineStr">
        <is>
          <t>A</t>
        </is>
      </c>
      <c r="C44" s="8" t="inlineStr">
        <is>
          <t>R</t>
        </is>
      </c>
      <c r="D44" s="8" t="inlineStr">
        <is>
          <t>G</t>
        </is>
      </c>
      <c r="E44" s="8" t="inlineStr">
        <is>
          <t>B</t>
        </is>
      </c>
      <c r="F44" s="8" t="inlineStr"/>
      <c r="G44" s="8" t="inlineStr"/>
      <c r="H44" s="8" t="inlineStr"/>
      <c r="I44" s="8" t="inlineStr"/>
      <c r="J44" s="8" t="inlineStr"/>
      <c r="K44" s="8" t="inlineStr"/>
      <c r="L44" s="8" t="inlineStr"/>
      <c r="M44" s="8" t="inlineStr"/>
      <c r="N44" s="8" t="inlineStr"/>
      <c r="O44" s="8" t="inlineStr"/>
      <c r="P44" s="8" t="inlineStr"/>
      <c r="Q44" s="8" t="inlineStr"/>
      <c r="R44" s="8" t="inlineStr"/>
      <c r="S44" s="8" t="inlineStr"/>
      <c r="T44" s="8" t="inlineStr"/>
      <c r="U44" s="8" t="inlineStr"/>
      <c r="V44" s="8" t="inlineStr"/>
      <c r="W44" s="8" t="inlineStr"/>
      <c r="X44" s="8" t="inlineStr"/>
    </row>
    <row r="45">
      <c r="A45" s="8" t="inlineStr">
        <is>
          <t>Công tác</t>
        </is>
      </c>
      <c r="B45" s="8" t="inlineStr">
        <is>
          <t>255</t>
        </is>
      </c>
      <c r="C45" s="8" t="inlineStr">
        <is>
          <t>0</t>
        </is>
      </c>
      <c r="D45" s="8" t="inlineStr">
        <is>
          <t>0</t>
        </is>
      </c>
      <c r="E45" s="8" t="inlineStr">
        <is>
          <t>0</t>
        </is>
      </c>
      <c r="F45" s="8" t="inlineStr"/>
      <c r="G45" s="8" t="inlineStr"/>
      <c r="H45" s="8" t="inlineStr"/>
      <c r="I45" s="8" t="inlineStr"/>
      <c r="J45" s="8" t="inlineStr"/>
      <c r="K45" s="8" t="inlineStr"/>
      <c r="L45" s="8" t="inlineStr"/>
      <c r="M45" s="8" t="inlineStr"/>
      <c r="N45" s="8" t="inlineStr"/>
      <c r="O45" s="8" t="inlineStr"/>
      <c r="P45" s="8" t="inlineStr"/>
      <c r="Q45" s="8" t="inlineStr"/>
      <c r="R45" s="8" t="inlineStr"/>
      <c r="S45" s="8" t="inlineStr"/>
      <c r="T45" s="8" t="inlineStr"/>
      <c r="U45" s="8" t="inlineStr"/>
      <c r="V45" s="8" t="inlineStr"/>
      <c r="W45" s="8" t="inlineStr"/>
      <c r="X45" s="8" t="inlineStr"/>
    </row>
    <row r="46">
      <c r="A46" s="8" t="inlineStr">
        <is>
          <t>Diễn giải</t>
        </is>
      </c>
      <c r="B46" s="8" t="inlineStr">
        <is>
          <t>255</t>
        </is>
      </c>
      <c r="C46" s="8" t="inlineStr">
        <is>
          <t>0</t>
        </is>
      </c>
      <c r="D46" s="8" t="inlineStr">
        <is>
          <t>0</t>
        </is>
      </c>
      <c r="E46" s="8" t="inlineStr">
        <is>
          <t>255</t>
        </is>
      </c>
      <c r="F46" s="8" t="inlineStr"/>
      <c r="G46" s="8" t="inlineStr"/>
      <c r="H46" s="8" t="inlineStr"/>
      <c r="I46" s="8" t="inlineStr"/>
      <c r="J46" s="8" t="inlineStr"/>
      <c r="K46" s="8" t="inlineStr"/>
      <c r="L46" s="8" t="inlineStr"/>
      <c r="M46" s="8" t="inlineStr"/>
      <c r="N46" s="8" t="inlineStr"/>
      <c r="O46" s="8" t="inlineStr"/>
      <c r="P46" s="8" t="inlineStr"/>
      <c r="Q46" s="8" t="inlineStr"/>
      <c r="R46" s="8" t="inlineStr"/>
      <c r="S46" s="8" t="inlineStr"/>
      <c r="T46" s="8" t="inlineStr"/>
      <c r="U46" s="8" t="inlineStr"/>
      <c r="V46" s="8" t="inlineStr"/>
      <c r="W46" s="8" t="inlineStr"/>
      <c r="X46" s="8" t="inlineStr"/>
    </row>
    <row r="47">
      <c r="A47" s="8" t="inlineStr">
        <is>
          <t>Diễn giải lỗi</t>
        </is>
      </c>
      <c r="B47" s="8" t="inlineStr">
        <is>
          <t>255</t>
        </is>
      </c>
      <c r="C47" s="8" t="inlineStr">
        <is>
          <t>255</t>
        </is>
      </c>
      <c r="D47" s="8" t="inlineStr">
        <is>
          <t>0</t>
        </is>
      </c>
      <c r="E47" s="8" t="inlineStr">
        <is>
          <t>0</t>
        </is>
      </c>
      <c r="F47" s="8" t="inlineStr"/>
      <c r="G47" s="8" t="inlineStr"/>
      <c r="H47" s="8" t="inlineStr"/>
      <c r="I47" s="8" t="inlineStr"/>
      <c r="J47" s="8" t="inlineStr"/>
      <c r="K47" s="8" t="inlineStr"/>
      <c r="L47" s="8" t="inlineStr"/>
      <c r="M47" s="8" t="inlineStr"/>
      <c r="N47" s="8" t="inlineStr"/>
      <c r="O47" s="8" t="inlineStr"/>
      <c r="P47" s="8" t="inlineStr"/>
      <c r="Q47" s="8" t="inlineStr"/>
      <c r="R47" s="8" t="inlineStr"/>
      <c r="S47" s="8" t="inlineStr"/>
      <c r="T47" s="8" t="inlineStr"/>
      <c r="U47" s="8" t="inlineStr"/>
      <c r="V47" s="8" t="inlineStr"/>
      <c r="W47" s="8" t="inlineStr"/>
      <c r="X47" s="8" t="inlineStr"/>
    </row>
    <row r="48">
      <c r="A48" s="8" t="inlineStr">
        <is>
          <t>Khối lượng</t>
        </is>
      </c>
      <c r="B48" s="8" t="inlineStr">
        <is>
          <t>255</t>
        </is>
      </c>
      <c r="C48" s="8" t="inlineStr">
        <is>
          <t>0</t>
        </is>
      </c>
      <c r="D48" s="8" t="inlineStr">
        <is>
          <t>0</t>
        </is>
      </c>
      <c r="E48" s="8" t="inlineStr">
        <is>
          <t>255</t>
        </is>
      </c>
      <c r="F48" s="8" t="inlineStr"/>
      <c r="G48" s="8" t="inlineStr"/>
      <c r="H48" s="8" t="inlineStr"/>
      <c r="I48" s="8" t="inlineStr"/>
      <c r="J48" s="8" t="inlineStr"/>
      <c r="K48" s="8" t="inlineStr"/>
      <c r="L48" s="8" t="inlineStr"/>
      <c r="M48" s="8" t="inlineStr"/>
      <c r="N48" s="8" t="inlineStr"/>
      <c r="O48" s="8" t="inlineStr"/>
      <c r="P48" s="8" t="inlineStr"/>
      <c r="Q48" s="8" t="inlineStr"/>
      <c r="R48" s="8" t="inlineStr"/>
      <c r="S48" s="8" t="inlineStr"/>
      <c r="T48" s="8" t="inlineStr"/>
      <c r="U48" s="8" t="inlineStr"/>
      <c r="V48" s="8" t="inlineStr"/>
      <c r="W48" s="8" t="inlineStr"/>
      <c r="X48" s="8" t="inlineStr"/>
    </row>
    <row r="49">
      <c r="A49" s="8" t="inlineStr">
        <is>
          <t>Tạm tính</t>
        </is>
      </c>
      <c r="B49" s="8" t="inlineStr">
        <is>
          <t>255</t>
        </is>
      </c>
      <c r="C49" s="8" t="inlineStr">
        <is>
          <t>165</t>
        </is>
      </c>
      <c r="D49" s="8" t="inlineStr">
        <is>
          <t>42</t>
        </is>
      </c>
      <c r="E49" s="8" t="inlineStr">
        <is>
          <t>42</t>
        </is>
      </c>
      <c r="F49" s="8" t="inlineStr"/>
      <c r="G49" s="8" t="inlineStr"/>
      <c r="H49" s="8" t="inlineStr"/>
      <c r="I49" s="8" t="inlineStr"/>
      <c r="J49" s="8" t="inlineStr"/>
      <c r="K49" s="8" t="inlineStr"/>
      <c r="L49" s="8" t="inlineStr"/>
      <c r="M49" s="8" t="inlineStr"/>
      <c r="N49" s="8" t="inlineStr"/>
      <c r="O49" s="8" t="inlineStr"/>
      <c r="P49" s="8" t="inlineStr"/>
      <c r="Q49" s="8" t="inlineStr"/>
      <c r="R49" s="8" t="inlineStr"/>
      <c r="S49" s="8" t="inlineStr"/>
      <c r="T49" s="8" t="inlineStr"/>
      <c r="U49" s="8" t="inlineStr"/>
      <c r="V49" s="8" t="inlineStr"/>
      <c r="W49" s="8" t="inlineStr"/>
      <c r="X49" s="8" t="inlineStr"/>
    </row>
    <row r="50">
      <c r="A50" s="8" t="inlineStr">
        <is>
          <t>Nhóm</t>
        </is>
      </c>
      <c r="B50" s="8" t="inlineStr">
        <is>
          <t>255</t>
        </is>
      </c>
      <c r="C50" s="8" t="inlineStr">
        <is>
          <t>128</t>
        </is>
      </c>
      <c r="D50" s="8" t="inlineStr">
        <is>
          <t>0</t>
        </is>
      </c>
      <c r="E50" s="8" t="inlineStr">
        <is>
          <t>0</t>
        </is>
      </c>
      <c r="F50" s="8" t="inlineStr"/>
      <c r="G50" s="8" t="inlineStr"/>
      <c r="H50" s="8" t="inlineStr"/>
      <c r="I50" s="8" t="inlineStr"/>
      <c r="J50" s="8" t="inlineStr"/>
      <c r="K50" s="8" t="inlineStr"/>
      <c r="L50" s="8" t="inlineStr"/>
      <c r="M50" s="8" t="inlineStr"/>
      <c r="N50" s="8" t="inlineStr"/>
      <c r="O50" s="8" t="inlineStr"/>
      <c r="P50" s="8" t="inlineStr"/>
      <c r="Q50" s="8" t="inlineStr"/>
      <c r="R50" s="8" t="inlineStr"/>
      <c r="S50" s="8" t="inlineStr"/>
      <c r="T50" s="8" t="inlineStr"/>
      <c r="U50" s="8" t="inlineStr"/>
      <c r="V50" s="8" t="inlineStr"/>
      <c r="W50" s="8" t="inlineStr"/>
      <c r="X50" s="8" t="inlineStr"/>
    </row>
    <row r="51">
      <c r="A51" s="8" t="inlineStr">
        <is>
          <t>Hạng mục</t>
        </is>
      </c>
      <c r="B51" s="8" t="inlineStr">
        <is>
          <t>255</t>
        </is>
      </c>
      <c r="C51" s="8" t="inlineStr">
        <is>
          <t>0</t>
        </is>
      </c>
      <c r="D51" s="8" t="inlineStr">
        <is>
          <t>0</t>
        </is>
      </c>
      <c r="E51" s="8" t="inlineStr">
        <is>
          <t>139</t>
        </is>
      </c>
      <c r="F51" s="8" t="inlineStr"/>
      <c r="G51" s="8" t="inlineStr"/>
      <c r="H51" s="8" t="inlineStr"/>
      <c r="I51" s="8" t="inlineStr"/>
      <c r="J51" s="8" t="inlineStr"/>
      <c r="K51" s="8" t="inlineStr"/>
      <c r="L51" s="8" t="inlineStr"/>
      <c r="M51" s="8" t="inlineStr"/>
      <c r="N51" s="8" t="inlineStr"/>
      <c r="O51" s="8" t="inlineStr"/>
      <c r="P51" s="8" t="inlineStr"/>
      <c r="Q51" s="8" t="inlineStr"/>
      <c r="R51" s="8" t="inlineStr"/>
      <c r="S51" s="8" t="inlineStr"/>
      <c r="T51" s="8" t="inlineStr"/>
      <c r="U51" s="8" t="inlineStr"/>
      <c r="V51" s="8" t="inlineStr"/>
      <c r="W51" s="8" t="inlineStr"/>
      <c r="X51" s="8" t="inlineStr"/>
    </row>
    <row r="52">
      <c r="A52" s="8" t="inlineStr">
        <is>
          <t>Phông chữ các bảng khác</t>
        </is>
      </c>
      <c r="B52" s="8" t="inlineStr"/>
      <c r="C52" s="8" t="inlineStr"/>
      <c r="D52" s="8" t="inlineStr"/>
      <c r="E52" s="8" t="inlineStr"/>
      <c r="F52" s="8" t="inlineStr"/>
      <c r="G52" s="8" t="inlineStr"/>
      <c r="H52" s="8" t="inlineStr"/>
      <c r="I52" s="8" t="inlineStr"/>
      <c r="J52" s="8" t="inlineStr"/>
      <c r="K52" s="8" t="inlineStr"/>
      <c r="L52" s="8" t="inlineStr"/>
      <c r="M52" s="8" t="inlineStr"/>
      <c r="N52" s="8" t="inlineStr"/>
      <c r="O52" s="8" t="inlineStr"/>
      <c r="P52" s="8" t="inlineStr"/>
      <c r="Q52" s="8" t="inlineStr"/>
      <c r="R52" s="8" t="inlineStr"/>
      <c r="S52" s="8" t="inlineStr"/>
      <c r="T52" s="8" t="inlineStr"/>
      <c r="U52" s="8" t="inlineStr"/>
      <c r="V52" s="8" t="inlineStr"/>
      <c r="W52" s="8" t="inlineStr"/>
      <c r="X52" s="8" t="inlineStr"/>
    </row>
    <row r="53">
      <c r="A53" s="8" t="inlineStr">
        <is>
          <t>Tên bảng</t>
        </is>
      </c>
      <c r="B53" s="8" t="inlineStr">
        <is>
          <t>Tên phông chữ</t>
        </is>
      </c>
      <c r="C53" s="8" t="inlineStr">
        <is>
          <t>Cỡ chữ</t>
        </is>
      </c>
      <c r="D53" s="8" t="inlineStr">
        <is>
          <t>Bold</t>
        </is>
      </c>
      <c r="E53" s="8" t="inlineStr">
        <is>
          <t>Italic</t>
        </is>
      </c>
      <c r="F53" s="8" t="inlineStr">
        <is>
          <t>Underline</t>
        </is>
      </c>
      <c r="G53" s="8" t="inlineStr">
        <is>
          <t>Strikeout</t>
        </is>
      </c>
      <c r="H53" s="8" t="inlineStr">
        <is>
          <t>Phông chữ tiêu đề bảng</t>
        </is>
      </c>
      <c r="I53" s="8" t="inlineStr">
        <is>
          <t>Cỡ chữ tiêu đề bảng</t>
        </is>
      </c>
      <c r="J53" s="8" t="inlineStr"/>
      <c r="K53" s="8" t="inlineStr"/>
      <c r="L53" s="8" t="inlineStr"/>
      <c r="M53" s="8" t="inlineStr"/>
      <c r="N53" s="8" t="inlineStr"/>
      <c r="O53" s="8" t="inlineStr"/>
      <c r="P53" s="8" t="inlineStr"/>
      <c r="Q53" s="8" t="inlineStr"/>
      <c r="R53" s="8" t="inlineStr"/>
      <c r="S53" s="8" t="inlineStr"/>
      <c r="T53" s="8" t="inlineStr"/>
      <c r="U53" s="8" t="inlineStr"/>
      <c r="V53" s="8" t="inlineStr"/>
      <c r="W53" s="8" t="inlineStr"/>
      <c r="X53" s="8" t="inlineStr"/>
    </row>
    <row r="54">
      <c r="A54" s="8" t="inlineStr">
        <is>
          <t>Giá Tháng</t>
        </is>
      </c>
      <c r="B54" s="8" t="inlineStr">
        <is>
          <t>Arial Narrow</t>
        </is>
      </c>
      <c r="C54" s="8" t="inlineStr">
        <is>
          <t>11</t>
        </is>
      </c>
      <c r="D54" s="8" t="inlineStr">
        <is>
          <t>0</t>
        </is>
      </c>
      <c r="E54" s="8" t="inlineStr">
        <is>
          <t>0</t>
        </is>
      </c>
      <c r="F54" s="8" t="inlineStr">
        <is>
          <t>0</t>
        </is>
      </c>
      <c r="G54" s="8" t="inlineStr">
        <is>
          <t>0</t>
        </is>
      </c>
      <c r="H54" s="8" t="inlineStr">
        <is>
          <t>Times New Roman</t>
        </is>
      </c>
      <c r="I54" s="8" t="inlineStr">
        <is>
          <t>11</t>
        </is>
      </c>
      <c r="J54" s="8" t="inlineStr"/>
      <c r="K54" s="8" t="inlineStr"/>
      <c r="L54" s="8" t="inlineStr"/>
      <c r="M54" s="8" t="inlineStr"/>
      <c r="N54" s="8" t="inlineStr"/>
      <c r="O54" s="8" t="inlineStr"/>
      <c r="P54" s="8" t="inlineStr"/>
      <c r="Q54" s="8" t="inlineStr"/>
      <c r="R54" s="8" t="inlineStr"/>
      <c r="S54" s="8" t="inlineStr"/>
      <c r="T54" s="8" t="inlineStr"/>
      <c r="U54" s="8" t="inlineStr"/>
      <c r="V54" s="8" t="inlineStr"/>
      <c r="W54" s="8" t="inlineStr"/>
      <c r="X54" s="8" t="inlineStr"/>
    </row>
    <row r="55">
      <c r="A55" s="8" t="inlineStr">
        <is>
          <t>Phân tích vật tư</t>
        </is>
      </c>
      <c r="B55" s="8" t="inlineStr">
        <is>
          <t>Arial Narrow</t>
        </is>
      </c>
      <c r="C55" s="8" t="inlineStr">
        <is>
          <t>11</t>
        </is>
      </c>
      <c r="D55" s="8" t="inlineStr">
        <is>
          <t>0</t>
        </is>
      </c>
      <c r="E55" s="8" t="inlineStr">
        <is>
          <t>0</t>
        </is>
      </c>
      <c r="F55" s="8" t="inlineStr">
        <is>
          <t>0</t>
        </is>
      </c>
      <c r="G55" s="8" t="inlineStr">
        <is>
          <t>0</t>
        </is>
      </c>
      <c r="H55" s="8" t="inlineStr">
        <is>
          <t>Times New Roman</t>
        </is>
      </c>
      <c r="I55" s="8" t="inlineStr">
        <is>
          <t>11</t>
        </is>
      </c>
      <c r="J55" s="8" t="inlineStr"/>
      <c r="K55" s="8" t="inlineStr"/>
      <c r="L55" s="8" t="inlineStr"/>
      <c r="M55" s="8" t="inlineStr"/>
      <c r="N55" s="8" t="inlineStr"/>
      <c r="O55" s="8" t="inlineStr"/>
      <c r="P55" s="8" t="inlineStr"/>
      <c r="Q55" s="8" t="inlineStr"/>
      <c r="R55" s="8" t="inlineStr"/>
      <c r="S55" s="8" t="inlineStr"/>
      <c r="T55" s="8" t="inlineStr"/>
      <c r="U55" s="8" t="inlineStr"/>
      <c r="V55" s="8" t="inlineStr"/>
      <c r="W55" s="8" t="inlineStr"/>
      <c r="X55" s="8" t="inlineStr"/>
    </row>
    <row r="56">
      <c r="A56" s="8" t="inlineStr">
        <is>
          <t>Tổng hợp vật tư</t>
        </is>
      </c>
      <c r="B56" s="8" t="inlineStr">
        <is>
          <t>Arial Narrow</t>
        </is>
      </c>
      <c r="C56" s="8" t="inlineStr">
        <is>
          <t>11</t>
        </is>
      </c>
      <c r="D56" s="8" t="inlineStr">
        <is>
          <t>0</t>
        </is>
      </c>
      <c r="E56" s="8" t="inlineStr">
        <is>
          <t>0</t>
        </is>
      </c>
      <c r="F56" s="8" t="inlineStr">
        <is>
          <t>0</t>
        </is>
      </c>
      <c r="G56" s="8" t="inlineStr">
        <is>
          <t>0</t>
        </is>
      </c>
      <c r="H56" s="8" t="inlineStr">
        <is>
          <t>Times New Roman</t>
        </is>
      </c>
      <c r="I56" s="8" t="inlineStr">
        <is>
          <t>11</t>
        </is>
      </c>
      <c r="J56" s="8" t="inlineStr"/>
      <c r="K56" s="8" t="inlineStr"/>
      <c r="L56" s="8" t="inlineStr"/>
      <c r="M56" s="8" t="inlineStr"/>
      <c r="N56" s="8" t="inlineStr"/>
      <c r="O56" s="8" t="inlineStr"/>
      <c r="P56" s="8" t="inlineStr"/>
      <c r="Q56" s="8" t="inlineStr"/>
      <c r="R56" s="8" t="inlineStr"/>
      <c r="S56" s="8" t="inlineStr"/>
      <c r="T56" s="8" t="inlineStr"/>
      <c r="U56" s="8" t="inlineStr"/>
      <c r="V56" s="8" t="inlineStr"/>
      <c r="W56" s="8" t="inlineStr"/>
      <c r="X56" s="8" t="inlineStr"/>
    </row>
    <row r="57">
      <c r="A57" s="8" t="inlineStr">
        <is>
          <t>Cước vận chuyển</t>
        </is>
      </c>
      <c r="B57" s="8" t="inlineStr">
        <is>
          <t>Arial Narrow</t>
        </is>
      </c>
      <c r="C57" s="8" t="inlineStr">
        <is>
          <t>11</t>
        </is>
      </c>
      <c r="D57" s="8" t="inlineStr">
        <is>
          <t>0</t>
        </is>
      </c>
      <c r="E57" s="8" t="inlineStr">
        <is>
          <t>0</t>
        </is>
      </c>
      <c r="F57" s="8" t="inlineStr">
        <is>
          <t>0</t>
        </is>
      </c>
      <c r="G57" s="8" t="inlineStr">
        <is>
          <t>0</t>
        </is>
      </c>
      <c r="H57" s="8" t="inlineStr">
        <is>
          <t>Times New Roman</t>
        </is>
      </c>
      <c r="I57" s="8" t="inlineStr">
        <is>
          <t>11</t>
        </is>
      </c>
      <c r="J57" s="8" t="inlineStr"/>
      <c r="K57" s="8" t="inlineStr"/>
      <c r="L57" s="8" t="inlineStr"/>
      <c r="M57" s="8" t="inlineStr"/>
      <c r="N57" s="8" t="inlineStr"/>
      <c r="O57" s="8" t="inlineStr"/>
      <c r="P57" s="8" t="inlineStr"/>
      <c r="Q57" s="8" t="inlineStr"/>
      <c r="R57" s="8" t="inlineStr"/>
      <c r="S57" s="8" t="inlineStr"/>
      <c r="T57" s="8" t="inlineStr"/>
      <c r="U57" s="8" t="inlineStr"/>
      <c r="V57" s="8" t="inlineStr"/>
      <c r="W57" s="8" t="inlineStr"/>
      <c r="X57" s="8" t="inlineStr"/>
    </row>
    <row r="58">
      <c r="A58" s="8" t="inlineStr">
        <is>
          <t>Cước vận chuyển bình quân</t>
        </is>
      </c>
      <c r="B58" s="8" t="inlineStr">
        <is>
          <t>Arial Narrow</t>
        </is>
      </c>
      <c r="C58" s="8" t="inlineStr">
        <is>
          <t>11</t>
        </is>
      </c>
      <c r="D58" s="8" t="inlineStr">
        <is>
          <t>0</t>
        </is>
      </c>
      <c r="E58" s="8" t="inlineStr">
        <is>
          <t>0</t>
        </is>
      </c>
      <c r="F58" s="8" t="inlineStr">
        <is>
          <t>0</t>
        </is>
      </c>
      <c r="G58" s="8" t="inlineStr">
        <is>
          <t>0</t>
        </is>
      </c>
      <c r="H58" s="8" t="inlineStr">
        <is>
          <t>Times New Roman</t>
        </is>
      </c>
      <c r="I58" s="8" t="inlineStr">
        <is>
          <t>11</t>
        </is>
      </c>
      <c r="J58" s="8" t="inlineStr"/>
      <c r="K58" s="8" t="inlineStr"/>
      <c r="L58" s="8" t="inlineStr"/>
      <c r="M58" s="8" t="inlineStr"/>
      <c r="N58" s="8" t="inlineStr"/>
      <c r="O58" s="8" t="inlineStr"/>
      <c r="P58" s="8" t="inlineStr"/>
      <c r="Q58" s="8" t="inlineStr"/>
      <c r="R58" s="8" t="inlineStr"/>
      <c r="S58" s="8" t="inlineStr"/>
      <c r="T58" s="8" t="inlineStr"/>
      <c r="U58" s="8" t="inlineStr"/>
      <c r="V58" s="8" t="inlineStr"/>
      <c r="W58" s="8" t="inlineStr"/>
      <c r="X58" s="8" t="inlineStr"/>
    </row>
    <row r="59">
      <c r="A59" s="8" t="inlineStr">
        <is>
          <t>Tổng hợp kinh phí hạng mục</t>
        </is>
      </c>
      <c r="B59" s="8" t="inlineStr">
        <is>
          <t>Arial Narrow</t>
        </is>
      </c>
      <c r="C59" s="8" t="inlineStr">
        <is>
          <t>11</t>
        </is>
      </c>
      <c r="D59" s="8" t="inlineStr">
        <is>
          <t>0</t>
        </is>
      </c>
      <c r="E59" s="8" t="inlineStr">
        <is>
          <t>0</t>
        </is>
      </c>
      <c r="F59" s="8" t="inlineStr">
        <is>
          <t>0</t>
        </is>
      </c>
      <c r="G59" s="8" t="inlineStr">
        <is>
          <t>0</t>
        </is>
      </c>
      <c r="H59" s="8" t="inlineStr">
        <is>
          <t>Times New Roman</t>
        </is>
      </c>
      <c r="I59" s="8" t="inlineStr">
        <is>
          <t>11</t>
        </is>
      </c>
      <c r="J59" s="8" t="inlineStr"/>
      <c r="K59" s="8" t="inlineStr"/>
      <c r="L59" s="8" t="inlineStr"/>
      <c r="M59" s="8" t="inlineStr"/>
      <c r="N59" s="8" t="inlineStr"/>
      <c r="O59" s="8" t="inlineStr"/>
      <c r="P59" s="8" t="inlineStr"/>
      <c r="Q59" s="8" t="inlineStr"/>
      <c r="R59" s="8" t="inlineStr"/>
      <c r="S59" s="8" t="inlineStr"/>
      <c r="T59" s="8" t="inlineStr"/>
      <c r="U59" s="8" t="inlineStr"/>
      <c r="V59" s="8" t="inlineStr"/>
      <c r="W59" s="8" t="inlineStr"/>
      <c r="X59" s="8" t="inlineStr"/>
    </row>
    <row r="60">
      <c r="A60" s="8" t="inlineStr">
        <is>
          <t>Tổng hợp chi phí thiết bị</t>
        </is>
      </c>
      <c r="B60" s="8" t="inlineStr">
        <is>
          <t>Arial Narrow</t>
        </is>
      </c>
      <c r="C60" s="8" t="inlineStr">
        <is>
          <t>11</t>
        </is>
      </c>
      <c r="D60" s="8" t="inlineStr">
        <is>
          <t>0</t>
        </is>
      </c>
      <c r="E60" s="8" t="inlineStr">
        <is>
          <t>0</t>
        </is>
      </c>
      <c r="F60" s="8" t="inlineStr">
        <is>
          <t>0</t>
        </is>
      </c>
      <c r="G60" s="8" t="inlineStr">
        <is>
          <t>0</t>
        </is>
      </c>
      <c r="H60" s="8" t="inlineStr">
        <is>
          <t>Times New Roman</t>
        </is>
      </c>
      <c r="I60" s="8" t="inlineStr">
        <is>
          <t>11</t>
        </is>
      </c>
      <c r="J60" s="8" t="inlineStr"/>
      <c r="K60" s="8" t="inlineStr"/>
      <c r="L60" s="8" t="inlineStr"/>
      <c r="M60" s="8" t="inlineStr"/>
      <c r="N60" s="8" t="inlineStr"/>
      <c r="O60" s="8" t="inlineStr"/>
      <c r="P60" s="8" t="inlineStr"/>
      <c r="Q60" s="8" t="inlineStr"/>
      <c r="R60" s="8" t="inlineStr"/>
      <c r="S60" s="8" t="inlineStr"/>
      <c r="T60" s="8" t="inlineStr"/>
      <c r="U60" s="8" t="inlineStr"/>
      <c r="V60" s="8" t="inlineStr"/>
      <c r="W60" s="8" t="inlineStr"/>
      <c r="X60" s="8" t="inlineStr"/>
    </row>
    <row r="61">
      <c r="A61" s="8" t="inlineStr">
        <is>
          <t>Tổng hợp chi phí XD</t>
        </is>
      </c>
      <c r="B61" s="8" t="inlineStr">
        <is>
          <t>Arial Narrow</t>
        </is>
      </c>
      <c r="C61" s="8" t="inlineStr">
        <is>
          <t>11</t>
        </is>
      </c>
      <c r="D61" s="8" t="inlineStr">
        <is>
          <t>0</t>
        </is>
      </c>
      <c r="E61" s="8" t="inlineStr">
        <is>
          <t>0</t>
        </is>
      </c>
      <c r="F61" s="8" t="inlineStr">
        <is>
          <t>0</t>
        </is>
      </c>
      <c r="G61" s="8" t="inlineStr">
        <is>
          <t>0</t>
        </is>
      </c>
      <c r="H61" s="8" t="inlineStr">
        <is>
          <t>Times New Roman</t>
        </is>
      </c>
      <c r="I61" s="8" t="inlineStr">
        <is>
          <t>11</t>
        </is>
      </c>
      <c r="J61" s="8" t="inlineStr"/>
      <c r="K61" s="8" t="inlineStr"/>
      <c r="L61" s="8" t="inlineStr"/>
      <c r="M61" s="8" t="inlineStr"/>
      <c r="N61" s="8" t="inlineStr"/>
      <c r="O61" s="8" t="inlineStr"/>
      <c r="P61" s="8" t="inlineStr"/>
      <c r="Q61" s="8" t="inlineStr"/>
      <c r="R61" s="8" t="inlineStr"/>
      <c r="S61" s="8" t="inlineStr"/>
      <c r="T61" s="8" t="inlineStr"/>
      <c r="U61" s="8" t="inlineStr"/>
      <c r="V61" s="8" t="inlineStr"/>
      <c r="W61" s="8" t="inlineStr"/>
      <c r="X61" s="8" t="inlineStr"/>
    </row>
    <row r="62">
      <c r="A62" s="8" t="inlineStr">
        <is>
          <t>Tổng hợp kinh phí</t>
        </is>
      </c>
      <c r="B62" s="8" t="inlineStr">
        <is>
          <t>Arial Narrow</t>
        </is>
      </c>
      <c r="C62" s="8" t="inlineStr">
        <is>
          <t>11</t>
        </is>
      </c>
      <c r="D62" s="8" t="inlineStr">
        <is>
          <t>0</t>
        </is>
      </c>
      <c r="E62" s="8" t="inlineStr">
        <is>
          <t>0</t>
        </is>
      </c>
      <c r="F62" s="8" t="inlineStr">
        <is>
          <t>0</t>
        </is>
      </c>
      <c r="G62" s="8" t="inlineStr">
        <is>
          <t>0</t>
        </is>
      </c>
      <c r="H62" s="8" t="inlineStr">
        <is>
          <t>Times New Roman</t>
        </is>
      </c>
      <c r="I62" s="8" t="inlineStr">
        <is>
          <t>11</t>
        </is>
      </c>
      <c r="J62" s="8" t="inlineStr"/>
      <c r="K62" s="8" t="inlineStr"/>
      <c r="L62" s="8" t="inlineStr"/>
      <c r="M62" s="8" t="inlineStr"/>
      <c r="N62" s="8" t="inlineStr"/>
      <c r="O62" s="8" t="inlineStr"/>
      <c r="P62" s="8" t="inlineStr"/>
      <c r="Q62" s="8" t="inlineStr"/>
      <c r="R62" s="8" t="inlineStr"/>
      <c r="S62" s="8" t="inlineStr"/>
      <c r="T62" s="8" t="inlineStr"/>
      <c r="U62" s="8" t="inlineStr"/>
      <c r="V62" s="8" t="inlineStr"/>
      <c r="W62" s="8" t="inlineStr"/>
      <c r="X62" s="8" t="inlineStr"/>
    </row>
    <row r="63">
      <c r="A63" s="8" t="inlineStr">
        <is>
          <t>Chiết tính</t>
        </is>
      </c>
      <c r="B63" s="8" t="inlineStr">
        <is>
          <t>Arial Narrow</t>
        </is>
      </c>
      <c r="C63" s="8" t="inlineStr">
        <is>
          <t>11</t>
        </is>
      </c>
      <c r="D63" s="8" t="inlineStr">
        <is>
          <t>0</t>
        </is>
      </c>
      <c r="E63" s="8" t="inlineStr">
        <is>
          <t>0</t>
        </is>
      </c>
      <c r="F63" s="8" t="inlineStr">
        <is>
          <t>0</t>
        </is>
      </c>
      <c r="G63" s="8" t="inlineStr">
        <is>
          <t>0</t>
        </is>
      </c>
      <c r="H63" s="8" t="inlineStr">
        <is>
          <t>Times New Roman</t>
        </is>
      </c>
      <c r="I63" s="8" t="inlineStr">
        <is>
          <t>11</t>
        </is>
      </c>
      <c r="J63" s="8" t="inlineStr"/>
      <c r="K63" s="8" t="inlineStr"/>
      <c r="L63" s="8" t="inlineStr"/>
      <c r="M63" s="8" t="inlineStr"/>
      <c r="N63" s="8" t="inlineStr"/>
      <c r="O63" s="8" t="inlineStr"/>
      <c r="P63" s="8" t="inlineStr"/>
      <c r="Q63" s="8" t="inlineStr"/>
      <c r="R63" s="8" t="inlineStr"/>
      <c r="S63" s="8" t="inlineStr"/>
      <c r="T63" s="8" t="inlineStr"/>
      <c r="U63" s="8" t="inlineStr"/>
      <c r="V63" s="8" t="inlineStr"/>
      <c r="W63" s="8" t="inlineStr"/>
      <c r="X63" s="8" t="inlineStr"/>
    </row>
    <row r="64">
      <c r="A64" s="8" t="inlineStr">
        <is>
          <t>Dự thầu</t>
        </is>
      </c>
      <c r="B64" s="8" t="inlineStr">
        <is>
          <t>Arial Narrow</t>
        </is>
      </c>
      <c r="C64" s="8" t="inlineStr">
        <is>
          <t>11</t>
        </is>
      </c>
      <c r="D64" s="8" t="inlineStr">
        <is>
          <t>0</t>
        </is>
      </c>
      <c r="E64" s="8" t="inlineStr">
        <is>
          <t>0</t>
        </is>
      </c>
      <c r="F64" s="8" t="inlineStr">
        <is>
          <t>0</t>
        </is>
      </c>
      <c r="G64" s="8" t="inlineStr">
        <is>
          <t>0</t>
        </is>
      </c>
      <c r="H64" s="8" t="inlineStr">
        <is>
          <t>Times New Roman</t>
        </is>
      </c>
      <c r="I64" s="8" t="inlineStr">
        <is>
          <t>11</t>
        </is>
      </c>
      <c r="J64" s="8" t="inlineStr"/>
      <c r="K64" s="8" t="inlineStr"/>
      <c r="L64" s="8" t="inlineStr"/>
      <c r="M64" s="8" t="inlineStr"/>
      <c r="N64" s="8" t="inlineStr"/>
      <c r="O64" s="8" t="inlineStr"/>
      <c r="P64" s="8" t="inlineStr"/>
      <c r="Q64" s="8" t="inlineStr"/>
      <c r="R64" s="8" t="inlineStr"/>
      <c r="S64" s="8" t="inlineStr"/>
      <c r="T64" s="8" t="inlineStr"/>
      <c r="U64" s="8" t="inlineStr"/>
      <c r="V64" s="8" t="inlineStr"/>
      <c r="W64" s="8" t="inlineStr"/>
      <c r="X64" s="8" t="inlineStr"/>
    </row>
    <row r="65">
      <c r="A65" s="8" t="inlineStr">
        <is>
          <t>Bìa</t>
        </is>
      </c>
      <c r="B65" s="8" t="inlineStr">
        <is>
          <t>Arial Narrow</t>
        </is>
      </c>
      <c r="C65" s="8" t="inlineStr">
        <is>
          <t>11</t>
        </is>
      </c>
      <c r="D65" s="8" t="inlineStr">
        <is>
          <t>0</t>
        </is>
      </c>
      <c r="E65" s="8" t="inlineStr">
        <is>
          <t>0</t>
        </is>
      </c>
      <c r="F65" s="8" t="inlineStr">
        <is>
          <t>0</t>
        </is>
      </c>
      <c r="G65" s="8" t="inlineStr">
        <is>
          <t>0</t>
        </is>
      </c>
      <c r="H65" s="8" t="inlineStr">
        <is>
          <t>Times New Roman</t>
        </is>
      </c>
      <c r="I65" s="8" t="inlineStr">
        <is>
          <t>11</t>
        </is>
      </c>
      <c r="J65" s="8" t="inlineStr"/>
      <c r="K65" s="8" t="inlineStr"/>
      <c r="L65" s="8" t="inlineStr"/>
      <c r="M65" s="8" t="inlineStr"/>
      <c r="N65" s="8" t="inlineStr"/>
      <c r="O65" s="8" t="inlineStr"/>
      <c r="P65" s="8" t="inlineStr"/>
      <c r="Q65" s="8" t="inlineStr"/>
      <c r="R65" s="8" t="inlineStr"/>
      <c r="S65" s="8" t="inlineStr"/>
      <c r="T65" s="8" t="inlineStr"/>
      <c r="U65" s="8" t="inlineStr"/>
      <c r="V65" s="8" t="inlineStr"/>
      <c r="W65" s="8" t="inlineStr"/>
      <c r="X65" s="8" t="inlineStr"/>
    </row>
    <row r="66">
      <c r="A66" s="8" t="inlineStr">
        <is>
          <t>Đơn giá Tổng hợp</t>
        </is>
      </c>
      <c r="B66" s="8" t="inlineStr">
        <is>
          <t>Arial Narrow</t>
        </is>
      </c>
      <c r="C66" s="8" t="inlineStr">
        <is>
          <t>11</t>
        </is>
      </c>
      <c r="D66" s="8" t="inlineStr">
        <is>
          <t>0</t>
        </is>
      </c>
      <c r="E66" s="8" t="inlineStr">
        <is>
          <t>0</t>
        </is>
      </c>
      <c r="F66" s="8" t="inlineStr">
        <is>
          <t>0</t>
        </is>
      </c>
      <c r="G66" s="8" t="inlineStr">
        <is>
          <t>0</t>
        </is>
      </c>
      <c r="H66" s="8" t="inlineStr">
        <is>
          <t>Times New Roman</t>
        </is>
      </c>
      <c r="I66" s="8" t="inlineStr">
        <is>
          <t>11</t>
        </is>
      </c>
      <c r="J66" s="8" t="inlineStr"/>
      <c r="K66" s="8" t="inlineStr"/>
      <c r="L66" s="8" t="inlineStr"/>
      <c r="M66" s="8" t="inlineStr"/>
      <c r="N66" s="8" t="inlineStr"/>
      <c r="O66" s="8" t="inlineStr"/>
      <c r="P66" s="8" t="inlineStr"/>
      <c r="Q66" s="8" t="inlineStr"/>
      <c r="R66" s="8" t="inlineStr"/>
      <c r="S66" s="8" t="inlineStr"/>
      <c r="T66" s="8" t="inlineStr"/>
      <c r="U66" s="8" t="inlineStr"/>
      <c r="V66" s="8" t="inlineStr"/>
      <c r="W66" s="8" t="inlineStr"/>
      <c r="X66" s="8" t="inlineStr"/>
    </row>
    <row r="67">
      <c r="A67" s="8" t="inlineStr">
        <is>
          <t>Chữ ký (Cho phép User tự do đánh dấu cách )</t>
        </is>
      </c>
      <c r="B67" s="8" t="inlineStr"/>
      <c r="C67" s="8" t="inlineStr"/>
      <c r="D67" s="8" t="inlineStr"/>
      <c r="E67" s="8" t="inlineStr"/>
      <c r="F67" s="8" t="inlineStr"/>
      <c r="G67" s="8" t="inlineStr"/>
      <c r="H67" s="8" t="inlineStr"/>
      <c r="I67" s="8" t="inlineStr"/>
      <c r="J67" s="8" t="inlineStr"/>
      <c r="K67" s="8" t="inlineStr"/>
      <c r="L67" s="8" t="inlineStr"/>
      <c r="M67" s="8" t="inlineStr"/>
      <c r="N67" s="8" t="inlineStr"/>
      <c r="O67" s="8" t="inlineStr"/>
      <c r="P67" s="8" t="inlineStr"/>
      <c r="Q67" s="8" t="inlineStr"/>
      <c r="R67" s="8" t="inlineStr"/>
      <c r="S67" s="8" t="inlineStr"/>
      <c r="T67" s="8" t="inlineStr"/>
      <c r="U67" s="8" t="inlineStr"/>
      <c r="V67" s="8" t="inlineStr"/>
      <c r="W67" s="8" t="inlineStr"/>
      <c r="X67" s="8" t="inlineStr"/>
    </row>
    <row r="68">
      <c r="A68" s="8" t="inlineStr">
        <is>
          <t>Chức danh</t>
        </is>
      </c>
      <c r="B68" s="8" t="inlineStr">
        <is>
          <t>Họ và tên người ký</t>
        </is>
      </c>
      <c r="C68" s="8" t="inlineStr"/>
      <c r="D68" s="8" t="inlineStr"/>
      <c r="E68" s="8" t="inlineStr"/>
      <c r="F68" s="8" t="inlineStr"/>
      <c r="G68" s="8" t="inlineStr"/>
      <c r="H68" s="8" t="inlineStr"/>
      <c r="I68" s="8" t="inlineStr"/>
      <c r="J68" s="8" t="inlineStr"/>
      <c r="K68" s="8" t="inlineStr"/>
      <c r="L68" s="8" t="inlineStr"/>
      <c r="M68" s="8" t="inlineStr"/>
      <c r="N68" s="8" t="inlineStr"/>
      <c r="O68" s="8" t="inlineStr"/>
      <c r="P68" s="8" t="inlineStr"/>
      <c r="Q68" s="8" t="inlineStr"/>
      <c r="R68" s="8" t="inlineStr"/>
      <c r="S68" s="8" t="inlineStr"/>
      <c r="T68" s="8" t="inlineStr"/>
      <c r="U68" s="8" t="inlineStr"/>
      <c r="V68" s="8" t="inlineStr"/>
      <c r="W68" s="8" t="inlineStr"/>
      <c r="X68" s="8" t="inlineStr"/>
    </row>
    <row r="69">
      <c r="A69" s="8" t="inlineStr">
        <is>
          <t>NGƯỜI LẬP                                                                              NGƯỜI CHỦ TRÌ</t>
        </is>
      </c>
      <c r="B69" s="8" t="inlineStr"/>
      <c r="C69" s="8" t="inlineStr"/>
      <c r="D69" s="8" t="inlineStr"/>
      <c r="E69" s="8" t="inlineStr"/>
      <c r="F69" s="8" t="inlineStr"/>
      <c r="G69" s="8" t="inlineStr"/>
      <c r="H69" s="8" t="inlineStr"/>
      <c r="I69" s="8" t="inlineStr"/>
      <c r="J69" s="8" t="inlineStr"/>
      <c r="K69" s="8" t="inlineStr"/>
      <c r="L69" s="8" t="inlineStr"/>
      <c r="M69" s="8" t="inlineStr"/>
      <c r="N69" s="8" t="inlineStr"/>
      <c r="O69" s="8" t="inlineStr"/>
      <c r="P69" s="8" t="inlineStr"/>
      <c r="Q69" s="8" t="inlineStr"/>
      <c r="R69" s="8" t="inlineStr"/>
      <c r="S69" s="8" t="inlineStr"/>
      <c r="T69" s="8" t="inlineStr"/>
      <c r="U69" s="8" t="inlineStr"/>
      <c r="V69" s="8" t="inlineStr"/>
      <c r="W69" s="8" t="inlineStr"/>
      <c r="X69" s="8" t="inlineStr"/>
    </row>
    <row r="70">
      <c r="A70" s="8" t="inlineStr">
        <is>
          <t>Làm tròn số học</t>
        </is>
      </c>
      <c r="B70" s="8" t="inlineStr"/>
      <c r="C70" s="8" t="inlineStr"/>
      <c r="D70" s="8" t="inlineStr"/>
      <c r="E70" s="8" t="inlineStr"/>
      <c r="F70" s="8" t="inlineStr"/>
      <c r="G70" s="8" t="inlineStr"/>
      <c r="H70" s="8" t="inlineStr"/>
      <c r="I70" s="8" t="inlineStr"/>
      <c r="J70" s="8" t="inlineStr"/>
      <c r="K70" s="8" t="inlineStr"/>
      <c r="L70" s="8" t="inlineStr"/>
      <c r="M70" s="8" t="inlineStr"/>
      <c r="N70" s="8" t="inlineStr"/>
      <c r="O70" s="8" t="inlineStr"/>
      <c r="P70" s="8" t="inlineStr"/>
      <c r="Q70" s="8" t="inlineStr"/>
      <c r="R70" s="8" t="inlineStr"/>
      <c r="S70" s="8" t="inlineStr"/>
      <c r="T70" s="8" t="inlineStr"/>
      <c r="U70" s="8" t="inlineStr"/>
      <c r="V70" s="8" t="inlineStr"/>
      <c r="W70" s="8" t="inlineStr"/>
      <c r="X70" s="8" t="inlineStr"/>
    </row>
    <row r="71">
      <c r="A71" s="8" t="inlineStr">
        <is>
          <t>Tròn hao phí Đ.M</t>
        </is>
      </c>
      <c r="B71" s="8" t="inlineStr">
        <is>
          <t>Tròn khối lượng</t>
        </is>
      </c>
      <c r="C71" s="8" t="inlineStr">
        <is>
          <t>Tròn giá vật tư</t>
        </is>
      </c>
      <c r="D71" s="8" t="inlineStr">
        <is>
          <t>Tròn đơn giá công tác</t>
        </is>
      </c>
      <c r="E71" s="8" t="inlineStr">
        <is>
          <t>Tròn thành tiền</t>
        </is>
      </c>
      <c r="F71" s="8" t="inlineStr">
        <is>
          <t>Tròn tổng thành tiền</t>
        </is>
      </c>
      <c r="G71" s="8" t="inlineStr">
        <is>
          <t>Tròn Hệ số</t>
        </is>
      </c>
      <c r="H71" s="8" t="inlineStr"/>
      <c r="I71" s="8" t="inlineStr"/>
      <c r="J71" s="8" t="inlineStr"/>
      <c r="K71" s="8" t="inlineStr"/>
      <c r="L71" s="8" t="inlineStr"/>
      <c r="M71" s="8" t="inlineStr"/>
      <c r="N71" s="8" t="inlineStr"/>
      <c r="O71" s="8" t="inlineStr"/>
      <c r="P71" s="8" t="inlineStr"/>
      <c r="Q71" s="8" t="inlineStr"/>
      <c r="R71" s="8" t="inlineStr"/>
      <c r="S71" s="8" t="inlineStr"/>
      <c r="T71" s="8" t="inlineStr"/>
      <c r="U71" s="8" t="inlineStr"/>
      <c r="V71" s="8" t="inlineStr"/>
      <c r="W71" s="8" t="inlineStr"/>
      <c r="X71" s="8" t="inlineStr"/>
    </row>
    <row r="72">
      <c r="A72" s="8" t="inlineStr">
        <is>
          <t>6</t>
        </is>
      </c>
      <c r="B72" s="8" t="inlineStr">
        <is>
          <t>4</t>
        </is>
      </c>
      <c r="C72" s="8" t="inlineStr">
        <is>
          <t>1</t>
        </is>
      </c>
      <c r="D72" s="8" t="inlineStr">
        <is>
          <t>1</t>
        </is>
      </c>
      <c r="E72" s="8" t="inlineStr">
        <is>
          <t>1</t>
        </is>
      </c>
      <c r="F72" s="8" t="inlineStr">
        <is>
          <t>0</t>
        </is>
      </c>
      <c r="G72" s="8" t="inlineStr">
        <is>
          <t>5</t>
        </is>
      </c>
      <c r="H72" s="8" t="inlineStr">
        <is>
          <t>0</t>
        </is>
      </c>
      <c r="I72" s="8" t="inlineStr"/>
      <c r="J72" s="8" t="inlineStr"/>
      <c r="K72" s="8" t="inlineStr"/>
      <c r="L72" s="8" t="inlineStr"/>
      <c r="M72" s="8" t="inlineStr"/>
      <c r="N72" s="8" t="inlineStr"/>
      <c r="O72" s="8" t="inlineStr"/>
      <c r="P72" s="8" t="inlineStr"/>
      <c r="Q72" s="8" t="inlineStr"/>
      <c r="R72" s="8" t="inlineStr"/>
      <c r="S72" s="8" t="inlineStr"/>
      <c r="T72" s="8" t="inlineStr"/>
      <c r="U72" s="8" t="inlineStr"/>
      <c r="V72" s="8" t="inlineStr"/>
      <c r="W72" s="8" t="inlineStr"/>
      <c r="X72" s="8" t="inlineStr"/>
    </row>
    <row r="73">
      <c r="A73" s="8" t="inlineStr">
        <is>
          <t>Thông tin về Hạng mục</t>
        </is>
      </c>
      <c r="B73" s="8" t="inlineStr"/>
      <c r="C73" s="8" t="inlineStr"/>
      <c r="D73" s="8" t="inlineStr"/>
      <c r="E73" s="8" t="inlineStr"/>
      <c r="F73" s="8" t="inlineStr"/>
      <c r="G73" s="8" t="inlineStr"/>
      <c r="H73" s="8" t="inlineStr"/>
      <c r="I73" s="8" t="inlineStr"/>
      <c r="J73" s="8" t="inlineStr"/>
      <c r="K73" s="8" t="inlineStr"/>
      <c r="L73" s="8" t="inlineStr"/>
      <c r="M73" s="8" t="inlineStr"/>
      <c r="N73" s="8" t="inlineStr"/>
      <c r="O73" s="8" t="inlineStr"/>
      <c r="P73" s="8" t="inlineStr"/>
      <c r="Q73" s="8" t="inlineStr"/>
      <c r="R73" s="8" t="inlineStr"/>
      <c r="S73" s="8" t="inlineStr"/>
      <c r="T73" s="8" t="inlineStr"/>
      <c r="U73" s="8" t="inlineStr"/>
      <c r="V73" s="8" t="inlineStr"/>
      <c r="W73" s="8" t="inlineStr"/>
      <c r="X73" s="8" t="inlineStr"/>
    </row>
    <row r="74">
      <c r="A74" s="8" t="inlineStr">
        <is>
          <t>Tổng số hạng mục</t>
        </is>
      </c>
      <c r="B74" s="8" t="inlineStr"/>
      <c r="C74" s="8" t="inlineStr"/>
      <c r="D74" s="8" t="inlineStr"/>
      <c r="E74" s="8" t="inlineStr"/>
      <c r="F74" s="8" t="inlineStr"/>
      <c r="G74" s="8" t="inlineStr"/>
      <c r="H74" s="8" t="inlineStr"/>
      <c r="I74" s="8" t="inlineStr"/>
      <c r="J74" s="8" t="inlineStr"/>
      <c r="K74" s="8" t="inlineStr"/>
      <c r="L74" s="8" t="inlineStr"/>
      <c r="M74" s="8" t="inlineStr"/>
      <c r="N74" s="8" t="inlineStr"/>
      <c r="O74" s="8" t="inlineStr"/>
      <c r="P74" s="8" t="inlineStr"/>
      <c r="Q74" s="8" t="inlineStr"/>
      <c r="R74" s="8" t="inlineStr"/>
      <c r="S74" s="8" t="inlineStr"/>
      <c r="T74" s="8" t="inlineStr"/>
      <c r="U74" s="8" t="inlineStr"/>
      <c r="V74" s="8" t="inlineStr"/>
      <c r="W74" s="8" t="inlineStr"/>
      <c r="X74" s="8" t="inlineStr"/>
    </row>
    <row r="75">
      <c r="A75" s="8" t="n">
        <v>1</v>
      </c>
      <c r="B75" s="8" t="inlineStr"/>
      <c r="C75" s="8" t="inlineStr"/>
      <c r="D75" s="8" t="inlineStr"/>
      <c r="E75" s="8" t="inlineStr"/>
      <c r="F75" s="8" t="inlineStr"/>
      <c r="G75" s="8" t="inlineStr"/>
      <c r="H75" s="8" t="inlineStr"/>
      <c r="I75" s="8" t="inlineStr"/>
      <c r="J75" s="8" t="inlineStr"/>
      <c r="K75" s="8" t="inlineStr"/>
      <c r="L75" s="8" t="inlineStr"/>
      <c r="M75" s="8" t="inlineStr"/>
      <c r="N75" s="8" t="inlineStr"/>
      <c r="O75" s="8" t="inlineStr"/>
      <c r="P75" s="8" t="inlineStr"/>
      <c r="Q75" s="8" t="inlineStr"/>
      <c r="R75" s="8" t="inlineStr"/>
      <c r="S75" s="8" t="inlineStr"/>
      <c r="T75" s="8" t="inlineStr"/>
      <c r="U75" s="8" t="inlineStr"/>
      <c r="V75" s="8" t="inlineStr"/>
      <c r="W75" s="8" t="inlineStr"/>
      <c r="X75" s="8" t="inlineStr"/>
    </row>
    <row r="76">
      <c r="A76" s="8" t="inlineStr">
        <is>
          <t>Danh sách các Hạng mục</t>
        </is>
      </c>
      <c r="B76" s="8" t="inlineStr"/>
      <c r="C76" s="8" t="inlineStr"/>
      <c r="D76" s="8" t="inlineStr"/>
      <c r="E76" s="8" t="inlineStr"/>
      <c r="F76" s="8" t="inlineStr"/>
      <c r="G76" s="8" t="inlineStr"/>
      <c r="H76" s="8" t="inlineStr"/>
      <c r="I76" s="8" t="inlineStr"/>
      <c r="J76" s="8" t="inlineStr"/>
      <c r="K76" s="8" t="inlineStr"/>
      <c r="L76" s="8" t="inlineStr"/>
      <c r="M76" s="8" t="inlineStr"/>
      <c r="N76" s="8" t="inlineStr"/>
      <c r="O76" s="8" t="inlineStr"/>
      <c r="P76" s="8" t="inlineStr"/>
      <c r="Q76" s="8" t="inlineStr"/>
      <c r="R76" s="8" t="inlineStr"/>
      <c r="S76" s="8" t="inlineStr"/>
      <c r="T76" s="8" t="inlineStr"/>
      <c r="U76" s="8" t="inlineStr"/>
      <c r="V76" s="8" t="inlineStr"/>
      <c r="W76" s="8" t="inlineStr"/>
      <c r="X76" s="8" t="inlineStr"/>
    </row>
    <row r="77">
      <c r="A77" s="8" t="inlineStr">
        <is>
          <t>STT</t>
        </is>
      </c>
      <c r="B77" s="8" t="inlineStr">
        <is>
          <t>Tên hạng mục</t>
        </is>
      </c>
      <c r="C77" s="8" t="inlineStr">
        <is>
          <t>Hệ số chi phí chung</t>
        </is>
      </c>
      <c r="D77" s="8" t="inlineStr">
        <is>
          <t>H.S thu nhập chịu thuế TT</t>
        </is>
      </c>
      <c r="E77" s="8" t="inlineStr">
        <is>
          <t>H.S riêng VL</t>
        </is>
      </c>
      <c r="F77" s="8" t="inlineStr">
        <is>
          <t>Hệ số VL phụ</t>
        </is>
      </c>
      <c r="G77" s="8" t="inlineStr">
        <is>
          <t>H.S riêng NC</t>
        </is>
      </c>
      <c r="H77" s="8" t="inlineStr">
        <is>
          <t>H.S bù NC</t>
        </is>
      </c>
      <c r="I77" s="8" t="inlineStr">
        <is>
          <t>H.S riêng NC đất</t>
        </is>
      </c>
      <c r="J77" s="8" t="inlineStr">
        <is>
          <t>H.S bù NC đất</t>
        </is>
      </c>
      <c r="K77" s="8" t="inlineStr">
        <is>
          <t>H.S riêng Máy</t>
        </is>
      </c>
      <c r="L77" s="8" t="inlineStr">
        <is>
          <t>H.S bù Máy</t>
        </is>
      </c>
      <c r="M77" s="8" t="inlineStr">
        <is>
          <t>H.S VAT</t>
        </is>
      </c>
      <c r="N77" s="8" t="inlineStr">
        <is>
          <t>HS Lán trại</t>
        </is>
      </c>
      <c r="O77" s="8" t="inlineStr">
        <is>
          <t>H.S CP Trực tiếp</t>
        </is>
      </c>
      <c r="P77" s="8" t="inlineStr">
        <is>
          <t>H.S đảm bảo ATGT</t>
        </is>
      </c>
      <c r="Q77" s="8" t="inlineStr">
        <is>
          <t>H.S VAT TB</t>
        </is>
      </c>
      <c r="R77" s="8" t="inlineStr">
        <is>
          <t>PP tính CPC</t>
        </is>
      </c>
      <c r="S77" s="8" t="inlineStr">
        <is>
          <t>Hệ số CPC đất</t>
        </is>
      </c>
      <c r="T77" s="8" t="inlineStr">
        <is>
          <t>Hs Chi phi du phong</t>
        </is>
      </c>
      <c r="U77" s="8" t="inlineStr">
        <is>
          <t>Mã đất đầu</t>
        </is>
      </c>
      <c r="V77" s="8" t="inlineStr">
        <is>
          <t>Mã đất cuối</t>
        </is>
      </c>
      <c r="W77" s="8" t="inlineStr">
        <is>
          <t>Loại HM</t>
        </is>
      </c>
      <c r="X77" s="8" t="inlineStr"/>
    </row>
    <row r="78">
      <c r="A78" s="8" t="inlineStr">
        <is>
          <t>Ký hiệu</t>
        </is>
      </c>
      <c r="B78" s="8" t="inlineStr"/>
      <c r="C78" s="8" t="inlineStr">
        <is>
          <t>HsCPC</t>
        </is>
      </c>
      <c r="D78" s="8" t="inlineStr">
        <is>
          <t>HsTNCTTT</t>
        </is>
      </c>
      <c r="E78" s="8" t="inlineStr">
        <is>
          <t>HsrVL</t>
        </is>
      </c>
      <c r="F78" s="8" t="inlineStr">
        <is>
          <t>HsVLP</t>
        </is>
      </c>
      <c r="G78" s="8" t="inlineStr">
        <is>
          <t>HsrNC</t>
        </is>
      </c>
      <c r="H78" s="8" t="inlineStr">
        <is>
          <t>HsbNC</t>
        </is>
      </c>
      <c r="I78" s="8" t="inlineStr">
        <is>
          <t>HsrNCDat</t>
        </is>
      </c>
      <c r="J78" s="8" t="inlineStr">
        <is>
          <t>HsbNCDat</t>
        </is>
      </c>
      <c r="K78" s="8" t="inlineStr">
        <is>
          <t>HsrMay</t>
        </is>
      </c>
      <c r="L78" s="8" t="inlineStr">
        <is>
          <t>HsbMay</t>
        </is>
      </c>
      <c r="M78" s="8" t="inlineStr">
        <is>
          <t>VAT</t>
        </is>
      </c>
      <c r="N78" s="8" t="inlineStr">
        <is>
          <t>HsLT</t>
        </is>
      </c>
      <c r="O78" s="8" t="inlineStr">
        <is>
          <t>HsTtKhac</t>
        </is>
      </c>
      <c r="P78" s="8" t="inlineStr">
        <is>
          <t>HsATGT</t>
        </is>
      </c>
      <c r="Q78" s="8" t="inlineStr"/>
      <c r="R78" s="8" t="inlineStr"/>
      <c r="S78" s="8" t="inlineStr">
        <is>
          <t>HsCPCDat</t>
        </is>
      </c>
      <c r="T78" s="8" t="inlineStr">
        <is>
          <t>HsCpDp</t>
        </is>
      </c>
      <c r="U78" s="8" t="inlineStr">
        <is>
          <t>MaNcDatDau</t>
        </is>
      </c>
      <c r="V78" s="8" t="inlineStr">
        <is>
          <t>MaNcDatCuoi</t>
        </is>
      </c>
      <c r="W78" s="8" t="inlineStr"/>
      <c r="X78" s="8" t="inlineStr"/>
    </row>
    <row r="79">
      <c r="A79" s="8" t="n">
        <v>0</v>
      </c>
      <c r="B79" s="8" t="inlineStr">
        <is>
          <t>HẠNG MỤC: ĐIỀU HÒA KHÔNG KHÍ &amp; THÔNG GIÓ - LẮP ĐẶT THIẾT BỊ</t>
        </is>
      </c>
      <c r="C79" s="8" t="inlineStr">
        <is>
          <t>T7,3%</t>
        </is>
      </c>
      <c r="D79" s="8" t="inlineStr">
        <is>
          <t>T5,5%</t>
        </is>
      </c>
      <c r="E79" s="8" t="inlineStr">
        <is>
          <t>T1</t>
        </is>
      </c>
      <c r="F79" s="8" t="inlineStr">
        <is>
          <t>T0</t>
        </is>
      </c>
      <c r="G79" s="8" t="inlineStr">
        <is>
          <t>T1</t>
        </is>
      </c>
      <c r="H79" s="8" t="inlineStr">
        <is>
          <t>T0</t>
        </is>
      </c>
      <c r="I79" s="8" t="inlineStr">
        <is>
          <t>T1</t>
        </is>
      </c>
      <c r="J79" s="8" t="inlineStr">
        <is>
          <t>T0</t>
        </is>
      </c>
      <c r="K79" s="8" t="inlineStr">
        <is>
          <t>T1</t>
        </is>
      </c>
      <c r="L79" s="8" t="inlineStr">
        <is>
          <t>T0</t>
        </is>
      </c>
      <c r="M79" s="8" t="inlineStr">
        <is>
          <t>T0,1</t>
        </is>
      </c>
      <c r="N79" s="8" t="inlineStr">
        <is>
          <t>T0,9%</t>
        </is>
      </c>
      <c r="O79" s="8" t="inlineStr">
        <is>
          <t>T2,5%</t>
        </is>
      </c>
      <c r="P79" s="8" t="inlineStr">
        <is>
          <t>T</t>
        </is>
      </c>
      <c r="Q79" s="8" t="inlineStr">
        <is>
          <t>T</t>
        </is>
      </c>
      <c r="R79" s="8" t="n">
        <v>2</v>
      </c>
      <c r="S79" s="8" t="inlineStr">
        <is>
          <t>T7,3%</t>
        </is>
      </c>
      <c r="T79" s="8" t="inlineStr">
        <is>
          <t>T</t>
        </is>
      </c>
      <c r="U79" s="8" t="inlineStr">
        <is>
          <t>AB</t>
        </is>
      </c>
      <c r="V79" s="8" t="inlineStr">
        <is>
          <t>AB</t>
        </is>
      </c>
      <c r="W79" s="8" t="n">
        <v>1</v>
      </c>
      <c r="X79" s="8" t="inlineStr">
        <is>
          <t>0~0~0~11~2~3~0~0~0~0~0~0~0~~0~0~0~0.9~0~0.9~0~-9999~-9999~1</t>
        </is>
      </c>
    </row>
    <row r="80">
      <c r="A80" s="8" t="n">
        <v>1</v>
      </c>
      <c r="B80" s="8" t="inlineStr">
        <is>
          <t>HẠNG MỤC: ĐIỀU HÒA KHÔNG KHÍ &amp; THÔNG GIÓ - VẬT TƯ XÂY LẮP</t>
        </is>
      </c>
      <c r="C80" s="8" t="inlineStr">
        <is>
          <t>T7,3%</t>
        </is>
      </c>
      <c r="D80" s="8" t="inlineStr">
        <is>
          <t>T5,5%</t>
        </is>
      </c>
      <c r="E80" s="8" t="inlineStr">
        <is>
          <t>T1</t>
        </is>
      </c>
      <c r="F80" s="8" t="inlineStr">
        <is>
          <t>T0</t>
        </is>
      </c>
      <c r="G80" s="8" t="inlineStr">
        <is>
          <t>T1</t>
        </is>
      </c>
      <c r="H80" s="8" t="inlineStr">
        <is>
          <t>T0</t>
        </is>
      </c>
      <c r="I80" s="8" t="inlineStr">
        <is>
          <t>T1</t>
        </is>
      </c>
      <c r="J80" s="8" t="inlineStr">
        <is>
          <t>T0</t>
        </is>
      </c>
      <c r="K80" s="8" t="inlineStr">
        <is>
          <t>T1</t>
        </is>
      </c>
      <c r="L80" s="8" t="inlineStr">
        <is>
          <t>T0</t>
        </is>
      </c>
      <c r="M80" s="8" t="inlineStr">
        <is>
          <t>T0,1</t>
        </is>
      </c>
      <c r="N80" s="8" t="inlineStr">
        <is>
          <t>T0,9%</t>
        </is>
      </c>
      <c r="O80" s="8" t="inlineStr">
        <is>
          <t>T2,5%</t>
        </is>
      </c>
      <c r="P80" s="8" t="inlineStr">
        <is>
          <t>T</t>
        </is>
      </c>
      <c r="Q80" s="8" t="inlineStr">
        <is>
          <t>T</t>
        </is>
      </c>
      <c r="R80" s="8" t="n">
        <v>2</v>
      </c>
      <c r="S80" s="8" t="inlineStr">
        <is>
          <t>T7,3%</t>
        </is>
      </c>
      <c r="T80" s="8" t="inlineStr">
        <is>
          <t>T</t>
        </is>
      </c>
      <c r="U80" s="8" t="inlineStr">
        <is>
          <t>AB</t>
        </is>
      </c>
      <c r="V80" s="8" t="inlineStr">
        <is>
          <t>AB</t>
        </is>
      </c>
      <c r="W80" s="8" t="n">
        <v>1</v>
      </c>
      <c r="X80" s="8" t="inlineStr">
        <is>
          <t>0~0~0~11~2~3~0~0~0~0~0~0~0~~0~0~0~0.9~0~0.9~0~-9999~-9999~1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2026-10-09T05:41:57Z</dcterms:created>
  <dcterms:modified xsi:type="dcterms:W3CDTF">2026-10-09T05:41:57Z</dcterms:modified>
</cp:coreProperties>
</file>